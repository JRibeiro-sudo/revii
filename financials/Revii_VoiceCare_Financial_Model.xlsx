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Model PT" sheetId="5" state="visible" r:id="rId5"/>
    <sheet xmlns:r="http://schemas.openxmlformats.org/officeDocument/2006/relationships" name="Model ES" sheetId="6" state="visible" r:id="rId6"/>
    <sheet xmlns:r="http://schemas.openxmlformats.org/officeDocument/2006/relationships" name="P&amp;L Monthly" sheetId="7" state="visible" r:id="rId7"/>
    <sheet xmlns:r="http://schemas.openxmlformats.org/officeDocument/2006/relationships" name="An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0&quot;x&quot;"/>
    <numFmt numFmtId="166" formatCode="0.0%;(0.0%);&quot;-&quot;"/>
    <numFmt numFmtId="167" formatCode="#,##0.00;(#,##0.00);&quot;-&quot;"/>
    <numFmt numFmtId="168" formatCode="#,##0.0;(#,##0.0);&quot;-&quot;"/>
    <numFmt numFmtId="169" formatCode="0.000&quot;  &quot;"/>
    <numFmt numFmtId="170" formatCode="0.000"/>
  </numFmts>
  <fonts count="2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808080"/>
      <sz val="9"/>
    </font>
    <font>
      <name val="Arial"/>
      <color rgb="000000FF"/>
      <sz val="10"/>
    </font>
    <font>
      <name val="Arial"/>
      <color rgb="00595959"/>
      <sz val="9"/>
    </font>
    <font>
      <name val="Arial"/>
      <b val="1"/>
      <color rgb="00008000"/>
      <sz val="10"/>
    </font>
    <font>
      <name val="Arial"/>
      <b val="1"/>
      <color rgb="001F3864"/>
      <sz val="10"/>
    </font>
    <font>
      <name val="Arial"/>
      <b val="1"/>
      <color rgb="001F3864"/>
      <sz val="9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8000"/>
      <sz val="10"/>
    </font>
    <font>
      <name val="Arial"/>
      <b val="1"/>
      <color rgb="00404040"/>
      <sz val="9"/>
    </font>
    <font>
      <name val="Arial"/>
      <b val="1"/>
      <color rgb="001F3864"/>
      <sz val="13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808080"/>
      <sz val="8"/>
    </font>
    <font>
      <name val="Arial"/>
      <b val="1"/>
      <color rgb="00000000"/>
      <sz val="9"/>
    </font>
    <font>
      <name val="Arial"/>
      <color rgb="00008000"/>
      <sz val="9"/>
    </font>
    <font>
      <name val="Arial"/>
      <b val="1"/>
      <color rgb="00808080"/>
      <sz val="10"/>
    </font>
    <font>
      <name val="Arial"/>
      <color rgb="00000000"/>
      <sz val="8"/>
    </font>
    <font>
      <name val="Arial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F3F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165" fontId="11" fillId="3" borderId="1" applyAlignment="1" pivotButton="0" quotePrefix="0" xfId="0">
      <alignment horizontal="center" vertical="center"/>
    </xf>
    <xf numFmtId="166" fontId="11" fillId="3" borderId="1" applyAlignment="1" pivotButton="0" quotePrefix="0" xfId="0">
      <alignment horizontal="center" vertical="center"/>
    </xf>
    <xf numFmtId="167" fontId="11" fillId="3" borderId="1" applyAlignment="1" pivotButton="0" quotePrefix="0" xfId="0">
      <alignment horizontal="center" vertical="center"/>
    </xf>
    <xf numFmtId="168" fontId="11" fillId="3" borderId="1" applyAlignment="1" pivotButton="0" quotePrefix="0" xfId="0">
      <alignment horizontal="center" vertical="center"/>
    </xf>
    <xf numFmtId="169" fontId="11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0" pivotButton="0" quotePrefix="0" xfId="0"/>
    <xf numFmtId="0" fontId="15" fillId="4" borderId="0" pivotButton="0" quotePrefix="0" xfId="0"/>
    <xf numFmtId="0" fontId="4" fillId="0" borderId="2" pivotButton="0" quotePrefix="0" xfId="0"/>
    <xf numFmtId="1" fontId="16" fillId="3" borderId="2" applyAlignment="1" pivotButton="0" quotePrefix="0" xfId="0">
      <alignment horizontal="center" vertical="center"/>
    </xf>
    <xf numFmtId="0" fontId="12" fillId="0" borderId="0" pivotButton="0" quotePrefix="0" xfId="0"/>
    <xf numFmtId="0" fontId="5" fillId="0" borderId="2" pivotButton="0" quotePrefix="0" xfId="0"/>
    <xf numFmtId="0" fontId="13" fillId="0" borderId="2" applyAlignment="1" pivotButton="0" quotePrefix="0" xfId="0">
      <alignment horizontal="center" vertical="center"/>
    </xf>
    <xf numFmtId="1" fontId="11" fillId="0" borderId="2" applyAlignment="1" pivotButton="0" quotePrefix="0" xfId="0">
      <alignment horizontal="center" vertical="center"/>
    </xf>
    <xf numFmtId="1" fontId="11" fillId="3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" fontId="5" fillId="3" borderId="2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167" fontId="18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167" fontId="11" fillId="0" borderId="2" applyAlignment="1" pivotButton="0" quotePrefix="0" xfId="0">
      <alignment horizontal="center" vertical="center"/>
    </xf>
    <xf numFmtId="166" fontId="11" fillId="0" borderId="2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164" fontId="18" fillId="0" borderId="2" applyAlignment="1" pivotButton="0" quotePrefix="0" xfId="0">
      <alignment horizontal="center" vertical="center"/>
    </xf>
    <xf numFmtId="166" fontId="11" fillId="3" borderId="2" applyAlignment="1" pivotButton="0" quotePrefix="0" xfId="0">
      <alignment horizontal="center" vertical="center"/>
    </xf>
    <xf numFmtId="165" fontId="18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6" fontId="18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19" fillId="0" borderId="0" pivotButton="0" quotePrefix="0" xfId="0"/>
    <xf numFmtId="168" fontId="11" fillId="3" borderId="2" applyAlignment="1" pivotButton="0" quotePrefix="0" xfId="0">
      <alignment horizontal="center" vertical="center"/>
    </xf>
    <xf numFmtId="168" fontId="18" fillId="3" borderId="2" applyAlignment="1" pivotButton="0" quotePrefix="0" xfId="0">
      <alignment horizontal="center" vertical="center"/>
    </xf>
    <xf numFmtId="169" fontId="18" fillId="3" borderId="2" applyAlignment="1" pivotButton="0" quotePrefix="0" xfId="0">
      <alignment horizontal="center" vertical="center"/>
    </xf>
    <xf numFmtId="169" fontId="5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165" fontId="11" fillId="3" borderId="2" applyAlignment="1" pivotButton="0" quotePrefix="0" xfId="0">
      <alignment horizontal="center" vertical="center"/>
    </xf>
    <xf numFmtId="165" fontId="11" fillId="0" borderId="2" applyAlignment="1" pivotButton="0" quotePrefix="0" xfId="0">
      <alignment horizontal="center" vertical="center"/>
    </xf>
    <xf numFmtId="0" fontId="20" fillId="0" borderId="0" pivotButton="0" quotePrefix="0" xfId="0"/>
    <xf numFmtId="0" fontId="17" fillId="2" borderId="0" pivotButton="0" quotePrefix="0" xfId="0"/>
    <xf numFmtId="0" fontId="21" fillId="2" borderId="0" applyAlignment="1" pivotButton="0" quotePrefix="0" xfId="0">
      <alignment horizontal="center" vertical="center"/>
    </xf>
    <xf numFmtId="1" fontId="17" fillId="2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applyAlignment="1" pivotButton="0" quotePrefix="0" xfId="0">
      <alignment horizontal="center" vertical="center"/>
    </xf>
    <xf numFmtId="1" fontId="22" fillId="0" borderId="0" pivotButton="0" quotePrefix="0" xfId="0"/>
    <xf numFmtId="164" fontId="22" fillId="0" borderId="0" pivotButton="0" quotePrefix="0" xfId="0"/>
    <xf numFmtId="0" fontId="24" fillId="0" borderId="0" pivotButton="0" quotePrefix="0" xfId="0"/>
    <xf numFmtId="164" fontId="24" fillId="0" borderId="0" pivotButton="0" quotePrefix="0" xfId="0"/>
    <xf numFmtId="167" fontId="22" fillId="0" borderId="0" pivotButton="0" quotePrefix="0" xfId="0"/>
    <xf numFmtId="166" fontId="22" fillId="0" borderId="0" pivotButton="0" quotePrefix="0" xfId="0"/>
    <xf numFmtId="0" fontId="24" fillId="5" borderId="0" pivotButton="0" quotePrefix="0" xfId="0"/>
    <xf numFmtId="0" fontId="23" fillId="5" borderId="0" applyAlignment="1" pivotButton="0" quotePrefix="0" xfId="0">
      <alignment horizontal="center" vertical="center"/>
    </xf>
    <xf numFmtId="164" fontId="24" fillId="5" borderId="0" pivotButton="0" quotePrefix="0" xfId="0"/>
    <xf numFmtId="170" fontId="22" fillId="0" borderId="0" pivotButton="0" quotePrefix="0" xfId="0"/>
    <xf numFmtId="164" fontId="25" fillId="0" borderId="0" pivotButton="0" quotePrefix="0" xfId="0"/>
    <xf numFmtId="0" fontId="24" fillId="6" borderId="0" pivotButton="0" quotePrefix="0" xfId="0"/>
    <xf numFmtId="0" fontId="23" fillId="6" borderId="0" applyAlignment="1" pivotButton="0" quotePrefix="0" xfId="0">
      <alignment horizontal="center" vertical="center"/>
    </xf>
    <xf numFmtId="164" fontId="24" fillId="6" borderId="0" pivotButton="0" quotePrefix="0" xfId="0"/>
    <xf numFmtId="0" fontId="4" fillId="0" borderId="1" pivotButton="0" quotePrefix="0" xfId="0"/>
    <xf numFmtId="164" fontId="28" fillId="7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4" borderId="0" pivotButton="0" quotePrefix="0" xfId="0"/>
    <xf numFmtId="0" fontId="17" fillId="2" borderId="0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28" fillId="7" borderId="1" applyAlignment="1" pivotButton="0" quotePrefix="0" xfId="0">
      <alignment horizontal="center" vertical="center"/>
    </xf>
    <xf numFmtId="166" fontId="28" fillId="7" borderId="1" applyAlignment="1" pivotButton="0" quotePrefix="0" xfId="0">
      <alignment horizontal="center" vertical="center"/>
    </xf>
    <xf numFmtId="0" fontId="5" fillId="2" borderId="0" pivotButton="0" quotePrefix="0" xfId="0"/>
    <xf numFmtId="0" fontId="23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18" fillId="0" borderId="0" pivotButton="0" quotePrefix="0" xfId="0"/>
    <xf numFmtId="164" fontId="4" fillId="0" borderId="0" pivotButton="0" quotePrefix="0" xfId="0"/>
    <xf numFmtId="0" fontId="4" fillId="5" borderId="0" pivotButton="0" quotePrefix="0" xfId="0"/>
    <xf numFmtId="0" fontId="23" fillId="5" borderId="0" applyAlignment="1" pivotButton="0" quotePrefix="0" xfId="0">
      <alignment horizontal="center" vertical="center"/>
    </xf>
    <xf numFmtId="164" fontId="13" fillId="5" borderId="0" pivotButton="0" quotePrefix="0" xfId="0"/>
    <xf numFmtId="164" fontId="4" fillId="5" borderId="0" pivotButton="0" quotePrefix="0" xfId="0"/>
    <xf numFmtId="164" fontId="13" fillId="0" borderId="0" pivotButton="0" quotePrefix="0" xfId="0"/>
    <xf numFmtId="166" fontId="5" fillId="0" borderId="0" pivotButton="0" quotePrefix="0" xfId="0"/>
    <xf numFmtId="166" fontId="4" fillId="0" borderId="0" pivotButton="0" quotePrefix="0" xfId="0"/>
    <xf numFmtId="164" fontId="26" fillId="0" borderId="0" pivotButton="0" quotePrefix="0" xfId="0"/>
    <xf numFmtId="0" fontId="27" fillId="0" borderId="0" pivotButton="0" quotePrefix="0" xfId="0"/>
    <xf numFmtId="167" fontId="5" fillId="0" borderId="0" pivotButton="0" quotePrefix="0" xfId="0"/>
    <xf numFmtId="0" fontId="4" fillId="6" borderId="0" pivotButton="0" quotePrefix="0" xfId="0"/>
    <xf numFmtId="0" fontId="23" fillId="6" borderId="0" applyAlignment="1" pivotButton="0" quotePrefix="0" xfId="0">
      <alignment horizontal="center" vertical="center"/>
    </xf>
    <xf numFmtId="164" fontId="13" fillId="6" borderId="0" pivotButton="0" quotePrefix="0" xfId="0"/>
    <xf numFmtId="164" fontId="4" fillId="6" borderId="0" pivotButton="0" quotePrefix="0" xfId="0"/>
    <xf numFmtId="164" fontId="26" fillId="6" borderId="0" pivotButton="0" quotePrefix="0" xfId="0"/>
    <xf numFmtId="164" fontId="26" fillId="5" borderId="0" pivotButton="0" quotePrefix="0" xfId="0"/>
    <xf numFmtId="168" fontId="5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" fontId="11" fillId="3" borderId="2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'Dashboard'!B55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 w="25400">
              <a:solidFill>
                <a:srgbClr val="FCFCFB"/>
              </a:solidFill>
              <a:prstDash val="solid"/>
            </a:ln>
          </spPr>
          <cat>
            <numRef>
              <f>'Dashboard'!$C$54:$G$54</f>
            </numRef>
          </cat>
          <val>
            <numRef>
              <f>'Dashboard'!$C$55:$G$55</f>
            </numRef>
          </val>
        </ser>
        <ser>
          <idx val="1"/>
          <order val="1"/>
          <tx>
            <strRef>
              <f>'Dashboard'!B56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 w="25400">
              <a:solidFill>
                <a:srgbClr val="FCFCFB"/>
              </a:solidFill>
              <a:prstDash val="solid"/>
            </a:ln>
          </spPr>
          <cat>
            <numRef>
              <f>'Dashboard'!$C$54:$G$54</f>
            </numRef>
          </cat>
          <val>
            <numRef>
              <f>'Dashboard'!$C$56:$G$56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E8E8E4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8E8E4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6350">
            <a:solidFill>
              <a:srgbClr val="E8E8E4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'P&amp;L Monthly'!B63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cat>
            <numRef>
              <f>'P&amp;L Monthly'!$D$4:$BK$4</f>
            </numRef>
          </cat>
          <val>
            <numRef>
              <f>'P&amp;L Monthly'!$C$63:$BK$63</f>
            </numRef>
          </val>
          <smooth val="0"/>
        </ser>
        <ser>
          <idx val="1"/>
          <order val="1"/>
          <tx>
            <strRef>
              <f>'P&amp;L Monthly'!B60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cat>
            <numRef>
              <f>'P&amp;L Monthly'!$D$4:$BK$4</f>
            </numRef>
          </cat>
          <val>
            <numRef>
              <f>'P&amp;L Monthly'!$C$60:$BK$60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E8E8E4"/>
            </a:solidFill>
            <a:prstDash val="solid"/>
          </a:ln>
        </sp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8E8E4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6350">
            <a:solidFill>
              <a:srgbClr val="E8E8E4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72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93</row>
      <rowOff>0</rowOff>
    </from>
    <ext cx="68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92" customWidth="1" min="3" max="3"/>
  </cols>
  <sheetData>
    <row r="2">
      <c r="B2" s="1" t="inlineStr">
        <is>
          <t>REVII  ·  VOICE CARE STANDALONE FINANCIAL MODEL</t>
        </is>
      </c>
    </row>
    <row r="3">
      <c r="B3" s="2" t="inlineStr">
        <is>
          <t>Five-year plan for a real launch of Voice Care only — Portugal first, Spain from month 17</t>
        </is>
      </c>
    </row>
    <row r="6">
      <c r="B6" s="3" t="inlineStr">
        <is>
          <t>PURPOSE</t>
        </is>
      </c>
    </row>
    <row r="7" ht="28" customHeight="1">
      <c r="B7" s="4" t="inlineStr">
        <is>
          <t>What this is</t>
        </is>
      </c>
      <c r="C7" s="5" t="inlineStr">
        <is>
          <t>A practical sizing model for launching Voice Care as a standalone business: how much founders' equity it needs, when it turns cash-positive, and what the return looks like. It is a decision tool, not a statutory set of accounts.</t>
        </is>
      </c>
    </row>
    <row r="8" ht="28" customHeight="1">
      <c r="B8" s="4" t="inlineStr">
        <is>
          <t>What it is not</t>
        </is>
      </c>
      <c r="C8" s="5" t="inlineStr">
        <is>
          <t>Not an accounting model. No deferred tax, no lease accounting, no monthly VAT settlement timing. Working capital is approximated with days ratios.</t>
        </is>
      </c>
    </row>
    <row r="10">
      <c r="B10" s="3" t="inlineStr">
        <is>
          <t>HOW TO USE IT</t>
        </is>
      </c>
    </row>
    <row r="11" ht="28" customHeight="1">
      <c r="B11" s="4" t="inlineStr">
        <is>
          <t>1. Pick a scenario</t>
        </is>
      </c>
      <c r="C11" s="5" t="inlineStr">
        <is>
          <t>On 'Inputs' cell C6, enter 1 (Conservative), 2 (Base) or 3 (Optimistic). Every sheet updates. The three input sets live on the 'Scenarios' tab and can be edited there.</t>
        </is>
      </c>
    </row>
    <row r="12" ht="28" customHeight="1">
      <c r="B12" s="4" t="inlineStr">
        <is>
          <t>2. Override anything</t>
        </is>
      </c>
      <c r="C12" s="5" t="inlineStr">
        <is>
          <t>Every blue cell on 'Inputs' is editable. Blue cells fed by the scenario selector are on 'Scenarios'; all other blue cells are direct inputs.</t>
        </is>
      </c>
    </row>
    <row r="13" ht="28" customHeight="1">
      <c r="B13" s="4" t="inlineStr">
        <is>
          <t>3. Read the answer</t>
        </is>
      </c>
      <c r="C13" s="5" t="inlineStr">
        <is>
          <t>'Dashboard' carries the headline: equity required, break-even month, Year 5 scale, and the return on the founders' money.</t>
        </is>
      </c>
    </row>
    <row r="15">
      <c r="B15" s="3" t="inlineStr">
        <is>
          <t>COLOUR LEGEND</t>
        </is>
      </c>
    </row>
    <row r="16" ht="14" customHeight="1">
      <c r="B16" s="4" t="inlineStr">
        <is>
          <t>Blue text</t>
        </is>
      </c>
      <c r="C16" s="5" t="inlineStr">
        <is>
          <t>A hardcoded input. Change these.</t>
        </is>
      </c>
    </row>
    <row r="17" ht="14" customHeight="1">
      <c r="B17" s="4" t="inlineStr">
        <is>
          <t>Black text</t>
        </is>
      </c>
      <c r="C17" s="5" t="inlineStr">
        <is>
          <t>A formula. Do not overwrite.</t>
        </is>
      </c>
    </row>
    <row r="18" ht="14" customHeight="1">
      <c r="B18" s="4" t="inlineStr">
        <is>
          <t>Green text</t>
        </is>
      </c>
      <c r="C18" s="5" t="inlineStr">
        <is>
          <t>A link pulled from another sheet.</t>
        </is>
      </c>
    </row>
    <row r="19" ht="14" customHeight="1">
      <c r="B19" s="4" t="inlineStr">
        <is>
          <t>Yellow fill</t>
        </is>
      </c>
      <c r="C19" s="5" t="inlineStr">
        <is>
          <t>A key assumption that most deserves challenge.</t>
        </is>
      </c>
    </row>
    <row r="21">
      <c r="B21" s="3" t="inlineStr">
        <is>
          <t>STRUCTURE</t>
        </is>
      </c>
    </row>
    <row r="22" ht="14" customHeight="1">
      <c r="B22" s="4" t="inlineStr">
        <is>
          <t>Scenarios</t>
        </is>
      </c>
      <c r="C22" s="5" t="inlineStr">
        <is>
          <t>The three scenario input sets. Ten levers that swing the business.</t>
        </is>
      </c>
    </row>
    <row r="23" ht="14" customHeight="1">
      <c r="B23" s="4" t="inlineStr">
        <is>
          <t>Inputs</t>
        </is>
      </c>
      <c r="C23" s="5" t="inlineStr">
        <is>
          <t>Every other assumption, with the source of each one noted alongside.</t>
        </is>
      </c>
    </row>
    <row r="24" ht="28" customHeight="1">
      <c r="B24" s="4" t="inlineStr">
        <is>
          <t>Model PT / Model ES</t>
        </is>
      </c>
      <c r="C24" s="5" t="inlineStr">
        <is>
          <t>The monthly engine for each market: customers, revenue, cost of service, acquisition. Kept separate so the two revenue streams are never blended.</t>
        </is>
      </c>
    </row>
    <row r="25" ht="14" customHeight="1">
      <c r="B25" s="4" t="inlineStr">
        <is>
          <t>P&amp;L Monthly</t>
        </is>
      </c>
      <c r="C25" s="5" t="inlineStr">
        <is>
          <t>60 months consolidated: P&amp;L, working capital, capex, cash flow, and the founders' equity injection.</t>
        </is>
      </c>
    </row>
    <row r="26" ht="14" customHeight="1">
      <c r="B26" s="4" t="inlineStr">
        <is>
          <t>Annual</t>
        </is>
      </c>
      <c r="C26" s="5" t="inlineStr">
        <is>
          <t>Years 1-5 P&amp;L, cash flow and a light balance sheet.</t>
        </is>
      </c>
    </row>
    <row r="27" ht="14" customHeight="1">
      <c r="B27" s="4" t="inlineStr">
        <is>
          <t>Dashboard</t>
        </is>
      </c>
      <c r="C27" s="5" t="inlineStr">
        <is>
          <t>Headline KPIs, unit economics and the return calculation.</t>
        </is>
      </c>
    </row>
    <row r="29">
      <c r="B29" s="3" t="inlineStr">
        <is>
          <t>KEY DECISIONS BEHIND THE BASE CASE</t>
        </is>
      </c>
    </row>
    <row r="30" ht="28" customHeight="1">
      <c r="B30" s="4" t="inlineStr">
        <is>
          <t>Prices are VAT-inclusive</t>
        </is>
      </c>
      <c r="C30" s="5" t="inlineStr">
        <is>
          <t>Neither the business plan nor the deck mentions VAT anywhere. Per instruction, the listed price is what the customer pays, so net revenue is the price divided by (1 + VAT). This costs ~19% of headline revenue in Portugal and is the single largest correction against the MBA model.</t>
        </is>
      </c>
    </row>
    <row r="31" ht="28" customHeight="1">
      <c r="B31" s="4" t="inlineStr">
        <is>
          <t>Voice minutes drive everything</t>
        </is>
      </c>
      <c r="C31" s="5" t="inlineStr">
        <is>
          <t>The MBA model's EUR 11.28 cost per user is 75 minutes/month at EUR 0.15/min, i.e. 2.5 min/day — even though its own note says '~5 minutes/day'. At 5 min/day the product has a negative gross margin. Base case uses 1 call/day x 2.5 min. Test this first.</t>
        </is>
      </c>
    </row>
    <row r="32" ht="28" customHeight="1">
      <c r="B32" s="4" t="inlineStr">
        <is>
          <t>Founders take no salary</t>
        </is>
      </c>
      <c r="C32" s="5" t="inlineStr">
        <is>
          <t>Per instruction. OPEX therefore excludes founder compensation in all five years, which flatters EBITDA relative to a normally-staffed company.</t>
        </is>
      </c>
    </row>
    <row r="33" ht="28" customHeight="1">
      <c r="B33" s="4" t="inlineStr">
        <is>
          <t>100% founders' equity</t>
        </is>
      </c>
      <c r="C33" s="5" t="inlineStr">
        <is>
          <t>No debt, no grant. The model injects equity monthly, only as needed to hold the minimum cash buffer. Total injected is the investment figure.</t>
        </is>
      </c>
    </row>
    <row r="34" ht="28" customHeight="1">
      <c r="B34" s="4" t="inlineStr">
        <is>
          <t>Portugal builds first</t>
        </is>
      </c>
      <c r="C34" s="5" t="inlineStr">
        <is>
          <t>Months 1-4 are product build with no revenue. Portugal launches month 5, Spain month 17 (twelve months later), Preventive Care month 29 (+24 months, per the deck).</t>
        </is>
      </c>
    </row>
    <row r="36">
      <c r="B36" s="3" t="inlineStr">
        <is>
          <t>SOURCES</t>
        </is>
      </c>
    </row>
    <row r="37" ht="14" customHeight="1">
      <c r="B37" s="4" t="inlineStr">
        <is>
          <t>Financials_Revii_v3_full_product.xlsx</t>
        </is>
      </c>
      <c r="C37" s="5" t="inlineStr">
        <is>
          <t>Voice Care price, COGS build-up, COCA, churn, CAPEX, growth curve shape, OPEX structure.</t>
        </is>
      </c>
    </row>
    <row r="38" ht="14" customHeight="1">
      <c r="B38" s="4" t="inlineStr">
        <is>
          <t>Lisbon MBA BP report (.docx)</t>
        </is>
      </c>
      <c r="C38" s="5" t="inlineStr">
        <is>
          <t>Preventive Care pricing and cost, market sequencing, operating model, team structure.</t>
        </is>
      </c>
    </row>
    <row r="39" ht="28" customHeight="1">
      <c r="B39" s="4" t="inlineStr">
        <is>
          <t>Final version deck (.pdf)</t>
        </is>
      </c>
      <c r="C39" s="5" t="inlineStr">
        <is>
          <t>Launch sequencing (Spain +12 months, Preventive +24 months), unit economics per tier. Where the deck and the Excel disagree, the deck wins.</t>
        </is>
      </c>
    </row>
    <row r="41">
      <c r="B41" s="6" t="inlineStr">
        <is>
          <t>Built for the Revii founding team · all figures in euros unless stated</t>
        </is>
      </c>
    </row>
  </sheetData>
  <mergeCells count="6">
    <mergeCell ref="B6:C6"/>
    <mergeCell ref="B21:C21"/>
    <mergeCell ref="B29:C29"/>
    <mergeCell ref="B15:C15"/>
    <mergeCell ref="B10:C10"/>
    <mergeCell ref="B36:C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9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3" customWidth="1" min="9" max="9"/>
    <col width="64" customWidth="1" min="10" max="10"/>
  </cols>
  <sheetData>
    <row r="2">
      <c r="B2" s="1" t="inlineStr">
        <is>
          <t>VOICE CARE  —  DASHBOARD</t>
        </is>
      </c>
    </row>
    <row r="3">
      <c r="B3" s="21">
        <f>"Scenario in force:  "&amp;Inputs!C8&amp;"   ·   change it on Inputs!C7 (1 Conservative / 2 Base / 3 Optimistic)"</f>
        <v/>
      </c>
    </row>
    <row r="5">
      <c r="B5" s="22" t="inlineStr">
        <is>
          <t>THE INVESTMENT</t>
        </is>
      </c>
      <c r="C5" s="22" t="n"/>
      <c r="D5" s="22" t="n"/>
      <c r="E5" s="22" t="n"/>
      <c r="F5" s="22" t="n"/>
      <c r="G5" s="22" t="n"/>
      <c r="H5" s="22" t="n"/>
      <c r="I5" s="22" t="n"/>
    </row>
    <row r="6">
      <c r="B6" s="77" t="inlineStr">
        <is>
          <t>Total founders' equity required</t>
        </is>
      </c>
      <c r="C6" s="78">
        <f>MAX('P&amp;L Monthly'!$D$63:$BK$63)</f>
        <v/>
      </c>
      <c r="J6" s="14" t="inlineStr">
        <is>
          <t>Peak cumulative cash the founders must put in. This is the number to raise among yourselves.</t>
        </is>
      </c>
    </row>
    <row r="7">
      <c r="B7" s="11" t="inlineStr">
        <is>
          <t>Of which, spent before Portugal launches</t>
        </is>
      </c>
      <c r="C7" s="79">
        <f>'P&amp;L Monthly'!D63</f>
        <v/>
      </c>
      <c r="J7" s="14" t="inlineStr">
        <is>
          <t>Equity injected in month 1 — the build period. See Inputs section 2 for the build length.</t>
        </is>
      </c>
    </row>
    <row r="8">
      <c r="B8" s="11" t="inlineStr">
        <is>
          <t>Deepest cash position (cumulative free cash flow)</t>
        </is>
      </c>
      <c r="C8" s="79">
        <f>MIN('P&amp;L Monthly'!$D$60:$BK$60)</f>
        <v/>
      </c>
      <c r="J8" s="14" t="inlineStr">
        <is>
          <t>The trough. The gap between this and zero is what the business has to earn back.</t>
        </is>
      </c>
    </row>
    <row r="9">
      <c r="B9" s="11" t="inlineStr">
        <is>
          <t>Month of the deepest cash position</t>
        </is>
      </c>
      <c r="C9" s="80">
        <f>"Month "&amp;INDEX('P&amp;L Monthly'!$D$4:$BK$4,1,MATCH(MIN('P&amp;L Monthly'!$D$60:$BK$60),'P&amp;L Monthly'!$D$60:$BK$60,0))</f>
        <v/>
      </c>
    </row>
    <row r="11">
      <c r="B11" s="22" t="inlineStr">
        <is>
          <t>WHEN IT TURNS</t>
        </is>
      </c>
      <c r="C11" s="22" t="n"/>
      <c r="D11" s="22" t="n"/>
      <c r="E11" s="22" t="n"/>
      <c r="F11" s="22" t="n"/>
      <c r="G11" s="22" t="n"/>
      <c r="H11" s="22" t="n"/>
      <c r="I11" s="22" t="n"/>
    </row>
    <row r="12">
      <c r="B12" s="11" t="inlineStr">
        <is>
          <t>EBITDA turns positive (and stays)</t>
        </is>
      </c>
      <c r="C12" s="80">
        <f>IF(MIN('P&amp;L Monthly'!$D$79:$BK$79)&gt;=9999,"beyond year 5","Month "&amp;MIN('P&amp;L Monthly'!$D$79:$BK$79))</f>
        <v/>
      </c>
      <c r="J12" s="14" t="inlineStr">
        <is>
          <t>Operating profit before depreciation.</t>
        </is>
      </c>
    </row>
    <row r="13">
      <c r="B13" s="11" t="inlineStr">
        <is>
          <t>Net income turns positive (and stays)</t>
        </is>
      </c>
      <c r="C13" s="80">
        <f>IF(MIN('P&amp;L Monthly'!$D$81:$BK$81)&gt;=9999,"beyond year 5","Month "&amp;MIN('P&amp;L Monthly'!$D$81:$BK$81))</f>
        <v/>
      </c>
    </row>
    <row r="14">
      <c r="B14" s="11" t="inlineStr">
        <is>
          <t>Free cash flow turns positive (and stays)</t>
        </is>
      </c>
      <c r="C14" s="80">
        <f>IF(MIN('P&amp;L Monthly'!$D$80:$BK$80)&gt;=9999,"beyond year 5","Month "&amp;MIN('P&amp;L Monthly'!$D$80:$BK$80))</f>
        <v/>
      </c>
      <c r="J14" s="14" t="inlineStr">
        <is>
          <t>The month the business stops consuming founders' money.</t>
        </is>
      </c>
    </row>
    <row r="15">
      <c r="B15" s="11" t="inlineStr">
        <is>
          <t>Cumulative free cash flow back above zero</t>
        </is>
      </c>
      <c r="C15" s="80">
        <f>IF(MIN('P&amp;L Monthly'!$D$82:$BK$82)&gt;=9999,"beyond year 5","Month "&amp;MIN('P&amp;L Monthly'!$D$82:$BK$82))</f>
        <v/>
      </c>
      <c r="J15" s="14" t="inlineStr">
        <is>
          <t>The month the founders are, in cash terms, whole again.</t>
        </is>
      </c>
    </row>
    <row r="17">
      <c r="B17" s="22" t="inlineStr">
        <is>
          <t>SCALE AT YEAR 5</t>
        </is>
      </c>
      <c r="C17" s="22" t="n"/>
      <c r="D17" s="22" t="n"/>
      <c r="E17" s="22" t="n"/>
      <c r="F17" s="22" t="n"/>
      <c r="G17" s="22" t="n"/>
      <c r="H17" s="22" t="n"/>
      <c r="I17" s="22" t="n"/>
    </row>
    <row r="18">
      <c r="B18" s="11" t="inlineStr">
        <is>
          <t>Net revenue</t>
        </is>
      </c>
      <c r="C18" s="79">
        <f>Annual!H10</f>
        <v/>
      </c>
      <c r="J18" s="14" t="inlineStr">
        <is>
          <t>After VAT, payment leakage and channel fees.</t>
        </is>
      </c>
    </row>
    <row r="19">
      <c r="B19" s="11" t="inlineStr">
        <is>
          <t>Gross billings (what customers pay)</t>
        </is>
      </c>
      <c r="C19" s="79">
        <f>SUM('Model PT'!AZ23:BK23)+SUM('Model ES'!AZ23:BK23)</f>
        <v/>
      </c>
      <c r="J19" s="14" t="inlineStr">
        <is>
          <t>The headline number. The gap to net revenue is VAT and leakage.</t>
        </is>
      </c>
    </row>
    <row r="20">
      <c r="B20" s="11" t="inlineStr">
        <is>
          <t>EBITDA</t>
        </is>
      </c>
      <c r="C20" s="79">
        <f>Annual!H20</f>
        <v/>
      </c>
    </row>
    <row r="21">
      <c r="B21" s="11" t="inlineStr">
        <is>
          <t>EBITDA margin</t>
        </is>
      </c>
      <c r="C21" s="81">
        <f>Annual!H21</f>
        <v/>
      </c>
    </row>
    <row r="22">
      <c r="B22" s="11" t="inlineStr">
        <is>
          <t>Active customers — Portugal</t>
        </is>
      </c>
      <c r="C22" s="79">
        <f>Annual!H29</f>
        <v/>
      </c>
    </row>
    <row r="23">
      <c r="B23" s="11" t="inlineStr">
        <is>
          <t>Active customers — Spain</t>
        </is>
      </c>
      <c r="C23" s="79">
        <f>Annual!H30</f>
        <v/>
      </c>
    </row>
    <row r="24">
      <c r="B24" s="77" t="inlineStr">
        <is>
          <t>Active customers — total</t>
        </is>
      </c>
      <c r="C24" s="78">
        <f>Annual!H31</f>
        <v/>
      </c>
    </row>
    <row r="25">
      <c r="B25" s="11" t="inlineStr">
        <is>
          <t>Cumulative net income, years 1-5</t>
        </is>
      </c>
      <c r="C25" s="79">
        <f>Annual!I25</f>
        <v/>
      </c>
    </row>
    <row r="27">
      <c r="B27" s="22" t="inlineStr">
        <is>
          <t>UNIT ECONOMICS  (per customer)</t>
        </is>
      </c>
      <c r="C27" s="82" t="inlineStr"/>
      <c r="D27" s="22" t="n"/>
      <c r="E27" s="22" t="n"/>
      <c r="F27" s="22" t="n"/>
      <c r="G27" s="22" t="n"/>
      <c r="H27" s="22" t="n"/>
      <c r="I27" s="22" t="n"/>
    </row>
    <row r="28">
      <c r="C28" s="83" t="inlineStr">
        <is>
          <t>Portugal Y1</t>
        </is>
      </c>
      <c r="D28" s="83" t="inlineStr">
        <is>
          <t>Portugal Y5</t>
        </is>
      </c>
      <c r="E28" s="83" t="inlineStr">
        <is>
          <t>Spain Y2</t>
        </is>
      </c>
      <c r="F28" s="83" t="inlineStr">
        <is>
          <t>Spain Y5</t>
        </is>
      </c>
      <c r="J28" s="14" t="inlineStr">
        <is>
          <t>Portugal Y1 and Spain Y2 are each market's first trading year — Spain launches in month 17, so it has no Year 1.</t>
        </is>
      </c>
    </row>
    <row r="29">
      <c r="B29" s="11" t="inlineStr">
        <is>
          <t>Net revenue per month</t>
        </is>
      </c>
      <c r="C29" s="84">
        <f>IFERROR(SUM('Model PT'!D24:O25)/SUM('Model PT'!D14:O14),0)</f>
        <v/>
      </c>
      <c r="D29" s="84">
        <f>IFERROR(SUM('Model PT'!AZ24:BK25)/SUM('Model PT'!AZ14:BK14),0)</f>
        <v/>
      </c>
      <c r="E29" s="84">
        <f>IFERROR(SUM('Model ES'!P24:AA25)/SUM('Model ES'!P14:AA14),0)</f>
        <v/>
      </c>
      <c r="F29" s="84">
        <f>IFERROR(SUM('Model ES'!AZ24:BK25)/SUM('Model ES'!AZ14:BK14),0)</f>
        <v/>
      </c>
      <c r="J29" s="14" t="inlineStr">
        <is>
          <t>Net revenue is after VAT, leakage and channel fees, so these are the real economics — not the headline price.</t>
        </is>
      </c>
    </row>
    <row r="30">
      <c r="B30" s="11" t="inlineStr">
        <is>
          <t>Cost of service per month</t>
        </is>
      </c>
      <c r="C30" s="84">
        <f>IFERROR(SUM('Model PT'!D34:O34)/SUM('Model PT'!D14:O14),0)</f>
        <v/>
      </c>
      <c r="D30" s="84">
        <f>IFERROR(SUM('Model PT'!AZ34:BK34)/SUM('Model PT'!AZ14:BK14),0)</f>
        <v/>
      </c>
      <c r="E30" s="84">
        <f>IFERROR(SUM('Model ES'!P34:AA34)/SUM('Model ES'!P14:AA14),0)</f>
        <v/>
      </c>
      <c r="F30" s="84">
        <f>IFERROR(SUM('Model ES'!AZ34:BK34)/SUM('Model ES'!AZ14:BK14),0)</f>
        <v/>
      </c>
    </row>
    <row r="31">
      <c r="B31" s="11" t="inlineStr">
        <is>
          <t>Gross profit per month</t>
        </is>
      </c>
      <c r="C31" s="84">
        <f>C29-C30</f>
        <v/>
      </c>
      <c r="D31" s="84">
        <f>D29-D30</f>
        <v/>
      </c>
      <c r="E31" s="84">
        <f>E29-E30</f>
        <v/>
      </c>
      <c r="F31" s="84">
        <f>F29-F30</f>
        <v/>
      </c>
    </row>
    <row r="32">
      <c r="B32" s="11" t="inlineStr">
        <is>
          <t>Gross margin</t>
        </is>
      </c>
      <c r="C32" s="85">
        <f>IFERROR(C31/C29,0)</f>
        <v/>
      </c>
      <c r="D32" s="85">
        <f>IFERROR(D31/D29,0)</f>
        <v/>
      </c>
      <c r="E32" s="85">
        <f>IFERROR(E31/E29,0)</f>
        <v/>
      </c>
      <c r="F32" s="85">
        <f>IFERROR(F31/F29,0)</f>
        <v/>
      </c>
    </row>
    <row r="33">
      <c r="B33" s="11" t="inlineStr">
        <is>
          <t>Average customer life (months, capped for LTV)</t>
        </is>
      </c>
      <c r="C33" s="113">
        <f>MIN(Inputs!$C$43,Inputs!$C$105)</f>
        <v/>
      </c>
      <c r="D33" s="113">
        <f>MIN(Inputs!$C$43,Inputs!$C$105)</f>
        <v/>
      </c>
      <c r="E33" s="113">
        <f>MIN(Inputs!$D$43,Inputs!$C$105)</f>
        <v/>
      </c>
      <c r="F33" s="113">
        <f>MIN(Inputs!$D$43,Inputs!$C$105)</f>
        <v/>
      </c>
    </row>
    <row r="34">
      <c r="B34" s="11" t="inlineStr">
        <is>
          <t>Lifetime value (gross profit basis)</t>
        </is>
      </c>
      <c r="C34" s="87">
        <f>C31*C33</f>
        <v/>
      </c>
      <c r="D34" s="87">
        <f>D31*D33</f>
        <v/>
      </c>
      <c r="E34" s="87">
        <f>E31*E33</f>
        <v/>
      </c>
      <c r="F34" s="87">
        <f>F31*F33</f>
        <v/>
      </c>
      <c r="J34" s="14" t="n"/>
    </row>
    <row r="35">
      <c r="B35" s="11" t="inlineStr">
        <is>
          <t>Cost per acquired customer</t>
        </is>
      </c>
      <c r="C35" s="84">
        <f>Inputs!$C$68*Inputs!$C$70</f>
        <v/>
      </c>
      <c r="D35" s="84">
        <f>Inputs!$G$68*Inputs!$C$70</f>
        <v/>
      </c>
      <c r="E35" s="84">
        <f>Inputs!$C$69*Inputs!$C$70</f>
        <v/>
      </c>
      <c r="F35" s="84">
        <f>Inputs!$G$69*Inputs!$C$70</f>
        <v/>
      </c>
    </row>
    <row r="36">
      <c r="B36" s="11" t="inlineStr">
        <is>
          <t>LTV / COCA</t>
        </is>
      </c>
      <c r="C36" s="88">
        <f>IFERROR(C34/C35,0)</f>
        <v/>
      </c>
      <c r="D36" s="88">
        <f>IFERROR(D34/D35,0)</f>
        <v/>
      </c>
      <c r="E36" s="88">
        <f>IFERROR(E34/E35,0)</f>
        <v/>
      </c>
      <c r="F36" s="88">
        <f>IFERROR(F34/F35,0)</f>
        <v/>
      </c>
      <c r="J36" s="14" t="inlineStr">
        <is>
          <t>A LTV/COCA above 3.0x is the usual threshold for a healthy subscription business. A negative figure means the customer loses money over their life at these assumptions.</t>
        </is>
      </c>
    </row>
    <row r="37">
      <c r="B37" s="11" t="inlineStr">
        <is>
          <t>Months to pay back the acquisition cost</t>
        </is>
      </c>
      <c r="C37" s="113">
        <f>IF(C31&lt;=0,"never",C35/C31)</f>
        <v/>
      </c>
      <c r="D37" s="113">
        <f>IF(D31&lt;=0,"never",D35/D31)</f>
        <v/>
      </c>
      <c r="E37" s="113">
        <f>IF(E31&lt;=0,"never",E35/E31)</f>
        <v/>
      </c>
      <c r="F37" s="113">
        <f>IF(F31&lt;=0,"never",F35/F31)</f>
        <v/>
      </c>
    </row>
    <row r="39">
      <c r="B39" s="22" t="inlineStr">
        <is>
          <t>RETURN ON THE FOUNDERS' MONEY</t>
        </is>
      </c>
      <c r="C39" s="22" t="n"/>
      <c r="D39" s="22" t="n"/>
      <c r="E39" s="22" t="n"/>
      <c r="F39" s="22" t="n"/>
      <c r="G39" s="22" t="n"/>
      <c r="H39" s="22" t="n"/>
      <c r="I39" s="22" t="n"/>
    </row>
    <row r="40">
      <c r="B40" s="4" t="inlineStr">
        <is>
          <t>Annual equity cash flow (negative = money in)</t>
        </is>
      </c>
      <c r="C40" s="83" t="inlineStr">
        <is>
          <t>Year 1</t>
        </is>
      </c>
      <c r="D40" s="83" t="inlineStr">
        <is>
          <t>Year 2</t>
        </is>
      </c>
      <c r="E40" s="83" t="inlineStr">
        <is>
          <t>Year 3</t>
        </is>
      </c>
      <c r="F40" s="83" t="inlineStr">
        <is>
          <t>Year 4</t>
        </is>
      </c>
      <c r="G40" s="83" t="inlineStr">
        <is>
          <t>Year 5</t>
        </is>
      </c>
      <c r="H40" s="83" t="inlineStr">
        <is>
          <t>Exit</t>
        </is>
      </c>
    </row>
    <row r="41">
      <c r="B41" s="11" t="inlineStr">
        <is>
          <t>Equity in / exit proceeds out</t>
        </is>
      </c>
      <c r="C41" s="87">
        <f>-Annual!D42</f>
        <v/>
      </c>
      <c r="D41" s="87">
        <f>-Annual!E42</f>
        <v/>
      </c>
      <c r="E41" s="87">
        <f>-Annual!F42</f>
        <v/>
      </c>
      <c r="F41" s="87">
        <f>-Annual!G42</f>
        <v/>
      </c>
      <c r="G41" s="87">
        <f>-Annual!H42</f>
        <v/>
      </c>
      <c r="H41" s="79">
        <f>C48</f>
        <v/>
      </c>
    </row>
    <row r="43">
      <c r="B43" s="11" t="inlineStr">
        <is>
          <t>Total founders' equity invested</t>
        </is>
      </c>
      <c r="C43" s="79">
        <f>SUM(Annual!D42:H42)</f>
        <v/>
      </c>
    </row>
    <row r="44">
      <c r="B44" s="11" t="inlineStr">
        <is>
          <t>Year 5 net revenue</t>
        </is>
      </c>
      <c r="C44" s="79">
        <f>Annual!H10</f>
        <v/>
      </c>
    </row>
    <row r="45">
      <c r="B45" s="11" t="inlineStr">
        <is>
          <t>Year 5 EBITDA</t>
        </is>
      </c>
      <c r="C45" s="79">
        <f>Annual!H20</f>
        <v/>
      </c>
    </row>
    <row r="46">
      <c r="B46" s="11" t="inlineStr">
        <is>
          <t>Exit enterprise value</t>
        </is>
      </c>
      <c r="C46" s="79">
        <f>IF(Inputs!$C$102=1,Annual!H10*Inputs!$C$103,Annual!H20*Inputs!$C$104)</f>
        <v/>
      </c>
      <c r="J46" s="14" t="inlineStr">
        <is>
          <t>A convention for framing the return, not a valuation. Set the basis and multiple on Inputs section 11.</t>
        </is>
      </c>
    </row>
    <row r="47">
      <c r="B47" s="11" t="inlineStr">
        <is>
          <t>Plus year 5 cash, less debt</t>
        </is>
      </c>
      <c r="C47" s="79">
        <f>Annual!H47</f>
        <v/>
      </c>
      <c r="J47" s="14" t="inlineStr">
        <is>
          <t>No debt in this plan — funding is 100% founders' equity.</t>
        </is>
      </c>
    </row>
    <row r="48">
      <c r="B48" s="77" t="inlineStr">
        <is>
          <t>Exit equity value</t>
        </is>
      </c>
      <c r="C48" s="78">
        <f>MAX(0,C46+C47)</f>
        <v/>
      </c>
    </row>
    <row r="49">
      <c r="B49" s="77" t="inlineStr">
        <is>
          <t>Money multiple on invested equity</t>
        </is>
      </c>
      <c r="C49" s="89">
        <f>IFERROR(C48/C43,0)</f>
        <v/>
      </c>
      <c r="J49" s="14" t="inlineStr">
        <is>
          <t>The money multiple and IRR are driven almost entirely by the exit multiple on Inputs!C103. Treat them as a framing device, not a forecast.</t>
        </is>
      </c>
    </row>
    <row r="50">
      <c r="B50" s="77" t="inlineStr">
        <is>
          <t>IRR to the founders</t>
        </is>
      </c>
      <c r="C50" s="90">
        <f>IFERROR(IRR(C41:H41),0)</f>
        <v/>
      </c>
      <c r="J50" s="14" t="inlineStr">
        <is>
          <t>Injections are treated as start-of-year, the exit as end of year 5.</t>
        </is>
      </c>
    </row>
    <row r="51">
      <c r="B51" s="11" t="inlineStr">
        <is>
          <t>NPV of the equity cash flows</t>
        </is>
      </c>
      <c r="C51" s="79">
        <f>C41+NPV(Inputs!$C$101,D41:H41)</f>
        <v/>
      </c>
      <c r="J51" s="14" t="inlineStr">
        <is>
          <t>Discounted at the rate on Inputs!C101.</t>
        </is>
      </c>
    </row>
    <row r="53">
      <c r="B53" s="22" t="inlineStr">
        <is>
          <t>YEAR BY YEAR</t>
        </is>
      </c>
      <c r="C53" s="22" t="n"/>
      <c r="D53" s="22" t="n"/>
      <c r="E53" s="22" t="n"/>
      <c r="F53" s="22" t="n"/>
      <c r="G53" s="22" t="n"/>
      <c r="H53" s="22" t="n"/>
      <c r="I53" s="22" t="n"/>
    </row>
    <row r="54">
      <c r="B54" s="91" t="inlineStr"/>
      <c r="C54" s="83" t="inlineStr">
        <is>
          <t>Year 1</t>
        </is>
      </c>
      <c r="D54" s="83" t="inlineStr">
        <is>
          <t>Year 2</t>
        </is>
      </c>
      <c r="E54" s="83" t="inlineStr">
        <is>
          <t>Year 3</t>
        </is>
      </c>
      <c r="F54" s="83" t="inlineStr">
        <is>
          <t>Year 4</t>
        </is>
      </c>
      <c r="G54" s="83" t="inlineStr">
        <is>
          <t>Year 5</t>
        </is>
      </c>
    </row>
    <row r="55">
      <c r="B55" s="11" t="inlineStr">
        <is>
          <t>Net revenue</t>
        </is>
      </c>
      <c r="C55" s="87">
        <f>Annual!D10</f>
        <v/>
      </c>
      <c r="D55" s="87">
        <f>Annual!E10</f>
        <v/>
      </c>
      <c r="E55" s="87">
        <f>Annual!F10</f>
        <v/>
      </c>
      <c r="F55" s="87">
        <f>Annual!G10</f>
        <v/>
      </c>
      <c r="G55" s="87">
        <f>Annual!H10</f>
        <v/>
      </c>
    </row>
    <row r="56">
      <c r="B56" s="11" t="inlineStr">
        <is>
          <t>EBITDA</t>
        </is>
      </c>
      <c r="C56" s="87">
        <f>Annual!D20</f>
        <v/>
      </c>
      <c r="D56" s="87">
        <f>Annual!E20</f>
        <v/>
      </c>
      <c r="E56" s="87">
        <f>Annual!F20</f>
        <v/>
      </c>
      <c r="F56" s="87">
        <f>Annual!G20</f>
        <v/>
      </c>
      <c r="G56" s="87">
        <f>Annual!H20</f>
        <v/>
      </c>
    </row>
    <row r="57">
      <c r="B57" s="11" t="inlineStr">
        <is>
          <t>Net income</t>
        </is>
      </c>
      <c r="C57" s="87">
        <f>Annual!D25</f>
        <v/>
      </c>
      <c r="D57" s="87">
        <f>Annual!E25</f>
        <v/>
      </c>
      <c r="E57" s="87">
        <f>Annual!F25</f>
        <v/>
      </c>
      <c r="F57" s="87">
        <f>Annual!G25</f>
        <v/>
      </c>
      <c r="G57" s="87">
        <f>Annual!H25</f>
        <v/>
      </c>
    </row>
    <row r="58">
      <c r="B58" s="11" t="inlineStr">
        <is>
          <t>Free cash flow</t>
        </is>
      </c>
      <c r="C58" s="87">
        <f>Annual!D40</f>
        <v/>
      </c>
      <c r="D58" s="87">
        <f>Annual!E40</f>
        <v/>
      </c>
      <c r="E58" s="87">
        <f>Annual!F40</f>
        <v/>
      </c>
      <c r="F58" s="87">
        <f>Annual!G40</f>
        <v/>
      </c>
      <c r="G58" s="87">
        <f>Annual!H40</f>
        <v/>
      </c>
    </row>
    <row r="59">
      <c r="B59" s="11" t="inlineStr">
        <is>
          <t>Founders' equity injected</t>
        </is>
      </c>
      <c r="C59" s="87">
        <f>Annual!D42</f>
        <v/>
      </c>
      <c r="D59" s="87">
        <f>Annual!E42</f>
        <v/>
      </c>
      <c r="E59" s="87">
        <f>Annual!F42</f>
        <v/>
      </c>
      <c r="F59" s="87">
        <f>Annual!G42</f>
        <v/>
      </c>
      <c r="G59" s="87">
        <f>Annual!H42</f>
        <v/>
      </c>
    </row>
    <row r="60">
      <c r="B60" s="11" t="inlineStr">
        <is>
          <t>Cash at year end</t>
        </is>
      </c>
      <c r="C60" s="87">
        <f>Annual!D47</f>
        <v/>
      </c>
      <c r="D60" s="87">
        <f>Annual!E47</f>
        <v/>
      </c>
      <c r="E60" s="87">
        <f>Annual!F47</f>
        <v/>
      </c>
      <c r="F60" s="87">
        <f>Annual!G47</f>
        <v/>
      </c>
      <c r="G60" s="87">
        <f>Annual!H47</f>
        <v/>
      </c>
    </row>
    <row r="61">
      <c r="B61" s="11" t="inlineStr">
        <is>
          <t>Active customers</t>
        </is>
      </c>
      <c r="C61" s="87">
        <f>Annual!D31</f>
        <v/>
      </c>
      <c r="D61" s="87">
        <f>Annual!E31</f>
        <v/>
      </c>
      <c r="E61" s="87">
        <f>Annual!F31</f>
        <v/>
      </c>
      <c r="F61" s="87">
        <f>Annual!G31</f>
        <v/>
      </c>
      <c r="G61" s="87">
        <f>Annual!H31</f>
        <v/>
      </c>
    </row>
    <row r="63">
      <c r="B63" s="22" t="inlineStr">
        <is>
          <t>READ THIS BEFORE QUOTING ANY NUMBER ABOVE</t>
        </is>
      </c>
      <c r="C63" s="22" t="n"/>
      <c r="D63" s="22" t="n"/>
      <c r="E63" s="22" t="n"/>
      <c r="F63" s="22" t="n"/>
      <c r="G63" s="22" t="n"/>
      <c r="H63" s="22" t="n"/>
      <c r="I63" s="22" t="n"/>
    </row>
    <row r="64" ht="32" customHeight="1">
      <c r="B64" s="4" t="inlineStr">
        <is>
          <t>VAT is the biggest change from the MBA model</t>
        </is>
      </c>
      <c r="C64" s="14" t="inlineStr">
        <is>
          <t>Neither the plan nor the deck mentions VAT. Treating the listed price as VAT-inclusive removes about 19% of headline revenue in Portugal before any cost. If Revii intends to quote prices ex-VAT instead, set Inputs!C22 and D22 to 0 and every figure above improves sharply.</t>
        </is>
      </c>
    </row>
    <row r="65" ht="32" customHeight="1">
      <c r="B65" s="4" t="inlineStr">
        <is>
          <t>Voice minutes are the whole margin</t>
        </is>
      </c>
      <c r="C65" s="14" t="inlineStr">
        <is>
          <t>The MBA cost of EUR 11.28 per user implies 2.5 minutes a day, not the 5 minutes its own note describes. Doubling minutes roughly doubles cost of service and can take gross margin negative. Measure real call length in a pilot before committing to the price.</t>
        </is>
      </c>
    </row>
    <row r="66" ht="32" customHeight="1">
      <c r="B66" s="4" t="inlineStr">
        <is>
          <t>Founders are unpaid in every year</t>
        </is>
      </c>
      <c r="C66" s="14" t="inlineStr">
        <is>
          <t>Per instruction. Paying a founding team properly would add roughly EUR 150-250k a year from year 2 and would push break-even out materially.</t>
        </is>
      </c>
    </row>
    <row r="67" ht="32" customHeight="1">
      <c r="B67" s="4" t="inlineStr">
        <is>
          <t>Selling through the app stores would break this</t>
        </is>
      </c>
      <c r="C67" s="14" t="inlineStr">
        <is>
          <t>The model assumes web checkout at a 2.5% fee. Apple and Google take 15-30%, which is larger than the entire gross margin at the base price. Bill on the web.</t>
        </is>
      </c>
    </row>
    <row r="68" ht="32" customHeight="1">
      <c r="B68" s="4" t="inlineStr">
        <is>
          <t>Preventive Care arrives late</t>
        </is>
      </c>
      <c r="C68" s="14" t="inlineStr">
        <is>
          <t>The deck puts it 24 months after launch. It carries a far better margin than Voice Care, so pulling it forward on Inputs!C15 is one of the cheapest ways to improve this plan.</t>
        </is>
      </c>
    </row>
    <row r="69" ht="32" customHeight="1">
      <c r="B69" s="4" t="inlineStr">
        <is>
          <t>Working capital is approximated</t>
        </is>
      </c>
      <c r="C69" s="14" t="inlineStr">
        <is>
          <t>Receivables and payables use days ratios; VAT settlement timing is ignored. Fine for sizing, not for a cash-management calendar.</t>
        </is>
      </c>
    </row>
    <row r="71">
      <c r="B71" s="8" t="inlineStr">
        <is>
          <t>The bars share one axis because both series are euros. Year 1 is short — it contains the build months.</t>
        </is>
      </c>
    </row>
    <row r="72">
      <c r="B72" s="116" t="inlineStr">
        <is>
          <t>NET REVENUE AND EBITDA BY YEAR  (EUR)</t>
        </is>
      </c>
    </row>
    <row r="92">
      <c r="B92" s="8" t="inlineStr">
        <is>
          <t>Both series are euros on one axis. The blue line is money the founders have put in; the orange line is what the business has generated. Where orange crosses blue, the venture has repaid itself.</t>
        </is>
      </c>
    </row>
    <row r="93">
      <c r="B93" s="116" t="inlineStr">
        <is>
          <t>CUMULATIVE FOUNDERS' EQUITY IN vs CUMULATIVE FREE CASH FLOW  (EUR, by month)</t>
        </is>
      </c>
    </row>
  </sheetData>
  <mergeCells count="6">
    <mergeCell ref="C65:H65"/>
    <mergeCell ref="C66:H66"/>
    <mergeCell ref="C69:H69"/>
    <mergeCell ref="C64:H64"/>
    <mergeCell ref="C68:H68"/>
    <mergeCell ref="C67:H6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0" customWidth="1" min="3" max="3"/>
    <col width="15" customWidth="1" min="4" max="4"/>
    <col width="15" customWidth="1" min="5" max="5"/>
    <col width="15" customWidth="1" min="6" max="6"/>
    <col width="3" customWidth="1" min="7" max="7"/>
    <col width="62" customWidth="1" min="8" max="8"/>
  </cols>
  <sheetData>
    <row r="2">
      <c r="B2" s="7" t="inlineStr">
        <is>
          <t>SCENARIO LEVERS</t>
        </is>
      </c>
    </row>
    <row r="3">
      <c r="B3" s="8" t="inlineStr">
        <is>
          <t>The ten assumptions that actually move this business. Edit any cell below; the model uses the column chosen on Inputs!C6.</t>
        </is>
      </c>
    </row>
    <row r="5">
      <c r="B5" s="9" t="inlineStr">
        <is>
          <t>Lever</t>
        </is>
      </c>
      <c r="C5" s="93" t="inlineStr">
        <is>
          <t>Unit</t>
        </is>
      </c>
      <c r="D5" s="93" t="inlineStr">
        <is>
          <t>1 Conservative</t>
        </is>
      </c>
      <c r="E5" s="93" t="inlineStr">
        <is>
          <t>2 Base</t>
        </is>
      </c>
      <c r="F5" s="93" t="inlineStr">
        <is>
          <t>3 Optimistic</t>
        </is>
      </c>
      <c r="H5" s="9" t="inlineStr">
        <is>
          <t>Why it matters / where the base case comes from</t>
        </is>
      </c>
    </row>
    <row r="6" ht="26" customHeight="1">
      <c r="B6" s="11" t="inlineStr">
        <is>
          <t>New paying customers in Portugal launch month</t>
        </is>
      </c>
      <c r="C6" s="12" t="inlineStr">
        <is>
          <t>cust</t>
        </is>
      </c>
      <c r="D6" s="13" t="n">
        <v>6</v>
      </c>
      <c r="E6" s="13" t="n">
        <v>10</v>
      </c>
      <c r="F6" s="13" t="n">
        <v>16</v>
      </c>
      <c r="H6" s="14" t="inlineStr">
        <is>
          <t>MBA model starts Portugal at 10 in month 1. Conservative assumes a slower cold start.</t>
        </is>
      </c>
    </row>
    <row r="7" ht="26" customHeight="1">
      <c r="B7" s="11" t="inlineStr">
        <is>
          <t>New paying customers in Spain launch month</t>
        </is>
      </c>
      <c r="C7" s="12" t="inlineStr">
        <is>
          <t>cust</t>
        </is>
      </c>
      <c r="D7" s="13" t="n">
        <v>8</v>
      </c>
      <c r="E7" s="13" t="n">
        <v>15</v>
      </c>
      <c r="F7" s="13" t="n">
        <v>25</v>
      </c>
      <c r="H7" s="14" t="inlineStr">
        <is>
          <t>Spain starts warm: brand, content and playbook already exist from Portugal.</t>
        </is>
      </c>
    </row>
    <row r="8" ht="26" customHeight="1">
      <c r="B8" s="11" t="inlineStr">
        <is>
          <t>Growth ramp multiplier on monthly new-customer growth</t>
        </is>
      </c>
      <c r="C8" s="12" t="inlineStr">
        <is>
          <t>x</t>
        </is>
      </c>
      <c r="D8" s="15" t="n">
        <v>0.7</v>
      </c>
      <c r="E8" s="15" t="n">
        <v>1</v>
      </c>
      <c r="F8" s="15" t="n">
        <v>1.35</v>
      </c>
      <c r="H8" s="14" t="inlineStr">
        <is>
          <t>Scales the whole acquisition ramp set on Inputs rows 30-34. 1.00x reproduces the base ramp.</t>
        </is>
      </c>
    </row>
    <row r="9" ht="26" customHeight="1">
      <c r="B9" s="11" t="inlineStr">
        <is>
          <t>Annual churn rate</t>
        </is>
      </c>
      <c r="C9" s="12" t="inlineStr">
        <is>
          <t>% / yr</t>
        </is>
      </c>
      <c r="D9" s="16" t="n">
        <v>0.25</v>
      </c>
      <c r="E9" s="16" t="n">
        <v>0.18</v>
      </c>
      <c r="F9" s="16" t="n">
        <v>0.12</v>
      </c>
      <c r="H9" s="14" t="inlineStr">
        <is>
          <t>MBA model assumes 15%/yr. For a EUR 19 consumer subscription that is optimistic, so base is 18%.</t>
        </is>
      </c>
    </row>
    <row r="10" ht="26" customHeight="1">
      <c r="B10" s="11" t="inlineStr">
        <is>
          <t>Voice Care price (EUR/month, incl. VAT)</t>
        </is>
      </c>
      <c r="C10" s="12" t="inlineStr">
        <is>
          <t>EUR</t>
        </is>
      </c>
      <c r="D10" s="17" t="n">
        <v>18.99</v>
      </c>
      <c r="E10" s="17" t="n">
        <v>18.99</v>
      </c>
      <c r="F10" s="17" t="n">
        <v>24.99</v>
      </c>
      <c r="H10" s="14" t="inlineStr">
        <is>
          <t>Deck price is 18.99. Survey median willingness to pay for a basic tier was EUR 26 (mean 31), so the optimistic case tests 24.99.</t>
        </is>
      </c>
    </row>
    <row r="11" ht="26" customHeight="1">
      <c r="B11" s="11" t="inlineStr">
        <is>
          <t>Minutes per AI call</t>
        </is>
      </c>
      <c r="C11" s="12" t="inlineStr">
        <is>
          <t>min</t>
        </is>
      </c>
      <c r="D11" s="18" t="n">
        <v>3</v>
      </c>
      <c r="E11" s="18" t="n">
        <v>2.5</v>
      </c>
      <c r="F11" s="18" t="n">
        <v>2</v>
      </c>
      <c r="H11" s="14" t="inlineStr">
        <is>
          <t>The MBA COGS of EUR 11.28 implies 2.5 min/day at 1 call/day, despite its note saying '~5 min/day'. This is the assumption to challenge hardest.</t>
        </is>
      </c>
    </row>
    <row r="12" ht="26" customHeight="1">
      <c r="B12" s="11" t="inlineStr">
        <is>
          <t>Cost per AI voice minute, Year 1</t>
        </is>
      </c>
      <c r="C12" s="12" t="inlineStr">
        <is>
          <t>EUR</t>
        </is>
      </c>
      <c r="D12" s="19" t="n">
        <v>0.18</v>
      </c>
      <c r="E12" s="19" t="n">
        <v>0.15</v>
      </c>
      <c r="F12" s="19" t="n">
        <v>0.08</v>
      </c>
      <c r="H12" s="14" t="inlineStr">
        <is>
          <t>MBA model cites Retell at EUR 0.15/min. Optimistic reflects volume pricing and cheaper models.</t>
        </is>
      </c>
    </row>
    <row r="13" ht="26" customHeight="1">
      <c r="B13" s="11" t="inlineStr">
        <is>
          <t>COCA multiplier on the acquisition cost curve</t>
        </is>
      </c>
      <c r="C13" s="12" t="inlineStr">
        <is>
          <t>x</t>
        </is>
      </c>
      <c r="D13" s="15" t="n">
        <v>1.3</v>
      </c>
      <c r="E13" s="15" t="n">
        <v>1</v>
      </c>
      <c r="F13" s="15" t="n">
        <v>0.8</v>
      </c>
      <c r="H13" s="14" t="inlineStr">
        <is>
          <t>Scales the cost-per-acquired-customer curve on Inputs rows 62-63.</t>
        </is>
      </c>
    </row>
    <row r="14" ht="26" customHeight="1">
      <c r="B14" s="11" t="inlineStr">
        <is>
          <t>Preventive Care attach-rate multiplier</t>
        </is>
      </c>
      <c r="C14" s="12" t="inlineStr">
        <is>
          <t>x</t>
        </is>
      </c>
      <c r="D14" s="15" t="n">
        <v>0.6</v>
      </c>
      <c r="E14" s="15" t="n">
        <v>1</v>
      </c>
      <c r="F14" s="15" t="n">
        <v>1.4</v>
      </c>
      <c r="H14" s="14" t="inlineStr">
        <is>
          <t>Scales the attach curve on Inputs rows 44-45. Preventive is the margin repair, so attach matters more than it looks.</t>
        </is>
      </c>
    </row>
    <row r="15" ht="26" customHeight="1">
      <c r="B15" s="11" t="inlineStr">
        <is>
          <t>Brand marketing spend multiplier</t>
        </is>
      </c>
      <c r="C15" s="12" t="inlineStr">
        <is>
          <t>x</t>
        </is>
      </c>
      <c r="D15" s="15" t="n">
        <v>1</v>
      </c>
      <c r="E15" s="15" t="n">
        <v>1</v>
      </c>
      <c r="F15" s="15" t="n">
        <v>1.2</v>
      </c>
      <c r="H15" s="14" t="inlineStr">
        <is>
          <t>Scales the brand/content line in OPEX. Higher spend in the optimistic case funds the faster ramp.</t>
        </is>
      </c>
    </row>
    <row r="17">
      <c r="B17" s="4" t="inlineStr">
        <is>
          <t>Active scenario</t>
        </is>
      </c>
      <c r="C17" s="114">
        <f>Inputs!C7</f>
        <v/>
      </c>
      <c r="D17" s="21">
        <f>INDEX($D$5:$F$5,1,Inputs!C7)</f>
        <v/>
      </c>
    </row>
    <row r="19">
      <c r="B19" s="6" t="inlineStr">
        <is>
          <t>Everything not listed here is on the Inputs sheet and applies to all three scenarios.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70" customWidth="1" min="9" max="9"/>
  </cols>
  <sheetData>
    <row r="2">
      <c r="B2" s="7" t="inlineStr">
        <is>
          <t>VOICE CARE — INPUTS &amp; ASSUMPTIONS</t>
        </is>
      </c>
    </row>
    <row r="3">
      <c r="B3" s="8" t="inlineStr">
        <is>
          <t>Blue = edit here.  Green = pulled from the Scenarios tab.  Black = calculated.  Yellow fill = the assumptions worth arguing about.</t>
        </is>
      </c>
    </row>
    <row r="6">
      <c r="B6" s="22" t="inlineStr">
        <is>
          <t>1 · SCENARIO SELECTOR</t>
        </is>
      </c>
      <c r="C6" s="22" t="n"/>
      <c r="D6" s="22" t="n"/>
      <c r="E6" s="22" t="n"/>
      <c r="F6" s="22" t="n"/>
      <c r="G6" s="22" t="n"/>
      <c r="I6" s="23" t="inlineStr">
        <is>
          <t>Source / rationale</t>
        </is>
      </c>
    </row>
    <row r="7">
      <c r="B7" s="24" t="inlineStr">
        <is>
          <t>Active scenario  (1 = Conservative, 2 = Base, 3 = Optimistic)</t>
        </is>
      </c>
      <c r="C7" s="25" t="n">
        <v>2</v>
      </c>
      <c r="I7" s="26" t="inlineStr">
        <is>
          <t>Change this one cell to reprice the whole business.</t>
        </is>
      </c>
    </row>
    <row r="8">
      <c r="B8" s="27" t="inlineStr">
        <is>
          <t>Scenario in force</t>
        </is>
      </c>
      <c r="C8" s="28">
        <f>INDEX(Scenarios!$D$5:$F$5,1,$C$7)</f>
        <v/>
      </c>
    </row>
    <row r="10">
      <c r="B10" s="22" t="inlineStr">
        <is>
          <t>2 · TIMING</t>
        </is>
      </c>
      <c r="C10" s="22" t="n"/>
      <c r="D10" s="22" t="n"/>
      <c r="E10" s="22" t="n"/>
      <c r="F10" s="22" t="n"/>
      <c r="G10" s="22" t="n"/>
      <c r="I10" s="23" t="inlineStr">
        <is>
          <t>Source / rationale</t>
        </is>
      </c>
    </row>
    <row r="11">
      <c r="B11" s="27" t="inlineStr">
        <is>
          <t>Model horizon (months)</t>
        </is>
      </c>
      <c r="C11" s="29" t="n">
        <v>60</v>
      </c>
      <c r="I11" s="14" t="inlineStr">
        <is>
          <t>Five years. Month 1 is the first month of the venture, not the first month of trading.</t>
        </is>
      </c>
    </row>
    <row r="12">
      <c r="B12" s="27" t="inlineStr">
        <is>
          <t>Product build period before launch (months)</t>
        </is>
      </c>
      <c r="C12" s="115" t="n">
        <v>4</v>
      </c>
      <c r="I12" s="14" t="inlineStr">
        <is>
          <t>No revenue during the build. BP tech section sizes the Voice Care build at 3-4 months.</t>
        </is>
      </c>
    </row>
    <row r="13">
      <c r="B13" s="27" t="inlineStr">
        <is>
          <t>Portugal launch month</t>
        </is>
      </c>
      <c r="C13" s="31">
        <f>C12+1</f>
        <v/>
      </c>
    </row>
    <row r="14">
      <c r="B14" s="27" t="inlineStr">
        <is>
          <t>Spain launch month</t>
        </is>
      </c>
      <c r="C14" s="31">
        <f>C13+12</f>
        <v/>
      </c>
      <c r="I14" s="14" t="inlineStr">
        <is>
          <t>Twelve months after Portugal, per instruction and the deck (Voice Care Spain: +12 months).</t>
        </is>
      </c>
    </row>
    <row r="15">
      <c r="B15" s="27" t="inlineStr">
        <is>
          <t>Preventive Care launch month</t>
        </is>
      </c>
      <c r="C15" s="32">
        <f>C13+24</f>
        <v/>
      </c>
      <c r="I15" s="14" t="inlineStr">
        <is>
          <t>Deck slide 25: Preventive Care is a post-launch upgrade at +24 months. Pull this forward to test the margin effect.</t>
        </is>
      </c>
    </row>
    <row r="16">
      <c r="B16" s="27" t="inlineStr">
        <is>
          <t>Average days per month</t>
        </is>
      </c>
      <c r="C16" s="33" t="n">
        <v>30.44</v>
      </c>
      <c r="I16" s="14" t="inlineStr">
        <is>
          <t>365.25 / 12. Drives voice minutes per month.</t>
        </is>
      </c>
    </row>
    <row r="18">
      <c r="B18" s="22" t="inlineStr">
        <is>
          <t>3 · PRICING, VAT &amp; REVENUE LEAKAGE</t>
        </is>
      </c>
      <c r="C18" s="22" t="n"/>
      <c r="D18" s="22" t="n"/>
      <c r="E18" s="22" t="n"/>
      <c r="F18" s="22" t="n"/>
      <c r="G18" s="22" t="n"/>
      <c r="I18" s="23" t="inlineStr">
        <is>
          <t>Source / rationale</t>
        </is>
      </c>
    </row>
    <row r="19">
      <c r="C19" s="83" t="inlineStr">
        <is>
          <t>Portugal</t>
        </is>
      </c>
      <c r="D19" s="83" t="inlineStr">
        <is>
          <t>Spain</t>
        </is>
      </c>
    </row>
    <row r="20">
      <c r="B20" s="27" t="inlineStr">
        <is>
          <t>Voice Care price (EUR/month, as paid by customer)</t>
        </is>
      </c>
      <c r="C20" s="35">
        <f>INDEX(Scenarios!$D$10:$F$10,1,$C$7)</f>
        <v/>
      </c>
      <c r="D20" s="36">
        <f>C20</f>
        <v/>
      </c>
      <c r="I20" s="14" t="inlineStr">
        <is>
          <t>From the Scenarios tab. Spain is priced identically to Portugal by default.</t>
        </is>
      </c>
    </row>
    <row r="21">
      <c r="B21" s="27" t="inlineStr">
        <is>
          <t>Preventive Care add-on (EUR/month, as paid)</t>
        </is>
      </c>
      <c r="C21" s="37" t="n">
        <v>8.99</v>
      </c>
      <c r="D21" s="37" t="n">
        <v>8.99</v>
      </c>
      <c r="I21" s="14" t="inlineStr">
        <is>
          <t>BP Revenue Architecture: Preventive Care add-on at EUR 8.99, available across all tiers.</t>
        </is>
      </c>
    </row>
    <row r="22">
      <c r="B22" s="27" t="inlineStr">
        <is>
          <t>Prices include VAT?  (1 = yes, 0 = no)</t>
        </is>
      </c>
      <c r="C22" s="115" t="n">
        <v>1</v>
      </c>
      <c r="D22" s="115" t="n">
        <v>1</v>
      </c>
      <c r="I22" s="14" t="inlineStr">
        <is>
          <t>Neither the BP nor the deck mentions VAT. Per instruction the listed price is what the end user pays, so it is treated as VAT-inclusive.</t>
        </is>
      </c>
    </row>
    <row r="23">
      <c r="B23" s="27" t="inlineStr">
        <is>
          <t>VAT rate</t>
        </is>
      </c>
      <c r="C23" s="38" t="n">
        <v>0.23</v>
      </c>
      <c r="D23" s="38" t="n">
        <v>0.21</v>
      </c>
      <c r="I23" s="14" t="inlineStr">
        <is>
          <t>Standard rate: Portugal 23%, Spain 21%.</t>
        </is>
      </c>
    </row>
    <row r="24">
      <c r="B24" s="27" t="inlineStr">
        <is>
          <t>Annual price increase</t>
        </is>
      </c>
      <c r="C24" s="38" t="n">
        <v>0.01</v>
      </c>
      <c r="D24" s="38" t="n">
        <v>0.01</v>
      </c>
      <c r="I24" s="14" t="inlineStr">
        <is>
          <t>MBA model escalates Voice Care ~1%/yr (18.99 to 19.76 over five years).</t>
        </is>
      </c>
    </row>
    <row r="25">
      <c r="B25" s="27" t="inlineStr">
        <is>
          <t>Payment leakage (failed cards, refunds, chargebacks)</t>
        </is>
      </c>
      <c r="C25" s="38" t="n">
        <v>0.04</v>
      </c>
      <c r="D25" s="38" t="n">
        <v>0.04</v>
      </c>
      <c r="I25" s="14" t="inlineStr">
        <is>
          <t>'Details V2' sheet: 3-5% revenue leakage, recommends modelling a 4% haircut.</t>
        </is>
      </c>
    </row>
    <row r="26">
      <c r="B26" s="27" t="inlineStr">
        <is>
          <t>Billing / payment channel fee</t>
        </is>
      </c>
      <c r="C26" s="38" t="n">
        <v>0.025</v>
      </c>
      <c r="D26" s="38" t="n">
        <v>0.025</v>
      </c>
      <c r="I26" s="14" t="inlineStr">
        <is>
          <t>Assumes web checkout (Stripe ~2.5%). Selling through the app stores instead would cost 15-30% and break the model — see Dashboard note.</t>
        </is>
      </c>
    </row>
    <row r="27">
      <c r="B27" s="27" t="inlineStr">
        <is>
          <t>Net revenue retained per EUR 1 billed</t>
        </is>
      </c>
      <c r="C27" s="39">
        <f>IF(C22=1,1/(1+C23),1)*(1-C25)*(1-C26)</f>
        <v/>
      </c>
      <c r="D27" s="39">
        <f>IF(D22=1,1/(1+D23),1)*(1-D25)*(1-D26)</f>
        <v/>
      </c>
      <c r="I27" s="14" t="inlineStr">
        <is>
          <t>The gap between headline price and money actually earned.</t>
        </is>
      </c>
    </row>
    <row r="28">
      <c r="B28" s="27" t="inlineStr">
        <is>
          <t>Net revenue per customer, Year 1 (EUR/month)</t>
        </is>
      </c>
      <c r="C28" s="40">
        <f>C20*C27</f>
        <v/>
      </c>
      <c r="D28" s="40">
        <f>D20*D27</f>
        <v/>
      </c>
    </row>
    <row r="30">
      <c r="B30" s="22" t="inlineStr">
        <is>
          <t>4 · CUSTOMER GROWTH &amp; RETENTION</t>
        </is>
      </c>
      <c r="C30" s="22" t="n"/>
      <c r="D30" s="22" t="n"/>
      <c r="E30" s="22" t="n"/>
      <c r="F30" s="22" t="n"/>
      <c r="G30" s="22" t="n"/>
      <c r="I30" s="23" t="inlineStr">
        <is>
          <t>Source / rationale</t>
        </is>
      </c>
    </row>
    <row r="31">
      <c r="C31" s="83" t="inlineStr">
        <is>
          <t>Portugal</t>
        </is>
      </c>
      <c r="D31" s="83" t="inlineStr">
        <is>
          <t>Spain</t>
        </is>
      </c>
    </row>
    <row r="32">
      <c r="B32" s="27" t="inlineStr">
        <is>
          <t>New paying customers in the launch month</t>
        </is>
      </c>
      <c r="C32" s="41">
        <f>INDEX(Scenarios!$D$6:$F$6,1,$C$7)</f>
        <v/>
      </c>
      <c r="D32" s="41">
        <f>INDEX(Scenarios!$D$7:$F$7,1,$C$7)</f>
        <v/>
      </c>
      <c r="I32" s="14" t="inlineStr">
        <is>
          <t>MBA growth sheet opens Portugal at 10 customers in month 1.</t>
        </is>
      </c>
    </row>
    <row r="33">
      <c r="B33" s="8" t="inlineStr">
        <is>
          <t>Monthly growth in new customer additions, by year in that market:</t>
        </is>
      </c>
    </row>
    <row r="34">
      <c r="B34" s="27" t="inlineStr">
        <is>
          <t xml:space="preserve">    Market year 1</t>
        </is>
      </c>
      <c r="C34" s="42" t="n">
        <v>0.2</v>
      </c>
      <c r="D34" s="42" t="n">
        <v>0.2</v>
      </c>
      <c r="I34" s="14" t="inlineStr">
        <is>
          <t>The acquisition ramp. MBA model uses a decaying-rate curve; this is the same shape expressed as a growth rate you can type over.</t>
        </is>
      </c>
    </row>
    <row r="35">
      <c r="B35" s="27" t="inlineStr">
        <is>
          <t xml:space="preserve">    Market year 2</t>
        </is>
      </c>
      <c r="C35" s="38" t="n">
        <v>0.07000000000000001</v>
      </c>
      <c r="D35" s="38" t="n">
        <v>0.07000000000000001</v>
      </c>
    </row>
    <row r="36">
      <c r="B36" s="27" t="inlineStr">
        <is>
          <t xml:space="preserve">    Market year 3</t>
        </is>
      </c>
      <c r="C36" s="38" t="n">
        <v>0.04</v>
      </c>
      <c r="D36" s="38" t="n">
        <v>0.04</v>
      </c>
    </row>
    <row r="37">
      <c r="B37" s="27" t="inlineStr">
        <is>
          <t xml:space="preserve">    Market year 4</t>
        </is>
      </c>
      <c r="C37" s="38" t="n">
        <v>0.025</v>
      </c>
      <c r="D37" s="38" t="n">
        <v>0.025</v>
      </c>
    </row>
    <row r="38">
      <c r="B38" s="27" t="inlineStr">
        <is>
          <t xml:space="preserve">    Market year 5</t>
        </is>
      </c>
      <c r="C38" s="38" t="n">
        <v>0.015</v>
      </c>
      <c r="D38" s="38" t="n">
        <v>0.015</v>
      </c>
    </row>
    <row r="39">
      <c r="B39" s="27" t="inlineStr">
        <is>
          <t>Growth ramp multiplier (scenario)</t>
        </is>
      </c>
      <c r="C39" s="43">
        <f>INDEX(Scenarios!$D$8:$F$8,1,$C$7)</f>
        <v/>
      </c>
      <c r="I39" s="14" t="inlineStr">
        <is>
          <t>Scales all five growth rates above at once.</t>
        </is>
      </c>
    </row>
    <row r="40">
      <c r="B40" s="27" t="inlineStr">
        <is>
          <t>Cap on new customers per month</t>
        </is>
      </c>
      <c r="C40" s="44" t="n">
        <v>500</v>
      </c>
      <c r="D40" s="44" t="n">
        <v>1000</v>
      </c>
      <c r="I40" s="14" t="inlineStr">
        <is>
          <t>A sanity ceiling so an aggressive ramp cannot compound to absurdity.</t>
        </is>
      </c>
    </row>
    <row r="41">
      <c r="B41" s="27" t="inlineStr">
        <is>
          <t>Annual churn rate</t>
        </is>
      </c>
      <c r="C41" s="45">
        <f>INDEX(Scenarios!$D$9:$F$9,1,$C$7)</f>
        <v/>
      </c>
      <c r="D41" s="46">
        <f>C41</f>
        <v/>
      </c>
      <c r="I41" s="14" t="inlineStr">
        <is>
          <t>MBA model assumes 15%/yr for Voice Care. Base case here is 18%.</t>
        </is>
      </c>
    </row>
    <row r="42">
      <c r="B42" s="27" t="inlineStr">
        <is>
          <t>Monthly churn (calculated)</t>
        </is>
      </c>
      <c r="C42" s="47">
        <f>1-(1-C41)^(1/12)</f>
        <v/>
      </c>
      <c r="D42" s="47">
        <f>1-(1-D41)^(1/12)</f>
        <v/>
      </c>
    </row>
    <row r="43">
      <c r="B43" s="27" t="inlineStr">
        <is>
          <t>Implied average customer life (months)</t>
        </is>
      </c>
      <c r="C43" s="48">
        <f>1/C42</f>
        <v/>
      </c>
      <c r="D43" s="48">
        <f>1/D42</f>
        <v/>
      </c>
    </row>
    <row r="44">
      <c r="B44" s="27" t="inlineStr">
        <is>
          <t>Free trial length (days)</t>
        </is>
      </c>
      <c r="C44" s="29" t="n">
        <v>14</v>
      </c>
      <c r="D44" s="29" t="n">
        <v>14</v>
      </c>
      <c r="I44" s="14" t="inlineStr">
        <is>
          <t>BP Layer 1 go-to-market relies on a time-limited free trial. The BP never costs it; this model does.</t>
        </is>
      </c>
    </row>
    <row r="45">
      <c r="B45" s="27" t="inlineStr">
        <is>
          <t>Trial to paid conversion</t>
        </is>
      </c>
      <c r="C45" s="42" t="n">
        <v>0.35</v>
      </c>
      <c r="D45" s="42" t="n">
        <v>0.35</v>
      </c>
      <c r="I45" s="14" t="inlineStr">
        <is>
          <t>Drives how many un-monetised trial minutes are burned per paying customer won.</t>
        </is>
      </c>
    </row>
    <row r="47">
      <c r="B47" s="22" t="inlineStr">
        <is>
          <t>5 · PREVENTIVE CARE ATTACH</t>
        </is>
      </c>
      <c r="C47" s="22" t="n"/>
      <c r="D47" s="22" t="n"/>
      <c r="E47" s="22" t="n"/>
      <c r="F47" s="22" t="n"/>
      <c r="G47" s="22" t="n"/>
      <c r="I47" s="23" t="inlineStr">
        <is>
          <t>Source / rationale</t>
        </is>
      </c>
    </row>
    <row r="48">
      <c r="B48" s="49" t="inlineStr">
        <is>
          <t>Years since that market launched</t>
        </is>
      </c>
      <c r="C48" s="83" t="inlineStr">
        <is>
          <t>Year 1</t>
        </is>
      </c>
      <c r="D48" s="83" t="inlineStr">
        <is>
          <t>Year 2</t>
        </is>
      </c>
      <c r="E48" s="83" t="inlineStr">
        <is>
          <t>Year 3</t>
        </is>
      </c>
      <c r="F48" s="83" t="inlineStr">
        <is>
          <t>Year 4</t>
        </is>
      </c>
      <c r="G48" s="83" t="inlineStr">
        <is>
          <t>Year 5</t>
        </is>
      </c>
    </row>
    <row r="49">
      <c r="B49" s="27" t="inlineStr">
        <is>
          <t>Portugal — % of active customers taking Preventive</t>
        </is>
      </c>
      <c r="C49" s="42" t="n">
        <v>0</v>
      </c>
      <c r="D49" s="42" t="n">
        <v>0</v>
      </c>
      <c r="E49" s="42" t="n">
        <v>0.1</v>
      </c>
      <c r="F49" s="42" t="n">
        <v>0.2</v>
      </c>
      <c r="G49" s="42" t="n">
        <v>0.3</v>
      </c>
      <c r="I49" s="14" t="inlineStr">
        <is>
          <t>No published attach data exists. These are placeholders and deserve a hard look — Preventive is what repairs the Voice Care margin.</t>
        </is>
      </c>
    </row>
    <row r="50">
      <c r="B50" s="27" t="inlineStr">
        <is>
          <t>Spain — % of active customers taking Preventive</t>
        </is>
      </c>
      <c r="C50" s="38" t="n">
        <v>0</v>
      </c>
      <c r="D50" s="38" t="n">
        <v>0</v>
      </c>
      <c r="E50" s="38" t="n">
        <v>0.1</v>
      </c>
      <c r="F50" s="38" t="n">
        <v>0.2</v>
      </c>
      <c r="G50" s="38" t="n">
        <v>0.3</v>
      </c>
    </row>
    <row r="51">
      <c r="B51" s="27" t="inlineStr">
        <is>
          <t>Attach-rate multiplier (scenario)</t>
        </is>
      </c>
      <c r="C51" s="43">
        <f>INDEX(Scenarios!$D$14:$F$14,1,$C$7)</f>
        <v/>
      </c>
    </row>
    <row r="52">
      <c r="B52" s="27" t="inlineStr">
        <is>
          <t>Preventive Care variable cost (EUR/user/month)</t>
        </is>
      </c>
      <c r="C52" s="37" t="n">
        <v>3.6</v>
      </c>
      <c r="I52" s="14" t="inlineStr">
        <is>
          <t>BP Financial Plan: EUR 3.60 variable cost, ~60% operating margin on the add-on.</t>
        </is>
      </c>
    </row>
    <row r="54">
      <c r="B54" s="22" t="inlineStr">
        <is>
          <t>6 · VOICE AI COST ENGINE  — the core economics</t>
        </is>
      </c>
      <c r="C54" s="22" t="n"/>
      <c r="D54" s="22" t="n"/>
      <c r="E54" s="22" t="n"/>
      <c r="F54" s="22" t="n"/>
      <c r="G54" s="22" t="n"/>
      <c r="I54" s="23" t="inlineStr">
        <is>
          <t>Source / rationale</t>
        </is>
      </c>
    </row>
    <row r="55">
      <c r="B55" s="27" t="inlineStr">
        <is>
          <t>AI calls per customer per day</t>
        </is>
      </c>
      <c r="C55" s="50" t="n">
        <v>1</v>
      </c>
      <c r="I55" s="14" t="inlineStr">
        <is>
          <t>'Details V2': 1 interaction per day.</t>
        </is>
      </c>
    </row>
    <row r="56">
      <c r="B56" s="27" t="inlineStr">
        <is>
          <t>Minutes per call</t>
        </is>
      </c>
      <c r="C56" s="51">
        <f>INDEX(Scenarios!$D$11:$F$11,1,$C$7)</f>
        <v/>
      </c>
      <c r="I56" s="14" t="inlineStr">
        <is>
          <t>The MBA sheet says '~5 minutes/day' but its EUR 11.25 cost is 75 min/month = 2.5 min/day. At a true 5 min/day the gross margin goes negative. This is the number to verify in a pilot.</t>
        </is>
      </c>
    </row>
    <row r="57">
      <c r="B57" s="27" t="inlineStr">
        <is>
          <t>Voice minutes per customer per month</t>
        </is>
      </c>
      <c r="C57" s="48">
        <f>C55*C56*C16</f>
        <v/>
      </c>
    </row>
    <row r="58">
      <c r="B58" s="27" t="inlineStr">
        <is>
          <t>Cost per voice minute, Year 1 (EUR)</t>
        </is>
      </c>
      <c r="C58" s="52">
        <f>INDEX(Scenarios!$D$12:$F$12,1,$C$7)</f>
        <v/>
      </c>
      <c r="I58" s="14" t="inlineStr">
        <is>
          <t>MBA model cites Retell AI at EUR 0.15/min.</t>
        </is>
      </c>
    </row>
    <row r="59">
      <c r="B59" s="27" t="inlineStr">
        <is>
          <t>Annual change in cost per minute</t>
        </is>
      </c>
      <c r="C59" s="42" t="n">
        <v>-0.15</v>
      </c>
      <c r="I59" s="14" t="inlineStr">
        <is>
          <t>Inference costs have fallen steadily. A -15%/yr glide is deliberate but assumed, not sourced.</t>
        </is>
      </c>
    </row>
    <row r="60">
      <c r="B60" s="49" t="inlineStr">
        <is>
          <t>Model year</t>
        </is>
      </c>
      <c r="C60" s="83" t="inlineStr">
        <is>
          <t>Year 1</t>
        </is>
      </c>
      <c r="D60" s="83" t="inlineStr">
        <is>
          <t>Year 2</t>
        </is>
      </c>
      <c r="E60" s="83" t="inlineStr">
        <is>
          <t>Year 3</t>
        </is>
      </c>
      <c r="F60" s="83" t="inlineStr">
        <is>
          <t>Year 4</t>
        </is>
      </c>
      <c r="G60" s="83" t="inlineStr">
        <is>
          <t>Year 5</t>
        </is>
      </c>
    </row>
    <row r="61">
      <c r="B61" s="27" t="inlineStr">
        <is>
          <t>Cost per minute by model year (EUR)</t>
        </is>
      </c>
      <c r="C61" s="53">
        <f>$C$58</f>
        <v/>
      </c>
      <c r="D61" s="53">
        <f>C61*(1+$C$59)</f>
        <v/>
      </c>
      <c r="E61" s="53">
        <f>D61*(1+$C$59)</f>
        <v/>
      </c>
      <c r="F61" s="53">
        <f>E61*(1+$C$59)</f>
        <v/>
      </c>
      <c r="G61" s="53">
        <f>F61*(1+$C$59)</f>
        <v/>
      </c>
    </row>
    <row r="62">
      <c r="B62" s="27" t="inlineStr">
        <is>
          <t>Data &amp; storage (EUR/user/month)</t>
        </is>
      </c>
      <c r="C62" s="37" t="n">
        <v>0.03</v>
      </c>
      <c r="I62" s="14" t="inlineStr">
        <is>
          <t>'Details V2': 72 MB/month of call data at Google Cloud Storage rates.</t>
        </is>
      </c>
    </row>
    <row r="63">
      <c r="B63" s="27" t="inlineStr">
        <is>
          <t>AI cost per paying customer, Year 1 (EUR/month)</t>
        </is>
      </c>
      <c r="C63" s="40">
        <f>C57*C58+C62</f>
        <v/>
      </c>
      <c r="I63" s="14" t="inlineStr">
        <is>
          <t>Compare against net revenue per customer above. That difference is the whole business.</t>
        </is>
      </c>
    </row>
    <row r="64">
      <c r="B64" s="27" t="inlineStr">
        <is>
          <t>Gross margin per Portugal customer, Year 1</t>
        </is>
      </c>
      <c r="C64" s="46">
        <f>IFERROR(1-C63/C28,0)</f>
        <v/>
      </c>
    </row>
    <row r="66">
      <c r="B66" s="22" t="inlineStr">
        <is>
          <t>7 · CUSTOMER ACQUISITION COST</t>
        </is>
      </c>
      <c r="C66" s="22" t="n"/>
      <c r="D66" s="22" t="n"/>
      <c r="E66" s="22" t="n"/>
      <c r="F66" s="22" t="n"/>
      <c r="G66" s="22" t="n"/>
      <c r="I66" s="23" t="inlineStr">
        <is>
          <t>Source / rationale</t>
        </is>
      </c>
    </row>
    <row r="67">
      <c r="B67" s="49" t="inlineStr">
        <is>
          <t>Years since that market launched</t>
        </is>
      </c>
      <c r="C67" s="83" t="inlineStr">
        <is>
          <t>Year 1</t>
        </is>
      </c>
      <c r="D67" s="83" t="inlineStr">
        <is>
          <t>Year 2</t>
        </is>
      </c>
      <c r="E67" s="83" t="inlineStr">
        <is>
          <t>Year 3</t>
        </is>
      </c>
      <c r="F67" s="83" t="inlineStr">
        <is>
          <t>Year 4</t>
        </is>
      </c>
      <c r="G67" s="83" t="inlineStr">
        <is>
          <t>Year 5</t>
        </is>
      </c>
    </row>
    <row r="68">
      <c r="B68" s="27" t="inlineStr">
        <is>
          <t>Portugal — cost per acquired customer (EUR)</t>
        </is>
      </c>
      <c r="C68" s="44" t="n">
        <v>38</v>
      </c>
      <c r="D68" s="44" t="n">
        <v>32</v>
      </c>
      <c r="E68" s="44" t="n">
        <v>26</v>
      </c>
      <c r="F68" s="44" t="n">
        <v>22</v>
      </c>
      <c r="G68" s="44" t="n">
        <v>20</v>
      </c>
      <c r="I68" s="14" t="inlineStr">
        <is>
          <t>MBA growth sheet: COCA decays from EUR 37.98 to EUR 21.36 as organic and referral channels mature.</t>
        </is>
      </c>
    </row>
    <row r="69">
      <c r="B69" s="27" t="inlineStr">
        <is>
          <t>Spain — cost per acquired customer (EUR)</t>
        </is>
      </c>
      <c r="C69" s="44" t="n">
        <v>38</v>
      </c>
      <c r="D69" s="44" t="n">
        <v>32</v>
      </c>
      <c r="E69" s="44" t="n">
        <v>26</v>
      </c>
      <c r="F69" s="44" t="n">
        <v>22</v>
      </c>
      <c r="G69" s="44" t="n">
        <v>20</v>
      </c>
    </row>
    <row r="70">
      <c r="B70" s="27" t="inlineStr">
        <is>
          <t>COCA multiplier (scenario)</t>
        </is>
      </c>
      <c r="C70" s="43">
        <f>INDEX(Scenarios!$D$13:$F$13,1,$C$7)</f>
        <v/>
      </c>
    </row>
    <row r="72">
      <c r="B72" s="22" t="inlineStr">
        <is>
          <t>8 · OPERATING EXPENSES  (EUR per month, by model year)</t>
        </is>
      </c>
      <c r="C72" s="22" t="n"/>
      <c r="D72" s="22" t="n"/>
      <c r="E72" s="22" t="n"/>
      <c r="F72" s="22" t="n"/>
      <c r="G72" s="22" t="n"/>
      <c r="I72" s="23" t="inlineStr">
        <is>
          <t>Source / rationale</t>
        </is>
      </c>
    </row>
    <row r="73">
      <c r="B73" s="49" t="inlineStr">
        <is>
          <t>Model year</t>
        </is>
      </c>
      <c r="C73" s="83" t="inlineStr">
        <is>
          <t>Year 1</t>
        </is>
      </c>
      <c r="D73" s="83" t="inlineStr">
        <is>
          <t>Year 2</t>
        </is>
      </c>
      <c r="E73" s="83" t="inlineStr">
        <is>
          <t>Year 3</t>
        </is>
      </c>
      <c r="F73" s="83" t="inlineStr">
        <is>
          <t>Year 4</t>
        </is>
      </c>
      <c r="G73" s="83" t="inlineStr">
        <is>
          <t>Year 5</t>
        </is>
      </c>
    </row>
    <row r="74">
      <c r="B74" s="27" t="inlineStr">
        <is>
          <t>Founders' salaries (all founders)</t>
        </is>
      </c>
      <c r="C74" s="54" t="n">
        <v>0</v>
      </c>
      <c r="D74" s="54" t="n">
        <v>0</v>
      </c>
      <c r="E74" s="54" t="n">
        <v>0</v>
      </c>
      <c r="F74" s="54" t="n">
        <v>0</v>
      </c>
      <c r="G74" s="54" t="n">
        <v>0</v>
      </c>
      <c r="I74" s="14" t="inlineStr">
        <is>
          <t>Zero, per instruction. A normally-paid founding team would add roughly EUR 150-250k a year from Year 2 and would materially change the equity requirement.</t>
        </is>
      </c>
    </row>
    <row r="75">
      <c r="B75" s="27" t="inlineStr">
        <is>
          <t>Developer / platform maintenance</t>
        </is>
      </c>
      <c r="C75" s="44" t="n">
        <v>1500</v>
      </c>
      <c r="D75" s="44" t="n">
        <v>4000</v>
      </c>
      <c r="E75" s="44" t="n">
        <v>8000</v>
      </c>
      <c r="F75" s="44" t="n">
        <v>12000</v>
      </c>
      <c r="G75" s="44" t="n">
        <v>16000</v>
      </c>
      <c r="I75" s="14" t="inlineStr">
        <is>
          <t>'Details V2' lean case: EUR 1,500-4,500/month part-time maintenance. Scaled up as the base grows.</t>
        </is>
      </c>
    </row>
    <row r="76">
      <c r="B76" s="27" t="inlineStr">
        <is>
          <t>Customer support</t>
        </is>
      </c>
      <c r="C76" s="44" t="n">
        <v>0</v>
      </c>
      <c r="D76" s="44" t="n">
        <v>1200</v>
      </c>
      <c r="E76" s="44" t="n">
        <v>3000</v>
      </c>
      <c r="F76" s="44" t="n">
        <v>5000</v>
      </c>
      <c r="G76" s="44" t="n">
        <v>7000</v>
      </c>
      <c r="I76" s="14" t="inlineStr">
        <is>
          <t>'Details V2': EUR 800-1,200/month part-time to start. BP has support part-time from Year 2.</t>
        </is>
      </c>
    </row>
    <row r="77">
      <c r="B77" s="27" t="inlineStr">
        <is>
          <t>Brand marketing &amp; content (excludes COCA)</t>
        </is>
      </c>
      <c r="C77" s="54" t="n">
        <v>1000</v>
      </c>
      <c r="D77" s="54" t="n">
        <v>2500</v>
      </c>
      <c r="E77" s="54" t="n">
        <v>5000</v>
      </c>
      <c r="F77" s="54" t="n">
        <v>7000</v>
      </c>
      <c r="G77" s="54" t="n">
        <v>9000</v>
      </c>
      <c r="I77" s="14" t="inlineStr">
        <is>
          <t>Deliberately a fraction of the BP's EUR 500k Year 1 brand budget, which assumed a funded launch. Multiplied by the scenario marketing lever.</t>
        </is>
      </c>
    </row>
    <row r="78">
      <c r="B78" s="27" t="inlineStr">
        <is>
          <t>Cloud &amp; tools (non-usage infrastructure)</t>
        </is>
      </c>
      <c r="C78" s="44" t="n">
        <v>250</v>
      </c>
      <c r="D78" s="44" t="n">
        <v>400</v>
      </c>
      <c r="E78" s="44" t="n">
        <v>700</v>
      </c>
      <c r="F78" s="44" t="n">
        <v>1000</v>
      </c>
      <c r="G78" s="44" t="n">
        <v>1400</v>
      </c>
      <c r="I78" s="14" t="inlineStr">
        <is>
          <t>'Details V2': GCP base, monitoring and logging. Usage-driven AI cost sits in COGS, not here.</t>
        </is>
      </c>
    </row>
    <row r="79">
      <c r="B79" s="27" t="inlineStr">
        <is>
          <t>Accounting, admin &amp; legal</t>
        </is>
      </c>
      <c r="C79" s="44" t="n">
        <v>400</v>
      </c>
      <c r="D79" s="44" t="n">
        <v>500</v>
      </c>
      <c r="E79" s="44" t="n">
        <v>700</v>
      </c>
      <c r="F79" s="44" t="n">
        <v>900</v>
      </c>
      <c r="G79" s="44" t="n">
        <v>1100</v>
      </c>
    </row>
    <row r="80">
      <c r="B80" s="27" t="inlineStr">
        <is>
          <t>Insurance (professional liability + cyber)</t>
        </is>
      </c>
      <c r="C80" s="44" t="n">
        <v>0</v>
      </c>
      <c r="D80" s="44" t="n">
        <v>625</v>
      </c>
      <c r="E80" s="44" t="n">
        <v>625</v>
      </c>
      <c r="F80" s="44" t="n">
        <v>750</v>
      </c>
      <c r="G80" s="44" t="n">
        <v>900</v>
      </c>
      <c r="I80" s="14" t="inlineStr">
        <is>
          <t>'Details V2': EUR 4,000 liability + EUR 3,500 cyber per year, from the first year of trading.</t>
        </is>
      </c>
    </row>
    <row r="81">
      <c r="B81" s="27" t="inlineStr">
        <is>
          <t>Office / co-working</t>
        </is>
      </c>
      <c r="C81" s="44" t="n">
        <v>0</v>
      </c>
      <c r="D81" s="44" t="n">
        <v>300</v>
      </c>
      <c r="E81" s="44" t="n">
        <v>600</v>
      </c>
      <c r="F81" s="44" t="n">
        <v>900</v>
      </c>
      <c r="G81" s="44" t="n">
        <v>1200</v>
      </c>
      <c r="I81" s="14" t="inlineStr">
        <is>
          <t>Remote to start; BP assumes EUR 3,000/month office, which a founder-led launch does not need.</t>
        </is>
      </c>
    </row>
    <row r="82">
      <c r="B82" s="27" t="inlineStr">
        <is>
          <t>Spain local lead &amp; market management</t>
        </is>
      </c>
      <c r="C82" s="44" t="n">
        <v>0</v>
      </c>
      <c r="D82" s="44" t="n">
        <v>1500</v>
      </c>
      <c r="E82" s="44" t="n">
        <v>3000</v>
      </c>
      <c r="F82" s="44" t="n">
        <v>4000</v>
      </c>
      <c r="G82" s="44" t="n">
        <v>5000</v>
      </c>
      <c r="I82" s="14" t="inlineStr">
        <is>
          <t>BP Place section: marketing must be run locally in each market. Charged only from the Spain launch month.</t>
        </is>
      </c>
    </row>
    <row r="83">
      <c r="B83" s="27" t="inlineStr">
        <is>
          <t>Other / contingency</t>
        </is>
      </c>
      <c r="C83" s="44" t="n">
        <v>200</v>
      </c>
      <c r="D83" s="44" t="n">
        <v>400</v>
      </c>
      <c r="E83" s="44" t="n">
        <v>800</v>
      </c>
      <c r="F83" s="44" t="n">
        <v>1200</v>
      </c>
      <c r="G83" s="44" t="n">
        <v>1600</v>
      </c>
    </row>
    <row r="85">
      <c r="B85" s="22" t="inlineStr">
        <is>
          <t>9 · CAPITAL EXPENDITURE &amp; DEPRECIATION</t>
        </is>
      </c>
      <c r="C85" s="22" t="n"/>
      <c r="D85" s="22" t="n"/>
      <c r="E85" s="22" t="n"/>
      <c r="F85" s="22" t="n"/>
      <c r="G85" s="22" t="n"/>
      <c r="I85" s="23" t="inlineStr">
        <is>
          <t>Source / rationale</t>
        </is>
      </c>
    </row>
    <row r="86">
      <c r="B86" s="27" t="inlineStr">
        <is>
          <t>Voice Care platform build (EUR)</t>
        </is>
      </c>
      <c r="C86" s="54" t="n">
        <v>46000</v>
      </c>
      <c r="I86" s="14" t="inlineStr">
        <is>
          <t>MBA model, Voice Care R&amp;D line. An AI-native build was costed at EUR 38,000 in 'Details V2'. Spread evenly across the build months.</t>
        </is>
      </c>
    </row>
    <row r="87">
      <c r="B87" s="27" t="inlineStr">
        <is>
          <t>Preventive Care module build (EUR)</t>
        </is>
      </c>
      <c r="C87" s="44" t="n">
        <v>24250</v>
      </c>
      <c r="I87" s="14" t="inlineStr">
        <is>
          <t>MBA model, Preventive Care CAPEX. Incurred in its launch month.</t>
        </is>
      </c>
    </row>
    <row r="88">
      <c r="B88" s="27" t="inlineStr">
        <is>
          <t>Spain localisation &amp; compliance (EUR)</t>
        </is>
      </c>
      <c r="C88" s="44" t="n">
        <v>10000</v>
      </c>
      <c r="I88" s="14" t="inlineStr">
        <is>
          <t>Not in the MBA model. Added here: Spanish-language voice models, legal, local payment setup.</t>
        </is>
      </c>
    </row>
    <row r="89">
      <c r="B89" s="27" t="inlineStr">
        <is>
          <t>Ongoing development capex, % of cumulative build per year</t>
        </is>
      </c>
      <c r="C89" s="38" t="n">
        <v>0.2</v>
      </c>
      <c r="I89" s="14" t="inlineStr">
        <is>
          <t>MBA model applies 20% of initial R&amp;D per year as maintenance capex.</t>
        </is>
      </c>
    </row>
    <row r="90">
      <c r="B90" s="27" t="inlineStr">
        <is>
          <t>Depreciation period (years, straight line)</t>
        </is>
      </c>
      <c r="C90" s="29" t="n">
        <v>5</v>
      </c>
      <c r="I90" s="14" t="inlineStr">
        <is>
          <t>MBA model depreciates R&amp;D over 5 years.</t>
        </is>
      </c>
    </row>
    <row r="92">
      <c r="B92" s="22" t="inlineStr">
        <is>
          <t>10 · WORKING CAPITAL &amp; CASH</t>
        </is>
      </c>
      <c r="C92" s="22" t="n"/>
      <c r="D92" s="22" t="n"/>
      <c r="E92" s="22" t="n"/>
      <c r="F92" s="22" t="n"/>
      <c r="G92" s="22" t="n"/>
      <c r="I92" s="23" t="inlineStr">
        <is>
          <t>Source / rationale</t>
        </is>
      </c>
    </row>
    <row r="93">
      <c r="B93" s="27" t="inlineStr">
        <is>
          <t>Receivable days</t>
        </is>
      </c>
      <c r="C93" s="29" t="n">
        <v>5</v>
      </c>
      <c r="I93" s="14" t="inlineStr">
        <is>
          <t>Card-on-file subscriptions settle in days, not months.</t>
        </is>
      </c>
    </row>
    <row r="94">
      <c r="B94" s="27" t="inlineStr">
        <is>
          <t>Payable days</t>
        </is>
      </c>
      <c r="C94" s="29" t="n">
        <v>30</v>
      </c>
      <c r="I94" s="14" t="inlineStr">
        <is>
          <t>Applied to cost of service and cash operating costs.</t>
        </is>
      </c>
    </row>
    <row r="95">
      <c r="B95" s="27" t="inlineStr">
        <is>
          <t>% of new customers taking an annual prepaid plan</t>
        </is>
      </c>
      <c r="C95" s="42" t="n">
        <v>0</v>
      </c>
      <c r="I95" s="14" t="inlineStr">
        <is>
          <t>A real self-funding lever: annual prepay pulls twelve months of cash forward and cuts the equity needed. Base case is 0% so the result is not flattered.</t>
        </is>
      </c>
    </row>
    <row r="96">
      <c r="B96" s="27" t="inlineStr">
        <is>
          <t>Discount offered on the annual prepaid plan</t>
        </is>
      </c>
      <c r="C96" s="38" t="n">
        <v>0.15</v>
      </c>
    </row>
    <row r="97">
      <c r="B97" s="27" t="inlineStr">
        <is>
          <t>Minimum cash buffer to hold (EUR)</t>
        </is>
      </c>
      <c r="C97" s="44" t="n">
        <v>15000</v>
      </c>
      <c r="I97" s="14" t="inlineStr">
        <is>
          <t>Founders top up to this level each month. Sets the floor for the equity requirement.</t>
        </is>
      </c>
    </row>
    <row r="99">
      <c r="B99" s="22" t="inlineStr">
        <is>
          <t>11 · TAX, FUNDING &amp; RETURN</t>
        </is>
      </c>
      <c r="C99" s="22" t="n"/>
      <c r="D99" s="22" t="n"/>
      <c r="E99" s="22" t="n"/>
      <c r="F99" s="22" t="n"/>
      <c r="G99" s="22" t="n"/>
      <c r="I99" s="23" t="inlineStr">
        <is>
          <t>Source / rationale</t>
        </is>
      </c>
    </row>
    <row r="100">
      <c r="B100" s="27" t="inlineStr">
        <is>
          <t>Corporate tax rate</t>
        </is>
      </c>
      <c r="C100" s="38" t="n">
        <v>0.19</v>
      </c>
      <c r="I100" s="14" t="inlineStr">
        <is>
          <t>MBA model assumes 19%. Losses are carried forward without limit.</t>
        </is>
      </c>
    </row>
    <row r="101">
      <c r="B101" s="27" t="inlineStr">
        <is>
          <t>Discount rate for NPV</t>
        </is>
      </c>
      <c r="C101" s="42" t="n">
        <v>0.12</v>
      </c>
      <c r="I101" s="14" t="inlineStr">
        <is>
          <t>MBA sheets use 12% (older) and 11.5% WACC (DCF). For an unfunded pre-revenue venture this is generous.</t>
        </is>
      </c>
    </row>
    <row r="102">
      <c r="B102" s="27" t="inlineStr">
        <is>
          <t>Exit basis  (1 = multiple of Year 5 revenue, 2 = multiple of Year 5 EBITDA)</t>
        </is>
      </c>
      <c r="C102" s="29" t="n">
        <v>1</v>
      </c>
    </row>
    <row r="103">
      <c r="B103" s="27" t="inlineStr">
        <is>
          <t>Exit multiple — times Year 5 net revenue</t>
        </is>
      </c>
      <c r="C103" s="55" t="n">
        <v>3</v>
      </c>
      <c r="I103" s="14" t="inlineStr">
        <is>
          <t>A convention for a subscription business, not a valuation. Change it and the IRR changes with it.</t>
        </is>
      </c>
    </row>
    <row r="104">
      <c r="B104" s="27" t="inlineStr">
        <is>
          <t>Exit multiple — times Year 5 EBITDA</t>
        </is>
      </c>
      <c r="C104" s="56" t="n">
        <v>8</v>
      </c>
    </row>
    <row r="105">
      <c r="B105" s="27" t="inlineStr">
        <is>
          <t>Cap on the LTV horizon (months)</t>
        </is>
      </c>
      <c r="C105" s="115" t="n">
        <v>36</v>
      </c>
      <c r="I105" s="14" t="inlineStr">
        <is>
          <t>At 18% annual churn the implied average customer life is 61 months. Valuing five years of an unproven subscription is not credible, so lifetime value is capped at this horizon.</t>
        </is>
      </c>
    </row>
    <row r="106">
      <c r="B106" s="116" t="inlineStr">
        <is>
          <t>Funding structure: 100% founders' equity — no debt, no grant, no external round.</t>
        </is>
      </c>
    </row>
    <row r="107">
      <c r="B107" s="8" t="inlineStr">
        <is>
          <t>Equity is injected month by month, only as much as is needed to hold the minimum cash buffer. The total injected is the investment figure on the Dashboard.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K4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2">
      <c r="B2" s="57" t="inlineStr">
        <is>
          <t>PORTUGAL — VOICE CARE MONTHLY MODEL</t>
        </is>
      </c>
    </row>
    <row r="3">
      <c r="B3" s="8" t="inlineStr">
        <is>
          <t>Monthly engine. Every driver comes from the Inputs sheet — nothing is hardcoded here.</t>
        </is>
      </c>
    </row>
    <row r="4">
      <c r="B4" s="58" t="inlineStr">
        <is>
          <t>Month</t>
        </is>
      </c>
      <c r="C4" s="59" t="inlineStr">
        <is>
          <t>Unit</t>
        </is>
      </c>
      <c r="D4" s="60" t="n">
        <v>1</v>
      </c>
      <c r="E4" s="60" t="n">
        <v>2</v>
      </c>
      <c r="F4" s="60" t="n">
        <v>3</v>
      </c>
      <c r="G4" s="60" t="n">
        <v>4</v>
      </c>
      <c r="H4" s="60" t="n">
        <v>5</v>
      </c>
      <c r="I4" s="60" t="n">
        <v>6</v>
      </c>
      <c r="J4" s="60" t="n">
        <v>7</v>
      </c>
      <c r="K4" s="60" t="n">
        <v>8</v>
      </c>
      <c r="L4" s="60" t="n">
        <v>9</v>
      </c>
      <c r="M4" s="60" t="n">
        <v>10</v>
      </c>
      <c r="N4" s="60" t="n">
        <v>11</v>
      </c>
      <c r="O4" s="60" t="n">
        <v>12</v>
      </c>
      <c r="P4" s="60" t="n">
        <v>13</v>
      </c>
      <c r="Q4" s="60" t="n">
        <v>14</v>
      </c>
      <c r="R4" s="60" t="n">
        <v>15</v>
      </c>
      <c r="S4" s="60" t="n">
        <v>16</v>
      </c>
      <c r="T4" s="60" t="n">
        <v>17</v>
      </c>
      <c r="U4" s="60" t="n">
        <v>18</v>
      </c>
      <c r="V4" s="60" t="n">
        <v>19</v>
      </c>
      <c r="W4" s="60" t="n">
        <v>20</v>
      </c>
      <c r="X4" s="60" t="n">
        <v>21</v>
      </c>
      <c r="Y4" s="60" t="n">
        <v>22</v>
      </c>
      <c r="Z4" s="60" t="n">
        <v>23</v>
      </c>
      <c r="AA4" s="60" t="n">
        <v>24</v>
      </c>
      <c r="AB4" s="60" t="n">
        <v>25</v>
      </c>
      <c r="AC4" s="60" t="n">
        <v>26</v>
      </c>
      <c r="AD4" s="60" t="n">
        <v>27</v>
      </c>
      <c r="AE4" s="60" t="n">
        <v>28</v>
      </c>
      <c r="AF4" s="60" t="n">
        <v>29</v>
      </c>
      <c r="AG4" s="60" t="n">
        <v>30</v>
      </c>
      <c r="AH4" s="60" t="n">
        <v>31</v>
      </c>
      <c r="AI4" s="60" t="n">
        <v>32</v>
      </c>
      <c r="AJ4" s="60" t="n">
        <v>33</v>
      </c>
      <c r="AK4" s="60" t="n">
        <v>34</v>
      </c>
      <c r="AL4" s="60" t="n">
        <v>35</v>
      </c>
      <c r="AM4" s="60" t="n">
        <v>36</v>
      </c>
      <c r="AN4" s="60" t="n">
        <v>37</v>
      </c>
      <c r="AO4" s="60" t="n">
        <v>38</v>
      </c>
      <c r="AP4" s="60" t="n">
        <v>39</v>
      </c>
      <c r="AQ4" s="60" t="n">
        <v>40</v>
      </c>
      <c r="AR4" s="60" t="n">
        <v>41</v>
      </c>
      <c r="AS4" s="60" t="n">
        <v>42</v>
      </c>
      <c r="AT4" s="60" t="n">
        <v>43</v>
      </c>
      <c r="AU4" s="60" t="n">
        <v>44</v>
      </c>
      <c r="AV4" s="60" t="n">
        <v>45</v>
      </c>
      <c r="AW4" s="60" t="n">
        <v>46</v>
      </c>
      <c r="AX4" s="60" t="n">
        <v>47</v>
      </c>
      <c r="AY4" s="60" t="n">
        <v>48</v>
      </c>
      <c r="AZ4" s="60" t="n">
        <v>49</v>
      </c>
      <c r="BA4" s="60" t="n">
        <v>50</v>
      </c>
      <c r="BB4" s="60" t="n">
        <v>51</v>
      </c>
      <c r="BC4" s="60" t="n">
        <v>52</v>
      </c>
      <c r="BD4" s="60" t="n">
        <v>53</v>
      </c>
      <c r="BE4" s="60" t="n">
        <v>54</v>
      </c>
      <c r="BF4" s="60" t="n">
        <v>55</v>
      </c>
      <c r="BG4" s="60" t="n">
        <v>56</v>
      </c>
      <c r="BH4" s="60" t="n">
        <v>57</v>
      </c>
      <c r="BI4" s="60" t="n">
        <v>58</v>
      </c>
      <c r="BJ4" s="60" t="n">
        <v>59</v>
      </c>
      <c r="BK4" s="60" t="n">
        <v>60</v>
      </c>
    </row>
    <row r="5">
      <c r="B5" s="61" t="inlineStr">
        <is>
          <t>Model year</t>
        </is>
      </c>
      <c r="C5" s="92" t="inlineStr">
        <is>
          <t>yr</t>
        </is>
      </c>
      <c r="D5" s="63">
        <f>MIN(5,INT((D4-1)/12)+1)</f>
        <v/>
      </c>
      <c r="E5" s="63">
        <f>MIN(5,INT((E4-1)/12)+1)</f>
        <v/>
      </c>
      <c r="F5" s="63">
        <f>MIN(5,INT((F4-1)/12)+1)</f>
        <v/>
      </c>
      <c r="G5" s="63">
        <f>MIN(5,INT((G4-1)/12)+1)</f>
        <v/>
      </c>
      <c r="H5" s="63">
        <f>MIN(5,INT((H4-1)/12)+1)</f>
        <v/>
      </c>
      <c r="I5" s="63">
        <f>MIN(5,INT((I4-1)/12)+1)</f>
        <v/>
      </c>
      <c r="J5" s="63">
        <f>MIN(5,INT((J4-1)/12)+1)</f>
        <v/>
      </c>
      <c r="K5" s="63">
        <f>MIN(5,INT((K4-1)/12)+1)</f>
        <v/>
      </c>
      <c r="L5" s="63">
        <f>MIN(5,INT((L4-1)/12)+1)</f>
        <v/>
      </c>
      <c r="M5" s="63">
        <f>MIN(5,INT((M4-1)/12)+1)</f>
        <v/>
      </c>
      <c r="N5" s="63">
        <f>MIN(5,INT((N4-1)/12)+1)</f>
        <v/>
      </c>
      <c r="O5" s="63">
        <f>MIN(5,INT((O4-1)/12)+1)</f>
        <v/>
      </c>
      <c r="P5" s="63">
        <f>MIN(5,INT((P4-1)/12)+1)</f>
        <v/>
      </c>
      <c r="Q5" s="63">
        <f>MIN(5,INT((Q4-1)/12)+1)</f>
        <v/>
      </c>
      <c r="R5" s="63">
        <f>MIN(5,INT((R4-1)/12)+1)</f>
        <v/>
      </c>
      <c r="S5" s="63">
        <f>MIN(5,INT((S4-1)/12)+1)</f>
        <v/>
      </c>
      <c r="T5" s="63">
        <f>MIN(5,INT((T4-1)/12)+1)</f>
        <v/>
      </c>
      <c r="U5" s="63">
        <f>MIN(5,INT((U4-1)/12)+1)</f>
        <v/>
      </c>
      <c r="V5" s="63">
        <f>MIN(5,INT((V4-1)/12)+1)</f>
        <v/>
      </c>
      <c r="W5" s="63">
        <f>MIN(5,INT((W4-1)/12)+1)</f>
        <v/>
      </c>
      <c r="X5" s="63">
        <f>MIN(5,INT((X4-1)/12)+1)</f>
        <v/>
      </c>
      <c r="Y5" s="63">
        <f>MIN(5,INT((Y4-1)/12)+1)</f>
        <v/>
      </c>
      <c r="Z5" s="63">
        <f>MIN(5,INT((Z4-1)/12)+1)</f>
        <v/>
      </c>
      <c r="AA5" s="63">
        <f>MIN(5,INT((AA4-1)/12)+1)</f>
        <v/>
      </c>
      <c r="AB5" s="63">
        <f>MIN(5,INT((AB4-1)/12)+1)</f>
        <v/>
      </c>
      <c r="AC5" s="63">
        <f>MIN(5,INT((AC4-1)/12)+1)</f>
        <v/>
      </c>
      <c r="AD5" s="63">
        <f>MIN(5,INT((AD4-1)/12)+1)</f>
        <v/>
      </c>
      <c r="AE5" s="63">
        <f>MIN(5,INT((AE4-1)/12)+1)</f>
        <v/>
      </c>
      <c r="AF5" s="63">
        <f>MIN(5,INT((AF4-1)/12)+1)</f>
        <v/>
      </c>
      <c r="AG5" s="63">
        <f>MIN(5,INT((AG4-1)/12)+1)</f>
        <v/>
      </c>
      <c r="AH5" s="63">
        <f>MIN(5,INT((AH4-1)/12)+1)</f>
        <v/>
      </c>
      <c r="AI5" s="63">
        <f>MIN(5,INT((AI4-1)/12)+1)</f>
        <v/>
      </c>
      <c r="AJ5" s="63">
        <f>MIN(5,INT((AJ4-1)/12)+1)</f>
        <v/>
      </c>
      <c r="AK5" s="63">
        <f>MIN(5,INT((AK4-1)/12)+1)</f>
        <v/>
      </c>
      <c r="AL5" s="63">
        <f>MIN(5,INT((AL4-1)/12)+1)</f>
        <v/>
      </c>
      <c r="AM5" s="63">
        <f>MIN(5,INT((AM4-1)/12)+1)</f>
        <v/>
      </c>
      <c r="AN5" s="63">
        <f>MIN(5,INT((AN4-1)/12)+1)</f>
        <v/>
      </c>
      <c r="AO5" s="63">
        <f>MIN(5,INT((AO4-1)/12)+1)</f>
        <v/>
      </c>
      <c r="AP5" s="63">
        <f>MIN(5,INT((AP4-1)/12)+1)</f>
        <v/>
      </c>
      <c r="AQ5" s="63">
        <f>MIN(5,INT((AQ4-1)/12)+1)</f>
        <v/>
      </c>
      <c r="AR5" s="63">
        <f>MIN(5,INT((AR4-1)/12)+1)</f>
        <v/>
      </c>
      <c r="AS5" s="63">
        <f>MIN(5,INT((AS4-1)/12)+1)</f>
        <v/>
      </c>
      <c r="AT5" s="63">
        <f>MIN(5,INT((AT4-1)/12)+1)</f>
        <v/>
      </c>
      <c r="AU5" s="63">
        <f>MIN(5,INT((AU4-1)/12)+1)</f>
        <v/>
      </c>
      <c r="AV5" s="63">
        <f>MIN(5,INT((AV4-1)/12)+1)</f>
        <v/>
      </c>
      <c r="AW5" s="63">
        <f>MIN(5,INT((AW4-1)/12)+1)</f>
        <v/>
      </c>
      <c r="AX5" s="63">
        <f>MIN(5,INT((AX4-1)/12)+1)</f>
        <v/>
      </c>
      <c r="AY5" s="63">
        <f>MIN(5,INT((AY4-1)/12)+1)</f>
        <v/>
      </c>
      <c r="AZ5" s="63">
        <f>MIN(5,INT((AZ4-1)/12)+1)</f>
        <v/>
      </c>
      <c r="BA5" s="63">
        <f>MIN(5,INT((BA4-1)/12)+1)</f>
        <v/>
      </c>
      <c r="BB5" s="63">
        <f>MIN(5,INT((BB4-1)/12)+1)</f>
        <v/>
      </c>
      <c r="BC5" s="63">
        <f>MIN(5,INT((BC4-1)/12)+1)</f>
        <v/>
      </c>
      <c r="BD5" s="63">
        <f>MIN(5,INT((BD4-1)/12)+1)</f>
        <v/>
      </c>
      <c r="BE5" s="63">
        <f>MIN(5,INT((BE4-1)/12)+1)</f>
        <v/>
      </c>
      <c r="BF5" s="63">
        <f>MIN(5,INT((BF4-1)/12)+1)</f>
        <v/>
      </c>
      <c r="BG5" s="63">
        <f>MIN(5,INT((BG4-1)/12)+1)</f>
        <v/>
      </c>
      <c r="BH5" s="63">
        <f>MIN(5,INT((BH4-1)/12)+1)</f>
        <v/>
      </c>
      <c r="BI5" s="63">
        <f>MIN(5,INT((BI4-1)/12)+1)</f>
        <v/>
      </c>
      <c r="BJ5" s="63">
        <f>MIN(5,INT((BJ4-1)/12)+1)</f>
        <v/>
      </c>
      <c r="BK5" s="63">
        <f>MIN(5,INT((BK4-1)/12)+1)</f>
        <v/>
      </c>
    </row>
    <row r="6">
      <c r="B6" s="61" t="inlineStr">
        <is>
          <t>Months since this market launched</t>
        </is>
      </c>
      <c r="C6" s="92" t="inlineStr">
        <is>
          <t>mo</t>
        </is>
      </c>
      <c r="D6" s="63">
        <f>IF(D4&lt;Inputs!$C$13,0,D4-Inputs!$C$13+1)</f>
        <v/>
      </c>
      <c r="E6" s="63">
        <f>IF(E4&lt;Inputs!$C$13,0,E4-Inputs!$C$13+1)</f>
        <v/>
      </c>
      <c r="F6" s="63">
        <f>IF(F4&lt;Inputs!$C$13,0,F4-Inputs!$C$13+1)</f>
        <v/>
      </c>
      <c r="G6" s="63">
        <f>IF(G4&lt;Inputs!$C$13,0,G4-Inputs!$C$13+1)</f>
        <v/>
      </c>
      <c r="H6" s="63">
        <f>IF(H4&lt;Inputs!$C$13,0,H4-Inputs!$C$13+1)</f>
        <v/>
      </c>
      <c r="I6" s="63">
        <f>IF(I4&lt;Inputs!$C$13,0,I4-Inputs!$C$13+1)</f>
        <v/>
      </c>
      <c r="J6" s="63">
        <f>IF(J4&lt;Inputs!$C$13,0,J4-Inputs!$C$13+1)</f>
        <v/>
      </c>
      <c r="K6" s="63">
        <f>IF(K4&lt;Inputs!$C$13,0,K4-Inputs!$C$13+1)</f>
        <v/>
      </c>
      <c r="L6" s="63">
        <f>IF(L4&lt;Inputs!$C$13,0,L4-Inputs!$C$13+1)</f>
        <v/>
      </c>
      <c r="M6" s="63">
        <f>IF(M4&lt;Inputs!$C$13,0,M4-Inputs!$C$13+1)</f>
        <v/>
      </c>
      <c r="N6" s="63">
        <f>IF(N4&lt;Inputs!$C$13,0,N4-Inputs!$C$13+1)</f>
        <v/>
      </c>
      <c r="O6" s="63">
        <f>IF(O4&lt;Inputs!$C$13,0,O4-Inputs!$C$13+1)</f>
        <v/>
      </c>
      <c r="P6" s="63">
        <f>IF(P4&lt;Inputs!$C$13,0,P4-Inputs!$C$13+1)</f>
        <v/>
      </c>
      <c r="Q6" s="63">
        <f>IF(Q4&lt;Inputs!$C$13,0,Q4-Inputs!$C$13+1)</f>
        <v/>
      </c>
      <c r="R6" s="63">
        <f>IF(R4&lt;Inputs!$C$13,0,R4-Inputs!$C$13+1)</f>
        <v/>
      </c>
      <c r="S6" s="63">
        <f>IF(S4&lt;Inputs!$C$13,0,S4-Inputs!$C$13+1)</f>
        <v/>
      </c>
      <c r="T6" s="63">
        <f>IF(T4&lt;Inputs!$C$13,0,T4-Inputs!$C$13+1)</f>
        <v/>
      </c>
      <c r="U6" s="63">
        <f>IF(U4&lt;Inputs!$C$13,0,U4-Inputs!$C$13+1)</f>
        <v/>
      </c>
      <c r="V6" s="63">
        <f>IF(V4&lt;Inputs!$C$13,0,V4-Inputs!$C$13+1)</f>
        <v/>
      </c>
      <c r="W6" s="63">
        <f>IF(W4&lt;Inputs!$C$13,0,W4-Inputs!$C$13+1)</f>
        <v/>
      </c>
      <c r="X6" s="63">
        <f>IF(X4&lt;Inputs!$C$13,0,X4-Inputs!$C$13+1)</f>
        <v/>
      </c>
      <c r="Y6" s="63">
        <f>IF(Y4&lt;Inputs!$C$13,0,Y4-Inputs!$C$13+1)</f>
        <v/>
      </c>
      <c r="Z6" s="63">
        <f>IF(Z4&lt;Inputs!$C$13,0,Z4-Inputs!$C$13+1)</f>
        <v/>
      </c>
      <c r="AA6" s="63">
        <f>IF(AA4&lt;Inputs!$C$13,0,AA4-Inputs!$C$13+1)</f>
        <v/>
      </c>
      <c r="AB6" s="63">
        <f>IF(AB4&lt;Inputs!$C$13,0,AB4-Inputs!$C$13+1)</f>
        <v/>
      </c>
      <c r="AC6" s="63">
        <f>IF(AC4&lt;Inputs!$C$13,0,AC4-Inputs!$C$13+1)</f>
        <v/>
      </c>
      <c r="AD6" s="63">
        <f>IF(AD4&lt;Inputs!$C$13,0,AD4-Inputs!$C$13+1)</f>
        <v/>
      </c>
      <c r="AE6" s="63">
        <f>IF(AE4&lt;Inputs!$C$13,0,AE4-Inputs!$C$13+1)</f>
        <v/>
      </c>
      <c r="AF6" s="63">
        <f>IF(AF4&lt;Inputs!$C$13,0,AF4-Inputs!$C$13+1)</f>
        <v/>
      </c>
      <c r="AG6" s="63">
        <f>IF(AG4&lt;Inputs!$C$13,0,AG4-Inputs!$C$13+1)</f>
        <v/>
      </c>
      <c r="AH6" s="63">
        <f>IF(AH4&lt;Inputs!$C$13,0,AH4-Inputs!$C$13+1)</f>
        <v/>
      </c>
      <c r="AI6" s="63">
        <f>IF(AI4&lt;Inputs!$C$13,0,AI4-Inputs!$C$13+1)</f>
        <v/>
      </c>
      <c r="AJ6" s="63">
        <f>IF(AJ4&lt;Inputs!$C$13,0,AJ4-Inputs!$C$13+1)</f>
        <v/>
      </c>
      <c r="AK6" s="63">
        <f>IF(AK4&lt;Inputs!$C$13,0,AK4-Inputs!$C$13+1)</f>
        <v/>
      </c>
      <c r="AL6" s="63">
        <f>IF(AL4&lt;Inputs!$C$13,0,AL4-Inputs!$C$13+1)</f>
        <v/>
      </c>
      <c r="AM6" s="63">
        <f>IF(AM4&lt;Inputs!$C$13,0,AM4-Inputs!$C$13+1)</f>
        <v/>
      </c>
      <c r="AN6" s="63">
        <f>IF(AN4&lt;Inputs!$C$13,0,AN4-Inputs!$C$13+1)</f>
        <v/>
      </c>
      <c r="AO6" s="63">
        <f>IF(AO4&lt;Inputs!$C$13,0,AO4-Inputs!$C$13+1)</f>
        <v/>
      </c>
      <c r="AP6" s="63">
        <f>IF(AP4&lt;Inputs!$C$13,0,AP4-Inputs!$C$13+1)</f>
        <v/>
      </c>
      <c r="AQ6" s="63">
        <f>IF(AQ4&lt;Inputs!$C$13,0,AQ4-Inputs!$C$13+1)</f>
        <v/>
      </c>
      <c r="AR6" s="63">
        <f>IF(AR4&lt;Inputs!$C$13,0,AR4-Inputs!$C$13+1)</f>
        <v/>
      </c>
      <c r="AS6" s="63">
        <f>IF(AS4&lt;Inputs!$C$13,0,AS4-Inputs!$C$13+1)</f>
        <v/>
      </c>
      <c r="AT6" s="63">
        <f>IF(AT4&lt;Inputs!$C$13,0,AT4-Inputs!$C$13+1)</f>
        <v/>
      </c>
      <c r="AU6" s="63">
        <f>IF(AU4&lt;Inputs!$C$13,0,AU4-Inputs!$C$13+1)</f>
        <v/>
      </c>
      <c r="AV6" s="63">
        <f>IF(AV4&lt;Inputs!$C$13,0,AV4-Inputs!$C$13+1)</f>
        <v/>
      </c>
      <c r="AW6" s="63">
        <f>IF(AW4&lt;Inputs!$C$13,0,AW4-Inputs!$C$13+1)</f>
        <v/>
      </c>
      <c r="AX6" s="63">
        <f>IF(AX4&lt;Inputs!$C$13,0,AX4-Inputs!$C$13+1)</f>
        <v/>
      </c>
      <c r="AY6" s="63">
        <f>IF(AY4&lt;Inputs!$C$13,0,AY4-Inputs!$C$13+1)</f>
        <v/>
      </c>
      <c r="AZ6" s="63">
        <f>IF(AZ4&lt;Inputs!$C$13,0,AZ4-Inputs!$C$13+1)</f>
        <v/>
      </c>
      <c r="BA6" s="63">
        <f>IF(BA4&lt;Inputs!$C$13,0,BA4-Inputs!$C$13+1)</f>
        <v/>
      </c>
      <c r="BB6" s="63">
        <f>IF(BB4&lt;Inputs!$C$13,0,BB4-Inputs!$C$13+1)</f>
        <v/>
      </c>
      <c r="BC6" s="63">
        <f>IF(BC4&lt;Inputs!$C$13,0,BC4-Inputs!$C$13+1)</f>
        <v/>
      </c>
      <c r="BD6" s="63">
        <f>IF(BD4&lt;Inputs!$C$13,0,BD4-Inputs!$C$13+1)</f>
        <v/>
      </c>
      <c r="BE6" s="63">
        <f>IF(BE4&lt;Inputs!$C$13,0,BE4-Inputs!$C$13+1)</f>
        <v/>
      </c>
      <c r="BF6" s="63">
        <f>IF(BF4&lt;Inputs!$C$13,0,BF4-Inputs!$C$13+1)</f>
        <v/>
      </c>
      <c r="BG6" s="63">
        <f>IF(BG4&lt;Inputs!$C$13,0,BG4-Inputs!$C$13+1)</f>
        <v/>
      </c>
      <c r="BH6" s="63">
        <f>IF(BH4&lt;Inputs!$C$13,0,BH4-Inputs!$C$13+1)</f>
        <v/>
      </c>
      <c r="BI6" s="63">
        <f>IF(BI4&lt;Inputs!$C$13,0,BI4-Inputs!$C$13+1)</f>
        <v/>
      </c>
      <c r="BJ6" s="63">
        <f>IF(BJ4&lt;Inputs!$C$13,0,BJ4-Inputs!$C$13+1)</f>
        <v/>
      </c>
      <c r="BK6" s="63">
        <f>IF(BK4&lt;Inputs!$C$13,0,BK4-Inputs!$C$13+1)</f>
        <v/>
      </c>
    </row>
    <row r="7">
      <c r="B7" s="61" t="inlineStr">
        <is>
          <t>Market year</t>
        </is>
      </c>
      <c r="C7" s="92" t="inlineStr">
        <is>
          <t>yr</t>
        </is>
      </c>
      <c r="D7" s="63">
        <f>IF(D6=0,0,MIN(5,INT((D6-1)/12)+1))</f>
        <v/>
      </c>
      <c r="E7" s="63">
        <f>IF(E6=0,0,MIN(5,INT((E6-1)/12)+1))</f>
        <v/>
      </c>
      <c r="F7" s="63">
        <f>IF(F6=0,0,MIN(5,INT((F6-1)/12)+1))</f>
        <v/>
      </c>
      <c r="G7" s="63">
        <f>IF(G6=0,0,MIN(5,INT((G6-1)/12)+1))</f>
        <v/>
      </c>
      <c r="H7" s="63">
        <f>IF(H6=0,0,MIN(5,INT((H6-1)/12)+1))</f>
        <v/>
      </c>
      <c r="I7" s="63">
        <f>IF(I6=0,0,MIN(5,INT((I6-1)/12)+1))</f>
        <v/>
      </c>
      <c r="J7" s="63">
        <f>IF(J6=0,0,MIN(5,INT((J6-1)/12)+1))</f>
        <v/>
      </c>
      <c r="K7" s="63">
        <f>IF(K6=0,0,MIN(5,INT((K6-1)/12)+1))</f>
        <v/>
      </c>
      <c r="L7" s="63">
        <f>IF(L6=0,0,MIN(5,INT((L6-1)/12)+1))</f>
        <v/>
      </c>
      <c r="M7" s="63">
        <f>IF(M6=0,0,MIN(5,INT((M6-1)/12)+1))</f>
        <v/>
      </c>
      <c r="N7" s="63">
        <f>IF(N6=0,0,MIN(5,INT((N6-1)/12)+1))</f>
        <v/>
      </c>
      <c r="O7" s="63">
        <f>IF(O6=0,0,MIN(5,INT((O6-1)/12)+1))</f>
        <v/>
      </c>
      <c r="P7" s="63">
        <f>IF(P6=0,0,MIN(5,INT((P6-1)/12)+1))</f>
        <v/>
      </c>
      <c r="Q7" s="63">
        <f>IF(Q6=0,0,MIN(5,INT((Q6-1)/12)+1))</f>
        <v/>
      </c>
      <c r="R7" s="63">
        <f>IF(R6=0,0,MIN(5,INT((R6-1)/12)+1))</f>
        <v/>
      </c>
      <c r="S7" s="63">
        <f>IF(S6=0,0,MIN(5,INT((S6-1)/12)+1))</f>
        <v/>
      </c>
      <c r="T7" s="63">
        <f>IF(T6=0,0,MIN(5,INT((T6-1)/12)+1))</f>
        <v/>
      </c>
      <c r="U7" s="63">
        <f>IF(U6=0,0,MIN(5,INT((U6-1)/12)+1))</f>
        <v/>
      </c>
      <c r="V7" s="63">
        <f>IF(V6=0,0,MIN(5,INT((V6-1)/12)+1))</f>
        <v/>
      </c>
      <c r="W7" s="63">
        <f>IF(W6=0,0,MIN(5,INT((W6-1)/12)+1))</f>
        <v/>
      </c>
      <c r="X7" s="63">
        <f>IF(X6=0,0,MIN(5,INT((X6-1)/12)+1))</f>
        <v/>
      </c>
      <c r="Y7" s="63">
        <f>IF(Y6=0,0,MIN(5,INT((Y6-1)/12)+1))</f>
        <v/>
      </c>
      <c r="Z7" s="63">
        <f>IF(Z6=0,0,MIN(5,INT((Z6-1)/12)+1))</f>
        <v/>
      </c>
      <c r="AA7" s="63">
        <f>IF(AA6=0,0,MIN(5,INT((AA6-1)/12)+1))</f>
        <v/>
      </c>
      <c r="AB7" s="63">
        <f>IF(AB6=0,0,MIN(5,INT((AB6-1)/12)+1))</f>
        <v/>
      </c>
      <c r="AC7" s="63">
        <f>IF(AC6=0,0,MIN(5,INT((AC6-1)/12)+1))</f>
        <v/>
      </c>
      <c r="AD7" s="63">
        <f>IF(AD6=0,0,MIN(5,INT((AD6-1)/12)+1))</f>
        <v/>
      </c>
      <c r="AE7" s="63">
        <f>IF(AE6=0,0,MIN(5,INT((AE6-1)/12)+1))</f>
        <v/>
      </c>
      <c r="AF7" s="63">
        <f>IF(AF6=0,0,MIN(5,INT((AF6-1)/12)+1))</f>
        <v/>
      </c>
      <c r="AG7" s="63">
        <f>IF(AG6=0,0,MIN(5,INT((AG6-1)/12)+1))</f>
        <v/>
      </c>
      <c r="AH7" s="63">
        <f>IF(AH6=0,0,MIN(5,INT((AH6-1)/12)+1))</f>
        <v/>
      </c>
      <c r="AI7" s="63">
        <f>IF(AI6=0,0,MIN(5,INT((AI6-1)/12)+1))</f>
        <v/>
      </c>
      <c r="AJ7" s="63">
        <f>IF(AJ6=0,0,MIN(5,INT((AJ6-1)/12)+1))</f>
        <v/>
      </c>
      <c r="AK7" s="63">
        <f>IF(AK6=0,0,MIN(5,INT((AK6-1)/12)+1))</f>
        <v/>
      </c>
      <c r="AL7" s="63">
        <f>IF(AL6=0,0,MIN(5,INT((AL6-1)/12)+1))</f>
        <v/>
      </c>
      <c r="AM7" s="63">
        <f>IF(AM6=0,0,MIN(5,INT((AM6-1)/12)+1))</f>
        <v/>
      </c>
      <c r="AN7" s="63">
        <f>IF(AN6=0,0,MIN(5,INT((AN6-1)/12)+1))</f>
        <v/>
      </c>
      <c r="AO7" s="63">
        <f>IF(AO6=0,0,MIN(5,INT((AO6-1)/12)+1))</f>
        <v/>
      </c>
      <c r="AP7" s="63">
        <f>IF(AP6=0,0,MIN(5,INT((AP6-1)/12)+1))</f>
        <v/>
      </c>
      <c r="AQ7" s="63">
        <f>IF(AQ6=0,0,MIN(5,INT((AQ6-1)/12)+1))</f>
        <v/>
      </c>
      <c r="AR7" s="63">
        <f>IF(AR6=0,0,MIN(5,INT((AR6-1)/12)+1))</f>
        <v/>
      </c>
      <c r="AS7" s="63">
        <f>IF(AS6=0,0,MIN(5,INT((AS6-1)/12)+1))</f>
        <v/>
      </c>
      <c r="AT7" s="63">
        <f>IF(AT6=0,0,MIN(5,INT((AT6-1)/12)+1))</f>
        <v/>
      </c>
      <c r="AU7" s="63">
        <f>IF(AU6=0,0,MIN(5,INT((AU6-1)/12)+1))</f>
        <v/>
      </c>
      <c r="AV7" s="63">
        <f>IF(AV6=0,0,MIN(5,INT((AV6-1)/12)+1))</f>
        <v/>
      </c>
      <c r="AW7" s="63">
        <f>IF(AW6=0,0,MIN(5,INT((AW6-1)/12)+1))</f>
        <v/>
      </c>
      <c r="AX7" s="63">
        <f>IF(AX6=0,0,MIN(5,INT((AX6-1)/12)+1))</f>
        <v/>
      </c>
      <c r="AY7" s="63">
        <f>IF(AY6=0,0,MIN(5,INT((AY6-1)/12)+1))</f>
        <v/>
      </c>
      <c r="AZ7" s="63">
        <f>IF(AZ6=0,0,MIN(5,INT((AZ6-1)/12)+1))</f>
        <v/>
      </c>
      <c r="BA7" s="63">
        <f>IF(BA6=0,0,MIN(5,INT((BA6-1)/12)+1))</f>
        <v/>
      </c>
      <c r="BB7" s="63">
        <f>IF(BB6=0,0,MIN(5,INT((BB6-1)/12)+1))</f>
        <v/>
      </c>
      <c r="BC7" s="63">
        <f>IF(BC6=0,0,MIN(5,INT((BC6-1)/12)+1))</f>
        <v/>
      </c>
      <c r="BD7" s="63">
        <f>IF(BD6=0,0,MIN(5,INT((BD6-1)/12)+1))</f>
        <v/>
      </c>
      <c r="BE7" s="63">
        <f>IF(BE6=0,0,MIN(5,INT((BE6-1)/12)+1))</f>
        <v/>
      </c>
      <c r="BF7" s="63">
        <f>IF(BF6=0,0,MIN(5,INT((BF6-1)/12)+1))</f>
        <v/>
      </c>
      <c r="BG7" s="63">
        <f>IF(BG6=0,0,MIN(5,INT((BG6-1)/12)+1))</f>
        <v/>
      </c>
      <c r="BH7" s="63">
        <f>IF(BH6=0,0,MIN(5,INT((BH6-1)/12)+1))</f>
        <v/>
      </c>
      <c r="BI7" s="63">
        <f>IF(BI6=0,0,MIN(5,INT((BI6-1)/12)+1))</f>
        <v/>
      </c>
      <c r="BJ7" s="63">
        <f>IF(BJ6=0,0,MIN(5,INT((BJ6-1)/12)+1))</f>
        <v/>
      </c>
      <c r="BK7" s="63">
        <f>IF(BK6=0,0,MIN(5,INT((BK6-1)/12)+1))</f>
        <v/>
      </c>
    </row>
    <row r="9">
      <c r="B9" s="23" t="inlineStr">
        <is>
          <t>CUSTOMERS</t>
        </is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</row>
    <row r="10">
      <c r="B10" s="61" t="inlineStr">
        <is>
          <t>Opening active customers</t>
        </is>
      </c>
      <c r="C10" s="92" t="inlineStr">
        <is>
          <t>cust</t>
        </is>
      </c>
      <c r="D10" s="64">
        <f>0</f>
        <v/>
      </c>
      <c r="E10" s="64">
        <f>D13</f>
        <v/>
      </c>
      <c r="F10" s="64">
        <f>E13</f>
        <v/>
      </c>
      <c r="G10" s="64">
        <f>F13</f>
        <v/>
      </c>
      <c r="H10" s="64">
        <f>G13</f>
        <v/>
      </c>
      <c r="I10" s="64">
        <f>H13</f>
        <v/>
      </c>
      <c r="J10" s="64">
        <f>I13</f>
        <v/>
      </c>
      <c r="K10" s="64">
        <f>J13</f>
        <v/>
      </c>
      <c r="L10" s="64">
        <f>K13</f>
        <v/>
      </c>
      <c r="M10" s="64">
        <f>L13</f>
        <v/>
      </c>
      <c r="N10" s="64">
        <f>M13</f>
        <v/>
      </c>
      <c r="O10" s="64">
        <f>N13</f>
        <v/>
      </c>
      <c r="P10" s="64">
        <f>O13</f>
        <v/>
      </c>
      <c r="Q10" s="64">
        <f>P13</f>
        <v/>
      </c>
      <c r="R10" s="64">
        <f>Q13</f>
        <v/>
      </c>
      <c r="S10" s="64">
        <f>R13</f>
        <v/>
      </c>
      <c r="T10" s="64">
        <f>S13</f>
        <v/>
      </c>
      <c r="U10" s="64">
        <f>T13</f>
        <v/>
      </c>
      <c r="V10" s="64">
        <f>U13</f>
        <v/>
      </c>
      <c r="W10" s="64">
        <f>V13</f>
        <v/>
      </c>
      <c r="X10" s="64">
        <f>W13</f>
        <v/>
      </c>
      <c r="Y10" s="64">
        <f>X13</f>
        <v/>
      </c>
      <c r="Z10" s="64">
        <f>Y13</f>
        <v/>
      </c>
      <c r="AA10" s="64">
        <f>Z13</f>
        <v/>
      </c>
      <c r="AB10" s="64">
        <f>AA13</f>
        <v/>
      </c>
      <c r="AC10" s="64">
        <f>AB13</f>
        <v/>
      </c>
      <c r="AD10" s="64">
        <f>AC13</f>
        <v/>
      </c>
      <c r="AE10" s="64">
        <f>AD13</f>
        <v/>
      </c>
      <c r="AF10" s="64">
        <f>AE13</f>
        <v/>
      </c>
      <c r="AG10" s="64">
        <f>AF13</f>
        <v/>
      </c>
      <c r="AH10" s="64">
        <f>AG13</f>
        <v/>
      </c>
      <c r="AI10" s="64">
        <f>AH13</f>
        <v/>
      </c>
      <c r="AJ10" s="64">
        <f>AI13</f>
        <v/>
      </c>
      <c r="AK10" s="64">
        <f>AJ13</f>
        <v/>
      </c>
      <c r="AL10" s="64">
        <f>AK13</f>
        <v/>
      </c>
      <c r="AM10" s="64">
        <f>AL13</f>
        <v/>
      </c>
      <c r="AN10" s="64">
        <f>AM13</f>
        <v/>
      </c>
      <c r="AO10" s="64">
        <f>AN13</f>
        <v/>
      </c>
      <c r="AP10" s="64">
        <f>AO13</f>
        <v/>
      </c>
      <c r="AQ10" s="64">
        <f>AP13</f>
        <v/>
      </c>
      <c r="AR10" s="64">
        <f>AQ13</f>
        <v/>
      </c>
      <c r="AS10" s="64">
        <f>AR13</f>
        <v/>
      </c>
      <c r="AT10" s="64">
        <f>AS13</f>
        <v/>
      </c>
      <c r="AU10" s="64">
        <f>AT13</f>
        <v/>
      </c>
      <c r="AV10" s="64">
        <f>AU13</f>
        <v/>
      </c>
      <c r="AW10" s="64">
        <f>AV13</f>
        <v/>
      </c>
      <c r="AX10" s="64">
        <f>AW13</f>
        <v/>
      </c>
      <c r="AY10" s="64">
        <f>AX13</f>
        <v/>
      </c>
      <c r="AZ10" s="64">
        <f>AY13</f>
        <v/>
      </c>
      <c r="BA10" s="64">
        <f>AZ13</f>
        <v/>
      </c>
      <c r="BB10" s="64">
        <f>BA13</f>
        <v/>
      </c>
      <c r="BC10" s="64">
        <f>BB13</f>
        <v/>
      </c>
      <c r="BD10" s="64">
        <f>BC13</f>
        <v/>
      </c>
      <c r="BE10" s="64">
        <f>BD13</f>
        <v/>
      </c>
      <c r="BF10" s="64">
        <f>BE13</f>
        <v/>
      </c>
      <c r="BG10" s="64">
        <f>BF13</f>
        <v/>
      </c>
      <c r="BH10" s="64">
        <f>BG13</f>
        <v/>
      </c>
      <c r="BI10" s="64">
        <f>BH13</f>
        <v/>
      </c>
      <c r="BJ10" s="64">
        <f>BI13</f>
        <v/>
      </c>
      <c r="BK10" s="64">
        <f>BJ13</f>
        <v/>
      </c>
    </row>
    <row r="11">
      <c r="B11" s="61" t="inlineStr">
        <is>
          <t>New paying customers</t>
        </is>
      </c>
      <c r="C11" s="92" t="inlineStr">
        <is>
          <t>cust</t>
        </is>
      </c>
      <c r="D11" s="64">
        <f>IF(D6=1,Inputs!$C$32,0)</f>
        <v/>
      </c>
      <c r="E11" s="64">
        <f>IF(E6&lt;1,0,IF(E6=1,Inputs!$C$32,MIN(Inputs!$C$40,D11*(1+INDEX(Inputs!$C$34:$C$38,E7)*Inputs!$C$39))))</f>
        <v/>
      </c>
      <c r="F11" s="64">
        <f>IF(F6&lt;1,0,IF(F6=1,Inputs!$C$32,MIN(Inputs!$C$40,E11*(1+INDEX(Inputs!$C$34:$C$38,F7)*Inputs!$C$39))))</f>
        <v/>
      </c>
      <c r="G11" s="64">
        <f>IF(G6&lt;1,0,IF(G6=1,Inputs!$C$32,MIN(Inputs!$C$40,F11*(1+INDEX(Inputs!$C$34:$C$38,G7)*Inputs!$C$39))))</f>
        <v/>
      </c>
      <c r="H11" s="64">
        <f>IF(H6&lt;1,0,IF(H6=1,Inputs!$C$32,MIN(Inputs!$C$40,G11*(1+INDEX(Inputs!$C$34:$C$38,H7)*Inputs!$C$39))))</f>
        <v/>
      </c>
      <c r="I11" s="64">
        <f>IF(I6&lt;1,0,IF(I6=1,Inputs!$C$32,MIN(Inputs!$C$40,H11*(1+INDEX(Inputs!$C$34:$C$38,I7)*Inputs!$C$39))))</f>
        <v/>
      </c>
      <c r="J11" s="64">
        <f>IF(J6&lt;1,0,IF(J6=1,Inputs!$C$32,MIN(Inputs!$C$40,I11*(1+INDEX(Inputs!$C$34:$C$38,J7)*Inputs!$C$39))))</f>
        <v/>
      </c>
      <c r="K11" s="64">
        <f>IF(K6&lt;1,0,IF(K6=1,Inputs!$C$32,MIN(Inputs!$C$40,J11*(1+INDEX(Inputs!$C$34:$C$38,K7)*Inputs!$C$39))))</f>
        <v/>
      </c>
      <c r="L11" s="64">
        <f>IF(L6&lt;1,0,IF(L6=1,Inputs!$C$32,MIN(Inputs!$C$40,K11*(1+INDEX(Inputs!$C$34:$C$38,L7)*Inputs!$C$39))))</f>
        <v/>
      </c>
      <c r="M11" s="64">
        <f>IF(M6&lt;1,0,IF(M6=1,Inputs!$C$32,MIN(Inputs!$C$40,L11*(1+INDEX(Inputs!$C$34:$C$38,M7)*Inputs!$C$39))))</f>
        <v/>
      </c>
      <c r="N11" s="64">
        <f>IF(N6&lt;1,0,IF(N6=1,Inputs!$C$32,MIN(Inputs!$C$40,M11*(1+INDEX(Inputs!$C$34:$C$38,N7)*Inputs!$C$39))))</f>
        <v/>
      </c>
      <c r="O11" s="64">
        <f>IF(O6&lt;1,0,IF(O6=1,Inputs!$C$32,MIN(Inputs!$C$40,N11*(1+INDEX(Inputs!$C$34:$C$38,O7)*Inputs!$C$39))))</f>
        <v/>
      </c>
      <c r="P11" s="64">
        <f>IF(P6&lt;1,0,IF(P6=1,Inputs!$C$32,MIN(Inputs!$C$40,O11*(1+INDEX(Inputs!$C$34:$C$38,P7)*Inputs!$C$39))))</f>
        <v/>
      </c>
      <c r="Q11" s="64">
        <f>IF(Q6&lt;1,0,IF(Q6=1,Inputs!$C$32,MIN(Inputs!$C$40,P11*(1+INDEX(Inputs!$C$34:$C$38,Q7)*Inputs!$C$39))))</f>
        <v/>
      </c>
      <c r="R11" s="64">
        <f>IF(R6&lt;1,0,IF(R6=1,Inputs!$C$32,MIN(Inputs!$C$40,Q11*(1+INDEX(Inputs!$C$34:$C$38,R7)*Inputs!$C$39))))</f>
        <v/>
      </c>
      <c r="S11" s="64">
        <f>IF(S6&lt;1,0,IF(S6=1,Inputs!$C$32,MIN(Inputs!$C$40,R11*(1+INDEX(Inputs!$C$34:$C$38,S7)*Inputs!$C$39))))</f>
        <v/>
      </c>
      <c r="T11" s="64">
        <f>IF(T6&lt;1,0,IF(T6=1,Inputs!$C$32,MIN(Inputs!$C$40,S11*(1+INDEX(Inputs!$C$34:$C$38,T7)*Inputs!$C$39))))</f>
        <v/>
      </c>
      <c r="U11" s="64">
        <f>IF(U6&lt;1,0,IF(U6=1,Inputs!$C$32,MIN(Inputs!$C$40,T11*(1+INDEX(Inputs!$C$34:$C$38,U7)*Inputs!$C$39))))</f>
        <v/>
      </c>
      <c r="V11" s="64">
        <f>IF(V6&lt;1,0,IF(V6=1,Inputs!$C$32,MIN(Inputs!$C$40,U11*(1+INDEX(Inputs!$C$34:$C$38,V7)*Inputs!$C$39))))</f>
        <v/>
      </c>
      <c r="W11" s="64">
        <f>IF(W6&lt;1,0,IF(W6=1,Inputs!$C$32,MIN(Inputs!$C$40,V11*(1+INDEX(Inputs!$C$34:$C$38,W7)*Inputs!$C$39))))</f>
        <v/>
      </c>
      <c r="X11" s="64">
        <f>IF(X6&lt;1,0,IF(X6=1,Inputs!$C$32,MIN(Inputs!$C$40,W11*(1+INDEX(Inputs!$C$34:$C$38,X7)*Inputs!$C$39))))</f>
        <v/>
      </c>
      <c r="Y11" s="64">
        <f>IF(Y6&lt;1,0,IF(Y6=1,Inputs!$C$32,MIN(Inputs!$C$40,X11*(1+INDEX(Inputs!$C$34:$C$38,Y7)*Inputs!$C$39))))</f>
        <v/>
      </c>
      <c r="Z11" s="64">
        <f>IF(Z6&lt;1,0,IF(Z6=1,Inputs!$C$32,MIN(Inputs!$C$40,Y11*(1+INDEX(Inputs!$C$34:$C$38,Z7)*Inputs!$C$39))))</f>
        <v/>
      </c>
      <c r="AA11" s="64">
        <f>IF(AA6&lt;1,0,IF(AA6=1,Inputs!$C$32,MIN(Inputs!$C$40,Z11*(1+INDEX(Inputs!$C$34:$C$38,AA7)*Inputs!$C$39))))</f>
        <v/>
      </c>
      <c r="AB11" s="64">
        <f>IF(AB6&lt;1,0,IF(AB6=1,Inputs!$C$32,MIN(Inputs!$C$40,AA11*(1+INDEX(Inputs!$C$34:$C$38,AB7)*Inputs!$C$39))))</f>
        <v/>
      </c>
      <c r="AC11" s="64">
        <f>IF(AC6&lt;1,0,IF(AC6=1,Inputs!$C$32,MIN(Inputs!$C$40,AB11*(1+INDEX(Inputs!$C$34:$C$38,AC7)*Inputs!$C$39))))</f>
        <v/>
      </c>
      <c r="AD11" s="64">
        <f>IF(AD6&lt;1,0,IF(AD6=1,Inputs!$C$32,MIN(Inputs!$C$40,AC11*(1+INDEX(Inputs!$C$34:$C$38,AD7)*Inputs!$C$39))))</f>
        <v/>
      </c>
      <c r="AE11" s="64">
        <f>IF(AE6&lt;1,0,IF(AE6=1,Inputs!$C$32,MIN(Inputs!$C$40,AD11*(1+INDEX(Inputs!$C$34:$C$38,AE7)*Inputs!$C$39))))</f>
        <v/>
      </c>
      <c r="AF11" s="64">
        <f>IF(AF6&lt;1,0,IF(AF6=1,Inputs!$C$32,MIN(Inputs!$C$40,AE11*(1+INDEX(Inputs!$C$34:$C$38,AF7)*Inputs!$C$39))))</f>
        <v/>
      </c>
      <c r="AG11" s="64">
        <f>IF(AG6&lt;1,0,IF(AG6=1,Inputs!$C$32,MIN(Inputs!$C$40,AF11*(1+INDEX(Inputs!$C$34:$C$38,AG7)*Inputs!$C$39))))</f>
        <v/>
      </c>
      <c r="AH11" s="64">
        <f>IF(AH6&lt;1,0,IF(AH6=1,Inputs!$C$32,MIN(Inputs!$C$40,AG11*(1+INDEX(Inputs!$C$34:$C$38,AH7)*Inputs!$C$39))))</f>
        <v/>
      </c>
      <c r="AI11" s="64">
        <f>IF(AI6&lt;1,0,IF(AI6=1,Inputs!$C$32,MIN(Inputs!$C$40,AH11*(1+INDEX(Inputs!$C$34:$C$38,AI7)*Inputs!$C$39))))</f>
        <v/>
      </c>
      <c r="AJ11" s="64">
        <f>IF(AJ6&lt;1,0,IF(AJ6=1,Inputs!$C$32,MIN(Inputs!$C$40,AI11*(1+INDEX(Inputs!$C$34:$C$38,AJ7)*Inputs!$C$39))))</f>
        <v/>
      </c>
      <c r="AK11" s="64">
        <f>IF(AK6&lt;1,0,IF(AK6=1,Inputs!$C$32,MIN(Inputs!$C$40,AJ11*(1+INDEX(Inputs!$C$34:$C$38,AK7)*Inputs!$C$39))))</f>
        <v/>
      </c>
      <c r="AL11" s="64">
        <f>IF(AL6&lt;1,0,IF(AL6=1,Inputs!$C$32,MIN(Inputs!$C$40,AK11*(1+INDEX(Inputs!$C$34:$C$38,AL7)*Inputs!$C$39))))</f>
        <v/>
      </c>
      <c r="AM11" s="64">
        <f>IF(AM6&lt;1,0,IF(AM6=1,Inputs!$C$32,MIN(Inputs!$C$40,AL11*(1+INDEX(Inputs!$C$34:$C$38,AM7)*Inputs!$C$39))))</f>
        <v/>
      </c>
      <c r="AN11" s="64">
        <f>IF(AN6&lt;1,0,IF(AN6=1,Inputs!$C$32,MIN(Inputs!$C$40,AM11*(1+INDEX(Inputs!$C$34:$C$38,AN7)*Inputs!$C$39))))</f>
        <v/>
      </c>
      <c r="AO11" s="64">
        <f>IF(AO6&lt;1,0,IF(AO6=1,Inputs!$C$32,MIN(Inputs!$C$40,AN11*(1+INDEX(Inputs!$C$34:$C$38,AO7)*Inputs!$C$39))))</f>
        <v/>
      </c>
      <c r="AP11" s="64">
        <f>IF(AP6&lt;1,0,IF(AP6=1,Inputs!$C$32,MIN(Inputs!$C$40,AO11*(1+INDEX(Inputs!$C$34:$C$38,AP7)*Inputs!$C$39))))</f>
        <v/>
      </c>
      <c r="AQ11" s="64">
        <f>IF(AQ6&lt;1,0,IF(AQ6=1,Inputs!$C$32,MIN(Inputs!$C$40,AP11*(1+INDEX(Inputs!$C$34:$C$38,AQ7)*Inputs!$C$39))))</f>
        <v/>
      </c>
      <c r="AR11" s="64">
        <f>IF(AR6&lt;1,0,IF(AR6=1,Inputs!$C$32,MIN(Inputs!$C$40,AQ11*(1+INDEX(Inputs!$C$34:$C$38,AR7)*Inputs!$C$39))))</f>
        <v/>
      </c>
      <c r="AS11" s="64">
        <f>IF(AS6&lt;1,0,IF(AS6=1,Inputs!$C$32,MIN(Inputs!$C$40,AR11*(1+INDEX(Inputs!$C$34:$C$38,AS7)*Inputs!$C$39))))</f>
        <v/>
      </c>
      <c r="AT11" s="64">
        <f>IF(AT6&lt;1,0,IF(AT6=1,Inputs!$C$32,MIN(Inputs!$C$40,AS11*(1+INDEX(Inputs!$C$34:$C$38,AT7)*Inputs!$C$39))))</f>
        <v/>
      </c>
      <c r="AU11" s="64">
        <f>IF(AU6&lt;1,0,IF(AU6=1,Inputs!$C$32,MIN(Inputs!$C$40,AT11*(1+INDEX(Inputs!$C$34:$C$38,AU7)*Inputs!$C$39))))</f>
        <v/>
      </c>
      <c r="AV11" s="64">
        <f>IF(AV6&lt;1,0,IF(AV6=1,Inputs!$C$32,MIN(Inputs!$C$40,AU11*(1+INDEX(Inputs!$C$34:$C$38,AV7)*Inputs!$C$39))))</f>
        <v/>
      </c>
      <c r="AW11" s="64">
        <f>IF(AW6&lt;1,0,IF(AW6=1,Inputs!$C$32,MIN(Inputs!$C$40,AV11*(1+INDEX(Inputs!$C$34:$C$38,AW7)*Inputs!$C$39))))</f>
        <v/>
      </c>
      <c r="AX11" s="64">
        <f>IF(AX6&lt;1,0,IF(AX6=1,Inputs!$C$32,MIN(Inputs!$C$40,AW11*(1+INDEX(Inputs!$C$34:$C$38,AX7)*Inputs!$C$39))))</f>
        <v/>
      </c>
      <c r="AY11" s="64">
        <f>IF(AY6&lt;1,0,IF(AY6=1,Inputs!$C$32,MIN(Inputs!$C$40,AX11*(1+INDEX(Inputs!$C$34:$C$38,AY7)*Inputs!$C$39))))</f>
        <v/>
      </c>
      <c r="AZ11" s="64">
        <f>IF(AZ6&lt;1,0,IF(AZ6=1,Inputs!$C$32,MIN(Inputs!$C$40,AY11*(1+INDEX(Inputs!$C$34:$C$38,AZ7)*Inputs!$C$39))))</f>
        <v/>
      </c>
      <c r="BA11" s="64">
        <f>IF(BA6&lt;1,0,IF(BA6=1,Inputs!$C$32,MIN(Inputs!$C$40,AZ11*(1+INDEX(Inputs!$C$34:$C$38,BA7)*Inputs!$C$39))))</f>
        <v/>
      </c>
      <c r="BB11" s="64">
        <f>IF(BB6&lt;1,0,IF(BB6=1,Inputs!$C$32,MIN(Inputs!$C$40,BA11*(1+INDEX(Inputs!$C$34:$C$38,BB7)*Inputs!$C$39))))</f>
        <v/>
      </c>
      <c r="BC11" s="64">
        <f>IF(BC6&lt;1,0,IF(BC6=1,Inputs!$C$32,MIN(Inputs!$C$40,BB11*(1+INDEX(Inputs!$C$34:$C$38,BC7)*Inputs!$C$39))))</f>
        <v/>
      </c>
      <c r="BD11" s="64">
        <f>IF(BD6&lt;1,0,IF(BD6=1,Inputs!$C$32,MIN(Inputs!$C$40,BC11*(1+INDEX(Inputs!$C$34:$C$38,BD7)*Inputs!$C$39))))</f>
        <v/>
      </c>
      <c r="BE11" s="64">
        <f>IF(BE6&lt;1,0,IF(BE6=1,Inputs!$C$32,MIN(Inputs!$C$40,BD11*(1+INDEX(Inputs!$C$34:$C$38,BE7)*Inputs!$C$39))))</f>
        <v/>
      </c>
      <c r="BF11" s="64">
        <f>IF(BF6&lt;1,0,IF(BF6=1,Inputs!$C$32,MIN(Inputs!$C$40,BE11*(1+INDEX(Inputs!$C$34:$C$38,BF7)*Inputs!$C$39))))</f>
        <v/>
      </c>
      <c r="BG11" s="64">
        <f>IF(BG6&lt;1,0,IF(BG6=1,Inputs!$C$32,MIN(Inputs!$C$40,BF11*(1+INDEX(Inputs!$C$34:$C$38,BG7)*Inputs!$C$39))))</f>
        <v/>
      </c>
      <c r="BH11" s="64">
        <f>IF(BH6&lt;1,0,IF(BH6=1,Inputs!$C$32,MIN(Inputs!$C$40,BG11*(1+INDEX(Inputs!$C$34:$C$38,BH7)*Inputs!$C$39))))</f>
        <v/>
      </c>
      <c r="BI11" s="64">
        <f>IF(BI6&lt;1,0,IF(BI6=1,Inputs!$C$32,MIN(Inputs!$C$40,BH11*(1+INDEX(Inputs!$C$34:$C$38,BI7)*Inputs!$C$39))))</f>
        <v/>
      </c>
      <c r="BJ11" s="64">
        <f>IF(BJ6&lt;1,0,IF(BJ6=1,Inputs!$C$32,MIN(Inputs!$C$40,BI11*(1+INDEX(Inputs!$C$34:$C$38,BJ7)*Inputs!$C$39))))</f>
        <v/>
      </c>
      <c r="BK11" s="64">
        <f>IF(BK6&lt;1,0,IF(BK6=1,Inputs!$C$32,MIN(Inputs!$C$40,BJ11*(1+INDEX(Inputs!$C$34:$C$38,BK7)*Inputs!$C$39))))</f>
        <v/>
      </c>
    </row>
    <row r="12">
      <c r="B12" s="61" t="inlineStr">
        <is>
          <t>Customers lost to churn</t>
        </is>
      </c>
      <c r="C12" s="92" t="inlineStr">
        <is>
          <t>cust</t>
        </is>
      </c>
      <c r="D12" s="64">
        <f>-D10*Inputs!$C$42</f>
        <v/>
      </c>
      <c r="E12" s="64">
        <f>-E10*Inputs!$C$42</f>
        <v/>
      </c>
      <c r="F12" s="64">
        <f>-F10*Inputs!$C$42</f>
        <v/>
      </c>
      <c r="G12" s="64">
        <f>-G10*Inputs!$C$42</f>
        <v/>
      </c>
      <c r="H12" s="64">
        <f>-H10*Inputs!$C$42</f>
        <v/>
      </c>
      <c r="I12" s="64">
        <f>-I10*Inputs!$C$42</f>
        <v/>
      </c>
      <c r="J12" s="64">
        <f>-J10*Inputs!$C$42</f>
        <v/>
      </c>
      <c r="K12" s="64">
        <f>-K10*Inputs!$C$42</f>
        <v/>
      </c>
      <c r="L12" s="64">
        <f>-L10*Inputs!$C$42</f>
        <v/>
      </c>
      <c r="M12" s="64">
        <f>-M10*Inputs!$C$42</f>
        <v/>
      </c>
      <c r="N12" s="64">
        <f>-N10*Inputs!$C$42</f>
        <v/>
      </c>
      <c r="O12" s="64">
        <f>-O10*Inputs!$C$42</f>
        <v/>
      </c>
      <c r="P12" s="64">
        <f>-P10*Inputs!$C$42</f>
        <v/>
      </c>
      <c r="Q12" s="64">
        <f>-Q10*Inputs!$C$42</f>
        <v/>
      </c>
      <c r="R12" s="64">
        <f>-R10*Inputs!$C$42</f>
        <v/>
      </c>
      <c r="S12" s="64">
        <f>-S10*Inputs!$C$42</f>
        <v/>
      </c>
      <c r="T12" s="64">
        <f>-T10*Inputs!$C$42</f>
        <v/>
      </c>
      <c r="U12" s="64">
        <f>-U10*Inputs!$C$42</f>
        <v/>
      </c>
      <c r="V12" s="64">
        <f>-V10*Inputs!$C$42</f>
        <v/>
      </c>
      <c r="W12" s="64">
        <f>-W10*Inputs!$C$42</f>
        <v/>
      </c>
      <c r="X12" s="64">
        <f>-X10*Inputs!$C$42</f>
        <v/>
      </c>
      <c r="Y12" s="64">
        <f>-Y10*Inputs!$C$42</f>
        <v/>
      </c>
      <c r="Z12" s="64">
        <f>-Z10*Inputs!$C$42</f>
        <v/>
      </c>
      <c r="AA12" s="64">
        <f>-AA10*Inputs!$C$42</f>
        <v/>
      </c>
      <c r="AB12" s="64">
        <f>-AB10*Inputs!$C$42</f>
        <v/>
      </c>
      <c r="AC12" s="64">
        <f>-AC10*Inputs!$C$42</f>
        <v/>
      </c>
      <c r="AD12" s="64">
        <f>-AD10*Inputs!$C$42</f>
        <v/>
      </c>
      <c r="AE12" s="64">
        <f>-AE10*Inputs!$C$42</f>
        <v/>
      </c>
      <c r="AF12" s="64">
        <f>-AF10*Inputs!$C$42</f>
        <v/>
      </c>
      <c r="AG12" s="64">
        <f>-AG10*Inputs!$C$42</f>
        <v/>
      </c>
      <c r="AH12" s="64">
        <f>-AH10*Inputs!$C$42</f>
        <v/>
      </c>
      <c r="AI12" s="64">
        <f>-AI10*Inputs!$C$42</f>
        <v/>
      </c>
      <c r="AJ12" s="64">
        <f>-AJ10*Inputs!$C$42</f>
        <v/>
      </c>
      <c r="AK12" s="64">
        <f>-AK10*Inputs!$C$42</f>
        <v/>
      </c>
      <c r="AL12" s="64">
        <f>-AL10*Inputs!$C$42</f>
        <v/>
      </c>
      <c r="AM12" s="64">
        <f>-AM10*Inputs!$C$42</f>
        <v/>
      </c>
      <c r="AN12" s="64">
        <f>-AN10*Inputs!$C$42</f>
        <v/>
      </c>
      <c r="AO12" s="64">
        <f>-AO10*Inputs!$C$42</f>
        <v/>
      </c>
      <c r="AP12" s="64">
        <f>-AP10*Inputs!$C$42</f>
        <v/>
      </c>
      <c r="AQ12" s="64">
        <f>-AQ10*Inputs!$C$42</f>
        <v/>
      </c>
      <c r="AR12" s="64">
        <f>-AR10*Inputs!$C$42</f>
        <v/>
      </c>
      <c r="AS12" s="64">
        <f>-AS10*Inputs!$C$42</f>
        <v/>
      </c>
      <c r="AT12" s="64">
        <f>-AT10*Inputs!$C$42</f>
        <v/>
      </c>
      <c r="AU12" s="64">
        <f>-AU10*Inputs!$C$42</f>
        <v/>
      </c>
      <c r="AV12" s="64">
        <f>-AV10*Inputs!$C$42</f>
        <v/>
      </c>
      <c r="AW12" s="64">
        <f>-AW10*Inputs!$C$42</f>
        <v/>
      </c>
      <c r="AX12" s="64">
        <f>-AX10*Inputs!$C$42</f>
        <v/>
      </c>
      <c r="AY12" s="64">
        <f>-AY10*Inputs!$C$42</f>
        <v/>
      </c>
      <c r="AZ12" s="64">
        <f>-AZ10*Inputs!$C$42</f>
        <v/>
      </c>
      <c r="BA12" s="64">
        <f>-BA10*Inputs!$C$42</f>
        <v/>
      </c>
      <c r="BB12" s="64">
        <f>-BB10*Inputs!$C$42</f>
        <v/>
      </c>
      <c r="BC12" s="64">
        <f>-BC10*Inputs!$C$42</f>
        <v/>
      </c>
      <c r="BD12" s="64">
        <f>-BD10*Inputs!$C$42</f>
        <v/>
      </c>
      <c r="BE12" s="64">
        <f>-BE10*Inputs!$C$42</f>
        <v/>
      </c>
      <c r="BF12" s="64">
        <f>-BF10*Inputs!$C$42</f>
        <v/>
      </c>
      <c r="BG12" s="64">
        <f>-BG10*Inputs!$C$42</f>
        <v/>
      </c>
      <c r="BH12" s="64">
        <f>-BH10*Inputs!$C$42</f>
        <v/>
      </c>
      <c r="BI12" s="64">
        <f>-BI10*Inputs!$C$42</f>
        <v/>
      </c>
      <c r="BJ12" s="64">
        <f>-BJ10*Inputs!$C$42</f>
        <v/>
      </c>
      <c r="BK12" s="64">
        <f>-BK10*Inputs!$C$42</f>
        <v/>
      </c>
    </row>
    <row r="13">
      <c r="B13" s="65" t="inlineStr">
        <is>
          <t>Closing active customers</t>
        </is>
      </c>
      <c r="C13" s="92" t="inlineStr">
        <is>
          <t>cust</t>
        </is>
      </c>
      <c r="D13" s="66">
        <f>D10+D11+D12</f>
        <v/>
      </c>
      <c r="E13" s="66">
        <f>E10+E11+E12</f>
        <v/>
      </c>
      <c r="F13" s="66">
        <f>F10+F11+F12</f>
        <v/>
      </c>
      <c r="G13" s="66">
        <f>G10+G11+G12</f>
        <v/>
      </c>
      <c r="H13" s="66">
        <f>H10+H11+H12</f>
        <v/>
      </c>
      <c r="I13" s="66">
        <f>I10+I11+I12</f>
        <v/>
      </c>
      <c r="J13" s="66">
        <f>J10+J11+J12</f>
        <v/>
      </c>
      <c r="K13" s="66">
        <f>K10+K11+K12</f>
        <v/>
      </c>
      <c r="L13" s="66">
        <f>L10+L11+L12</f>
        <v/>
      </c>
      <c r="M13" s="66">
        <f>M10+M11+M12</f>
        <v/>
      </c>
      <c r="N13" s="66">
        <f>N10+N11+N12</f>
        <v/>
      </c>
      <c r="O13" s="66">
        <f>O10+O11+O12</f>
        <v/>
      </c>
      <c r="P13" s="66">
        <f>P10+P11+P12</f>
        <v/>
      </c>
      <c r="Q13" s="66">
        <f>Q10+Q11+Q12</f>
        <v/>
      </c>
      <c r="R13" s="66">
        <f>R10+R11+R12</f>
        <v/>
      </c>
      <c r="S13" s="66">
        <f>S10+S11+S12</f>
        <v/>
      </c>
      <c r="T13" s="66">
        <f>T10+T11+T12</f>
        <v/>
      </c>
      <c r="U13" s="66">
        <f>U10+U11+U12</f>
        <v/>
      </c>
      <c r="V13" s="66">
        <f>V10+V11+V12</f>
        <v/>
      </c>
      <c r="W13" s="66">
        <f>W10+W11+W12</f>
        <v/>
      </c>
      <c r="X13" s="66">
        <f>X10+X11+X12</f>
        <v/>
      </c>
      <c r="Y13" s="66">
        <f>Y10+Y11+Y12</f>
        <v/>
      </c>
      <c r="Z13" s="66">
        <f>Z10+Z11+Z12</f>
        <v/>
      </c>
      <c r="AA13" s="66">
        <f>AA10+AA11+AA12</f>
        <v/>
      </c>
      <c r="AB13" s="66">
        <f>AB10+AB11+AB12</f>
        <v/>
      </c>
      <c r="AC13" s="66">
        <f>AC10+AC11+AC12</f>
        <v/>
      </c>
      <c r="AD13" s="66">
        <f>AD10+AD11+AD12</f>
        <v/>
      </c>
      <c r="AE13" s="66">
        <f>AE10+AE11+AE12</f>
        <v/>
      </c>
      <c r="AF13" s="66">
        <f>AF10+AF11+AF12</f>
        <v/>
      </c>
      <c r="AG13" s="66">
        <f>AG10+AG11+AG12</f>
        <v/>
      </c>
      <c r="AH13" s="66">
        <f>AH10+AH11+AH12</f>
        <v/>
      </c>
      <c r="AI13" s="66">
        <f>AI10+AI11+AI12</f>
        <v/>
      </c>
      <c r="AJ13" s="66">
        <f>AJ10+AJ11+AJ12</f>
        <v/>
      </c>
      <c r="AK13" s="66">
        <f>AK10+AK11+AK12</f>
        <v/>
      </c>
      <c r="AL13" s="66">
        <f>AL10+AL11+AL12</f>
        <v/>
      </c>
      <c r="AM13" s="66">
        <f>AM10+AM11+AM12</f>
        <v/>
      </c>
      <c r="AN13" s="66">
        <f>AN10+AN11+AN12</f>
        <v/>
      </c>
      <c r="AO13" s="66">
        <f>AO10+AO11+AO12</f>
        <v/>
      </c>
      <c r="AP13" s="66">
        <f>AP10+AP11+AP12</f>
        <v/>
      </c>
      <c r="AQ13" s="66">
        <f>AQ10+AQ11+AQ12</f>
        <v/>
      </c>
      <c r="AR13" s="66">
        <f>AR10+AR11+AR12</f>
        <v/>
      </c>
      <c r="AS13" s="66">
        <f>AS10+AS11+AS12</f>
        <v/>
      </c>
      <c r="AT13" s="66">
        <f>AT10+AT11+AT12</f>
        <v/>
      </c>
      <c r="AU13" s="66">
        <f>AU10+AU11+AU12</f>
        <v/>
      </c>
      <c r="AV13" s="66">
        <f>AV10+AV11+AV12</f>
        <v/>
      </c>
      <c r="AW13" s="66">
        <f>AW10+AW11+AW12</f>
        <v/>
      </c>
      <c r="AX13" s="66">
        <f>AX10+AX11+AX12</f>
        <v/>
      </c>
      <c r="AY13" s="66">
        <f>AY10+AY11+AY12</f>
        <v/>
      </c>
      <c r="AZ13" s="66">
        <f>AZ10+AZ11+AZ12</f>
        <v/>
      </c>
      <c r="BA13" s="66">
        <f>BA10+BA11+BA12</f>
        <v/>
      </c>
      <c r="BB13" s="66">
        <f>BB10+BB11+BB12</f>
        <v/>
      </c>
      <c r="BC13" s="66">
        <f>BC10+BC11+BC12</f>
        <v/>
      </c>
      <c r="BD13" s="66">
        <f>BD10+BD11+BD12</f>
        <v/>
      </c>
      <c r="BE13" s="66">
        <f>BE10+BE11+BE12</f>
        <v/>
      </c>
      <c r="BF13" s="66">
        <f>BF10+BF11+BF12</f>
        <v/>
      </c>
      <c r="BG13" s="66">
        <f>BG10+BG11+BG12</f>
        <v/>
      </c>
      <c r="BH13" s="66">
        <f>BH10+BH11+BH12</f>
        <v/>
      </c>
      <c r="BI13" s="66">
        <f>BI10+BI11+BI12</f>
        <v/>
      </c>
      <c r="BJ13" s="66">
        <f>BJ10+BJ11+BJ12</f>
        <v/>
      </c>
      <c r="BK13" s="66">
        <f>BK10+BK11+BK12</f>
        <v/>
      </c>
    </row>
    <row r="14">
      <c r="B14" s="61" t="inlineStr">
        <is>
          <t>Average active customers</t>
        </is>
      </c>
      <c r="C14" s="92" t="inlineStr">
        <is>
          <t>cust</t>
        </is>
      </c>
      <c r="D14" s="64">
        <f>(D10+D13)/2</f>
        <v/>
      </c>
      <c r="E14" s="64">
        <f>(E10+E13)/2</f>
        <v/>
      </c>
      <c r="F14" s="64">
        <f>(F10+F13)/2</f>
        <v/>
      </c>
      <c r="G14" s="64">
        <f>(G10+G13)/2</f>
        <v/>
      </c>
      <c r="H14" s="64">
        <f>(H10+H13)/2</f>
        <v/>
      </c>
      <c r="I14" s="64">
        <f>(I10+I13)/2</f>
        <v/>
      </c>
      <c r="J14" s="64">
        <f>(J10+J13)/2</f>
        <v/>
      </c>
      <c r="K14" s="64">
        <f>(K10+K13)/2</f>
        <v/>
      </c>
      <c r="L14" s="64">
        <f>(L10+L13)/2</f>
        <v/>
      </c>
      <c r="M14" s="64">
        <f>(M10+M13)/2</f>
        <v/>
      </c>
      <c r="N14" s="64">
        <f>(N10+N13)/2</f>
        <v/>
      </c>
      <c r="O14" s="64">
        <f>(O10+O13)/2</f>
        <v/>
      </c>
      <c r="P14" s="64">
        <f>(P10+P13)/2</f>
        <v/>
      </c>
      <c r="Q14" s="64">
        <f>(Q10+Q13)/2</f>
        <v/>
      </c>
      <c r="R14" s="64">
        <f>(R10+R13)/2</f>
        <v/>
      </c>
      <c r="S14" s="64">
        <f>(S10+S13)/2</f>
        <v/>
      </c>
      <c r="T14" s="64">
        <f>(T10+T13)/2</f>
        <v/>
      </c>
      <c r="U14" s="64">
        <f>(U10+U13)/2</f>
        <v/>
      </c>
      <c r="V14" s="64">
        <f>(V10+V13)/2</f>
        <v/>
      </c>
      <c r="W14" s="64">
        <f>(W10+W13)/2</f>
        <v/>
      </c>
      <c r="X14" s="64">
        <f>(X10+X13)/2</f>
        <v/>
      </c>
      <c r="Y14" s="64">
        <f>(Y10+Y13)/2</f>
        <v/>
      </c>
      <c r="Z14" s="64">
        <f>(Z10+Z13)/2</f>
        <v/>
      </c>
      <c r="AA14" s="64">
        <f>(AA10+AA13)/2</f>
        <v/>
      </c>
      <c r="AB14" s="64">
        <f>(AB10+AB13)/2</f>
        <v/>
      </c>
      <c r="AC14" s="64">
        <f>(AC10+AC13)/2</f>
        <v/>
      </c>
      <c r="AD14" s="64">
        <f>(AD10+AD13)/2</f>
        <v/>
      </c>
      <c r="AE14" s="64">
        <f>(AE10+AE13)/2</f>
        <v/>
      </c>
      <c r="AF14" s="64">
        <f>(AF10+AF13)/2</f>
        <v/>
      </c>
      <c r="AG14" s="64">
        <f>(AG10+AG13)/2</f>
        <v/>
      </c>
      <c r="AH14" s="64">
        <f>(AH10+AH13)/2</f>
        <v/>
      </c>
      <c r="AI14" s="64">
        <f>(AI10+AI13)/2</f>
        <v/>
      </c>
      <c r="AJ14" s="64">
        <f>(AJ10+AJ13)/2</f>
        <v/>
      </c>
      <c r="AK14" s="64">
        <f>(AK10+AK13)/2</f>
        <v/>
      </c>
      <c r="AL14" s="64">
        <f>(AL10+AL13)/2</f>
        <v/>
      </c>
      <c r="AM14" s="64">
        <f>(AM10+AM13)/2</f>
        <v/>
      </c>
      <c r="AN14" s="64">
        <f>(AN10+AN13)/2</f>
        <v/>
      </c>
      <c r="AO14" s="64">
        <f>(AO10+AO13)/2</f>
        <v/>
      </c>
      <c r="AP14" s="64">
        <f>(AP10+AP13)/2</f>
        <v/>
      </c>
      <c r="AQ14" s="64">
        <f>(AQ10+AQ13)/2</f>
        <v/>
      </c>
      <c r="AR14" s="64">
        <f>(AR10+AR13)/2</f>
        <v/>
      </c>
      <c r="AS14" s="64">
        <f>(AS10+AS13)/2</f>
        <v/>
      </c>
      <c r="AT14" s="64">
        <f>(AT10+AT13)/2</f>
        <v/>
      </c>
      <c r="AU14" s="64">
        <f>(AU10+AU13)/2</f>
        <v/>
      </c>
      <c r="AV14" s="64">
        <f>(AV10+AV13)/2</f>
        <v/>
      </c>
      <c r="AW14" s="64">
        <f>(AW10+AW13)/2</f>
        <v/>
      </c>
      <c r="AX14" s="64">
        <f>(AX10+AX13)/2</f>
        <v/>
      </c>
      <c r="AY14" s="64">
        <f>(AY10+AY13)/2</f>
        <v/>
      </c>
      <c r="AZ14" s="64">
        <f>(AZ10+AZ13)/2</f>
        <v/>
      </c>
      <c r="BA14" s="64">
        <f>(BA10+BA13)/2</f>
        <v/>
      </c>
      <c r="BB14" s="64">
        <f>(BB10+BB13)/2</f>
        <v/>
      </c>
      <c r="BC14" s="64">
        <f>(BC10+BC13)/2</f>
        <v/>
      </c>
      <c r="BD14" s="64">
        <f>(BD10+BD13)/2</f>
        <v/>
      </c>
      <c r="BE14" s="64">
        <f>(BE10+BE13)/2</f>
        <v/>
      </c>
      <c r="BF14" s="64">
        <f>(BF10+BF13)/2</f>
        <v/>
      </c>
      <c r="BG14" s="64">
        <f>(BG10+BG13)/2</f>
        <v/>
      </c>
      <c r="BH14" s="64">
        <f>(BH10+BH13)/2</f>
        <v/>
      </c>
      <c r="BI14" s="64">
        <f>(BI10+BI13)/2</f>
        <v/>
      </c>
      <c r="BJ14" s="64">
        <f>(BJ10+BJ13)/2</f>
        <v/>
      </c>
      <c r="BK14" s="64">
        <f>(BK10+BK13)/2</f>
        <v/>
      </c>
    </row>
    <row r="15">
      <c r="B15" s="61" t="inlineStr">
        <is>
          <t>Free trials started</t>
        </is>
      </c>
      <c r="C15" s="92" t="inlineStr">
        <is>
          <t>trials</t>
        </is>
      </c>
      <c r="D15" s="64">
        <f>IFERROR(D11/Inputs!$C$45,0)</f>
        <v/>
      </c>
      <c r="E15" s="64">
        <f>IFERROR(E11/Inputs!$C$45,0)</f>
        <v/>
      </c>
      <c r="F15" s="64">
        <f>IFERROR(F11/Inputs!$C$45,0)</f>
        <v/>
      </c>
      <c r="G15" s="64">
        <f>IFERROR(G11/Inputs!$C$45,0)</f>
        <v/>
      </c>
      <c r="H15" s="64">
        <f>IFERROR(H11/Inputs!$C$45,0)</f>
        <v/>
      </c>
      <c r="I15" s="64">
        <f>IFERROR(I11/Inputs!$C$45,0)</f>
        <v/>
      </c>
      <c r="J15" s="64">
        <f>IFERROR(J11/Inputs!$C$45,0)</f>
        <v/>
      </c>
      <c r="K15" s="64">
        <f>IFERROR(K11/Inputs!$C$45,0)</f>
        <v/>
      </c>
      <c r="L15" s="64">
        <f>IFERROR(L11/Inputs!$C$45,0)</f>
        <v/>
      </c>
      <c r="M15" s="64">
        <f>IFERROR(M11/Inputs!$C$45,0)</f>
        <v/>
      </c>
      <c r="N15" s="64">
        <f>IFERROR(N11/Inputs!$C$45,0)</f>
        <v/>
      </c>
      <c r="O15" s="64">
        <f>IFERROR(O11/Inputs!$C$45,0)</f>
        <v/>
      </c>
      <c r="P15" s="64">
        <f>IFERROR(P11/Inputs!$C$45,0)</f>
        <v/>
      </c>
      <c r="Q15" s="64">
        <f>IFERROR(Q11/Inputs!$C$45,0)</f>
        <v/>
      </c>
      <c r="R15" s="64">
        <f>IFERROR(R11/Inputs!$C$45,0)</f>
        <v/>
      </c>
      <c r="S15" s="64">
        <f>IFERROR(S11/Inputs!$C$45,0)</f>
        <v/>
      </c>
      <c r="T15" s="64">
        <f>IFERROR(T11/Inputs!$C$45,0)</f>
        <v/>
      </c>
      <c r="U15" s="64">
        <f>IFERROR(U11/Inputs!$C$45,0)</f>
        <v/>
      </c>
      <c r="V15" s="64">
        <f>IFERROR(V11/Inputs!$C$45,0)</f>
        <v/>
      </c>
      <c r="W15" s="64">
        <f>IFERROR(W11/Inputs!$C$45,0)</f>
        <v/>
      </c>
      <c r="X15" s="64">
        <f>IFERROR(X11/Inputs!$C$45,0)</f>
        <v/>
      </c>
      <c r="Y15" s="64">
        <f>IFERROR(Y11/Inputs!$C$45,0)</f>
        <v/>
      </c>
      <c r="Z15" s="64">
        <f>IFERROR(Z11/Inputs!$C$45,0)</f>
        <v/>
      </c>
      <c r="AA15" s="64">
        <f>IFERROR(AA11/Inputs!$C$45,0)</f>
        <v/>
      </c>
      <c r="AB15" s="64">
        <f>IFERROR(AB11/Inputs!$C$45,0)</f>
        <v/>
      </c>
      <c r="AC15" s="64">
        <f>IFERROR(AC11/Inputs!$C$45,0)</f>
        <v/>
      </c>
      <c r="AD15" s="64">
        <f>IFERROR(AD11/Inputs!$C$45,0)</f>
        <v/>
      </c>
      <c r="AE15" s="64">
        <f>IFERROR(AE11/Inputs!$C$45,0)</f>
        <v/>
      </c>
      <c r="AF15" s="64">
        <f>IFERROR(AF11/Inputs!$C$45,0)</f>
        <v/>
      </c>
      <c r="AG15" s="64">
        <f>IFERROR(AG11/Inputs!$C$45,0)</f>
        <v/>
      </c>
      <c r="AH15" s="64">
        <f>IFERROR(AH11/Inputs!$C$45,0)</f>
        <v/>
      </c>
      <c r="AI15" s="64">
        <f>IFERROR(AI11/Inputs!$C$45,0)</f>
        <v/>
      </c>
      <c r="AJ15" s="64">
        <f>IFERROR(AJ11/Inputs!$C$45,0)</f>
        <v/>
      </c>
      <c r="AK15" s="64">
        <f>IFERROR(AK11/Inputs!$C$45,0)</f>
        <v/>
      </c>
      <c r="AL15" s="64">
        <f>IFERROR(AL11/Inputs!$C$45,0)</f>
        <v/>
      </c>
      <c r="AM15" s="64">
        <f>IFERROR(AM11/Inputs!$C$45,0)</f>
        <v/>
      </c>
      <c r="AN15" s="64">
        <f>IFERROR(AN11/Inputs!$C$45,0)</f>
        <v/>
      </c>
      <c r="AO15" s="64">
        <f>IFERROR(AO11/Inputs!$C$45,0)</f>
        <v/>
      </c>
      <c r="AP15" s="64">
        <f>IFERROR(AP11/Inputs!$C$45,0)</f>
        <v/>
      </c>
      <c r="AQ15" s="64">
        <f>IFERROR(AQ11/Inputs!$C$45,0)</f>
        <v/>
      </c>
      <c r="AR15" s="64">
        <f>IFERROR(AR11/Inputs!$C$45,0)</f>
        <v/>
      </c>
      <c r="AS15" s="64">
        <f>IFERROR(AS11/Inputs!$C$45,0)</f>
        <v/>
      </c>
      <c r="AT15" s="64">
        <f>IFERROR(AT11/Inputs!$C$45,0)</f>
        <v/>
      </c>
      <c r="AU15" s="64">
        <f>IFERROR(AU11/Inputs!$C$45,0)</f>
        <v/>
      </c>
      <c r="AV15" s="64">
        <f>IFERROR(AV11/Inputs!$C$45,0)</f>
        <v/>
      </c>
      <c r="AW15" s="64">
        <f>IFERROR(AW11/Inputs!$C$45,0)</f>
        <v/>
      </c>
      <c r="AX15" s="64">
        <f>IFERROR(AX11/Inputs!$C$45,0)</f>
        <v/>
      </c>
      <c r="AY15" s="64">
        <f>IFERROR(AY11/Inputs!$C$45,0)</f>
        <v/>
      </c>
      <c r="AZ15" s="64">
        <f>IFERROR(AZ11/Inputs!$C$45,0)</f>
        <v/>
      </c>
      <c r="BA15" s="64">
        <f>IFERROR(BA11/Inputs!$C$45,0)</f>
        <v/>
      </c>
      <c r="BB15" s="64">
        <f>IFERROR(BB11/Inputs!$C$45,0)</f>
        <v/>
      </c>
      <c r="BC15" s="64">
        <f>IFERROR(BC11/Inputs!$C$45,0)</f>
        <v/>
      </c>
      <c r="BD15" s="64">
        <f>IFERROR(BD11/Inputs!$C$45,0)</f>
        <v/>
      </c>
      <c r="BE15" s="64">
        <f>IFERROR(BE11/Inputs!$C$45,0)</f>
        <v/>
      </c>
      <c r="BF15" s="64">
        <f>IFERROR(BF11/Inputs!$C$45,0)</f>
        <v/>
      </c>
      <c r="BG15" s="64">
        <f>IFERROR(BG11/Inputs!$C$45,0)</f>
        <v/>
      </c>
      <c r="BH15" s="64">
        <f>IFERROR(BH11/Inputs!$C$45,0)</f>
        <v/>
      </c>
      <c r="BI15" s="64">
        <f>IFERROR(BI11/Inputs!$C$45,0)</f>
        <v/>
      </c>
      <c r="BJ15" s="64">
        <f>IFERROR(BJ11/Inputs!$C$45,0)</f>
        <v/>
      </c>
      <c r="BK15" s="64">
        <f>IFERROR(BK11/Inputs!$C$45,0)</f>
        <v/>
      </c>
    </row>
    <row r="17">
      <c r="B17" s="23" t="inlineStr">
        <is>
          <t>REVENUE  (EUR)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</row>
    <row r="18">
      <c r="B18" s="61" t="inlineStr">
        <is>
          <t>Voice Care price (indexed)</t>
        </is>
      </c>
      <c r="C18" s="92" t="inlineStr">
        <is>
          <t>EUR</t>
        </is>
      </c>
      <c r="D18" s="67">
        <f>Inputs!$C$20*(1+Inputs!$C$24)^(D5-1)</f>
        <v/>
      </c>
      <c r="E18" s="67">
        <f>Inputs!$C$20*(1+Inputs!$C$24)^(E5-1)</f>
        <v/>
      </c>
      <c r="F18" s="67">
        <f>Inputs!$C$20*(1+Inputs!$C$24)^(F5-1)</f>
        <v/>
      </c>
      <c r="G18" s="67">
        <f>Inputs!$C$20*(1+Inputs!$C$24)^(G5-1)</f>
        <v/>
      </c>
      <c r="H18" s="67">
        <f>Inputs!$C$20*(1+Inputs!$C$24)^(H5-1)</f>
        <v/>
      </c>
      <c r="I18" s="67">
        <f>Inputs!$C$20*(1+Inputs!$C$24)^(I5-1)</f>
        <v/>
      </c>
      <c r="J18" s="67">
        <f>Inputs!$C$20*(1+Inputs!$C$24)^(J5-1)</f>
        <v/>
      </c>
      <c r="K18" s="67">
        <f>Inputs!$C$20*(1+Inputs!$C$24)^(K5-1)</f>
        <v/>
      </c>
      <c r="L18" s="67">
        <f>Inputs!$C$20*(1+Inputs!$C$24)^(L5-1)</f>
        <v/>
      </c>
      <c r="M18" s="67">
        <f>Inputs!$C$20*(1+Inputs!$C$24)^(M5-1)</f>
        <v/>
      </c>
      <c r="N18" s="67">
        <f>Inputs!$C$20*(1+Inputs!$C$24)^(N5-1)</f>
        <v/>
      </c>
      <c r="O18" s="67">
        <f>Inputs!$C$20*(1+Inputs!$C$24)^(O5-1)</f>
        <v/>
      </c>
      <c r="P18" s="67">
        <f>Inputs!$C$20*(1+Inputs!$C$24)^(P5-1)</f>
        <v/>
      </c>
      <c r="Q18" s="67">
        <f>Inputs!$C$20*(1+Inputs!$C$24)^(Q5-1)</f>
        <v/>
      </c>
      <c r="R18" s="67">
        <f>Inputs!$C$20*(1+Inputs!$C$24)^(R5-1)</f>
        <v/>
      </c>
      <c r="S18" s="67">
        <f>Inputs!$C$20*(1+Inputs!$C$24)^(S5-1)</f>
        <v/>
      </c>
      <c r="T18" s="67">
        <f>Inputs!$C$20*(1+Inputs!$C$24)^(T5-1)</f>
        <v/>
      </c>
      <c r="U18" s="67">
        <f>Inputs!$C$20*(1+Inputs!$C$24)^(U5-1)</f>
        <v/>
      </c>
      <c r="V18" s="67">
        <f>Inputs!$C$20*(1+Inputs!$C$24)^(V5-1)</f>
        <v/>
      </c>
      <c r="W18" s="67">
        <f>Inputs!$C$20*(1+Inputs!$C$24)^(W5-1)</f>
        <v/>
      </c>
      <c r="X18" s="67">
        <f>Inputs!$C$20*(1+Inputs!$C$24)^(X5-1)</f>
        <v/>
      </c>
      <c r="Y18" s="67">
        <f>Inputs!$C$20*(1+Inputs!$C$24)^(Y5-1)</f>
        <v/>
      </c>
      <c r="Z18" s="67">
        <f>Inputs!$C$20*(1+Inputs!$C$24)^(Z5-1)</f>
        <v/>
      </c>
      <c r="AA18" s="67">
        <f>Inputs!$C$20*(1+Inputs!$C$24)^(AA5-1)</f>
        <v/>
      </c>
      <c r="AB18" s="67">
        <f>Inputs!$C$20*(1+Inputs!$C$24)^(AB5-1)</f>
        <v/>
      </c>
      <c r="AC18" s="67">
        <f>Inputs!$C$20*(1+Inputs!$C$24)^(AC5-1)</f>
        <v/>
      </c>
      <c r="AD18" s="67">
        <f>Inputs!$C$20*(1+Inputs!$C$24)^(AD5-1)</f>
        <v/>
      </c>
      <c r="AE18" s="67">
        <f>Inputs!$C$20*(1+Inputs!$C$24)^(AE5-1)</f>
        <v/>
      </c>
      <c r="AF18" s="67">
        <f>Inputs!$C$20*(1+Inputs!$C$24)^(AF5-1)</f>
        <v/>
      </c>
      <c r="AG18" s="67">
        <f>Inputs!$C$20*(1+Inputs!$C$24)^(AG5-1)</f>
        <v/>
      </c>
      <c r="AH18" s="67">
        <f>Inputs!$C$20*(1+Inputs!$C$24)^(AH5-1)</f>
        <v/>
      </c>
      <c r="AI18" s="67">
        <f>Inputs!$C$20*(1+Inputs!$C$24)^(AI5-1)</f>
        <v/>
      </c>
      <c r="AJ18" s="67">
        <f>Inputs!$C$20*(1+Inputs!$C$24)^(AJ5-1)</f>
        <v/>
      </c>
      <c r="AK18" s="67">
        <f>Inputs!$C$20*(1+Inputs!$C$24)^(AK5-1)</f>
        <v/>
      </c>
      <c r="AL18" s="67">
        <f>Inputs!$C$20*(1+Inputs!$C$24)^(AL5-1)</f>
        <v/>
      </c>
      <c r="AM18" s="67">
        <f>Inputs!$C$20*(1+Inputs!$C$24)^(AM5-1)</f>
        <v/>
      </c>
      <c r="AN18" s="67">
        <f>Inputs!$C$20*(1+Inputs!$C$24)^(AN5-1)</f>
        <v/>
      </c>
      <c r="AO18" s="67">
        <f>Inputs!$C$20*(1+Inputs!$C$24)^(AO5-1)</f>
        <v/>
      </c>
      <c r="AP18" s="67">
        <f>Inputs!$C$20*(1+Inputs!$C$24)^(AP5-1)</f>
        <v/>
      </c>
      <c r="AQ18" s="67">
        <f>Inputs!$C$20*(1+Inputs!$C$24)^(AQ5-1)</f>
        <v/>
      </c>
      <c r="AR18" s="67">
        <f>Inputs!$C$20*(1+Inputs!$C$24)^(AR5-1)</f>
        <v/>
      </c>
      <c r="AS18" s="67">
        <f>Inputs!$C$20*(1+Inputs!$C$24)^(AS5-1)</f>
        <v/>
      </c>
      <c r="AT18" s="67">
        <f>Inputs!$C$20*(1+Inputs!$C$24)^(AT5-1)</f>
        <v/>
      </c>
      <c r="AU18" s="67">
        <f>Inputs!$C$20*(1+Inputs!$C$24)^(AU5-1)</f>
        <v/>
      </c>
      <c r="AV18" s="67">
        <f>Inputs!$C$20*(1+Inputs!$C$24)^(AV5-1)</f>
        <v/>
      </c>
      <c r="AW18" s="67">
        <f>Inputs!$C$20*(1+Inputs!$C$24)^(AW5-1)</f>
        <v/>
      </c>
      <c r="AX18" s="67">
        <f>Inputs!$C$20*(1+Inputs!$C$24)^(AX5-1)</f>
        <v/>
      </c>
      <c r="AY18" s="67">
        <f>Inputs!$C$20*(1+Inputs!$C$24)^(AY5-1)</f>
        <v/>
      </c>
      <c r="AZ18" s="67">
        <f>Inputs!$C$20*(1+Inputs!$C$24)^(AZ5-1)</f>
        <v/>
      </c>
      <c r="BA18" s="67">
        <f>Inputs!$C$20*(1+Inputs!$C$24)^(BA5-1)</f>
        <v/>
      </c>
      <c r="BB18" s="67">
        <f>Inputs!$C$20*(1+Inputs!$C$24)^(BB5-1)</f>
        <v/>
      </c>
      <c r="BC18" s="67">
        <f>Inputs!$C$20*(1+Inputs!$C$24)^(BC5-1)</f>
        <v/>
      </c>
      <c r="BD18" s="67">
        <f>Inputs!$C$20*(1+Inputs!$C$24)^(BD5-1)</f>
        <v/>
      </c>
      <c r="BE18" s="67">
        <f>Inputs!$C$20*(1+Inputs!$C$24)^(BE5-1)</f>
        <v/>
      </c>
      <c r="BF18" s="67">
        <f>Inputs!$C$20*(1+Inputs!$C$24)^(BF5-1)</f>
        <v/>
      </c>
      <c r="BG18" s="67">
        <f>Inputs!$C$20*(1+Inputs!$C$24)^(BG5-1)</f>
        <v/>
      </c>
      <c r="BH18" s="67">
        <f>Inputs!$C$20*(1+Inputs!$C$24)^(BH5-1)</f>
        <v/>
      </c>
      <c r="BI18" s="67">
        <f>Inputs!$C$20*(1+Inputs!$C$24)^(BI5-1)</f>
        <v/>
      </c>
      <c r="BJ18" s="67">
        <f>Inputs!$C$20*(1+Inputs!$C$24)^(BJ5-1)</f>
        <v/>
      </c>
      <c r="BK18" s="67">
        <f>Inputs!$C$20*(1+Inputs!$C$24)^(BK5-1)</f>
        <v/>
      </c>
    </row>
    <row r="19">
      <c r="B19" s="61" t="inlineStr">
        <is>
          <t>Preventive Care price (indexed)</t>
        </is>
      </c>
      <c r="C19" s="92" t="inlineStr">
        <is>
          <t>EUR</t>
        </is>
      </c>
      <c r="D19" s="67">
        <f>Inputs!$C$21*(1+Inputs!$C$24)^(D5-1)</f>
        <v/>
      </c>
      <c r="E19" s="67">
        <f>Inputs!$C$21*(1+Inputs!$C$24)^(E5-1)</f>
        <v/>
      </c>
      <c r="F19" s="67">
        <f>Inputs!$C$21*(1+Inputs!$C$24)^(F5-1)</f>
        <v/>
      </c>
      <c r="G19" s="67">
        <f>Inputs!$C$21*(1+Inputs!$C$24)^(G5-1)</f>
        <v/>
      </c>
      <c r="H19" s="67">
        <f>Inputs!$C$21*(1+Inputs!$C$24)^(H5-1)</f>
        <v/>
      </c>
      <c r="I19" s="67">
        <f>Inputs!$C$21*(1+Inputs!$C$24)^(I5-1)</f>
        <v/>
      </c>
      <c r="J19" s="67">
        <f>Inputs!$C$21*(1+Inputs!$C$24)^(J5-1)</f>
        <v/>
      </c>
      <c r="K19" s="67">
        <f>Inputs!$C$21*(1+Inputs!$C$24)^(K5-1)</f>
        <v/>
      </c>
      <c r="L19" s="67">
        <f>Inputs!$C$21*(1+Inputs!$C$24)^(L5-1)</f>
        <v/>
      </c>
      <c r="M19" s="67">
        <f>Inputs!$C$21*(1+Inputs!$C$24)^(M5-1)</f>
        <v/>
      </c>
      <c r="N19" s="67">
        <f>Inputs!$C$21*(1+Inputs!$C$24)^(N5-1)</f>
        <v/>
      </c>
      <c r="O19" s="67">
        <f>Inputs!$C$21*(1+Inputs!$C$24)^(O5-1)</f>
        <v/>
      </c>
      <c r="P19" s="67">
        <f>Inputs!$C$21*(1+Inputs!$C$24)^(P5-1)</f>
        <v/>
      </c>
      <c r="Q19" s="67">
        <f>Inputs!$C$21*(1+Inputs!$C$24)^(Q5-1)</f>
        <v/>
      </c>
      <c r="R19" s="67">
        <f>Inputs!$C$21*(1+Inputs!$C$24)^(R5-1)</f>
        <v/>
      </c>
      <c r="S19" s="67">
        <f>Inputs!$C$21*(1+Inputs!$C$24)^(S5-1)</f>
        <v/>
      </c>
      <c r="T19" s="67">
        <f>Inputs!$C$21*(1+Inputs!$C$24)^(T5-1)</f>
        <v/>
      </c>
      <c r="U19" s="67">
        <f>Inputs!$C$21*(1+Inputs!$C$24)^(U5-1)</f>
        <v/>
      </c>
      <c r="V19" s="67">
        <f>Inputs!$C$21*(1+Inputs!$C$24)^(V5-1)</f>
        <v/>
      </c>
      <c r="W19" s="67">
        <f>Inputs!$C$21*(1+Inputs!$C$24)^(W5-1)</f>
        <v/>
      </c>
      <c r="X19" s="67">
        <f>Inputs!$C$21*(1+Inputs!$C$24)^(X5-1)</f>
        <v/>
      </c>
      <c r="Y19" s="67">
        <f>Inputs!$C$21*(1+Inputs!$C$24)^(Y5-1)</f>
        <v/>
      </c>
      <c r="Z19" s="67">
        <f>Inputs!$C$21*(1+Inputs!$C$24)^(Z5-1)</f>
        <v/>
      </c>
      <c r="AA19" s="67">
        <f>Inputs!$C$21*(1+Inputs!$C$24)^(AA5-1)</f>
        <v/>
      </c>
      <c r="AB19" s="67">
        <f>Inputs!$C$21*(1+Inputs!$C$24)^(AB5-1)</f>
        <v/>
      </c>
      <c r="AC19" s="67">
        <f>Inputs!$C$21*(1+Inputs!$C$24)^(AC5-1)</f>
        <v/>
      </c>
      <c r="AD19" s="67">
        <f>Inputs!$C$21*(1+Inputs!$C$24)^(AD5-1)</f>
        <v/>
      </c>
      <c r="AE19" s="67">
        <f>Inputs!$C$21*(1+Inputs!$C$24)^(AE5-1)</f>
        <v/>
      </c>
      <c r="AF19" s="67">
        <f>Inputs!$C$21*(1+Inputs!$C$24)^(AF5-1)</f>
        <v/>
      </c>
      <c r="AG19" s="67">
        <f>Inputs!$C$21*(1+Inputs!$C$24)^(AG5-1)</f>
        <v/>
      </c>
      <c r="AH19" s="67">
        <f>Inputs!$C$21*(1+Inputs!$C$24)^(AH5-1)</f>
        <v/>
      </c>
      <c r="AI19" s="67">
        <f>Inputs!$C$21*(1+Inputs!$C$24)^(AI5-1)</f>
        <v/>
      </c>
      <c r="AJ19" s="67">
        <f>Inputs!$C$21*(1+Inputs!$C$24)^(AJ5-1)</f>
        <v/>
      </c>
      <c r="AK19" s="67">
        <f>Inputs!$C$21*(1+Inputs!$C$24)^(AK5-1)</f>
        <v/>
      </c>
      <c r="AL19" s="67">
        <f>Inputs!$C$21*(1+Inputs!$C$24)^(AL5-1)</f>
        <v/>
      </c>
      <c r="AM19" s="67">
        <f>Inputs!$C$21*(1+Inputs!$C$24)^(AM5-1)</f>
        <v/>
      </c>
      <c r="AN19" s="67">
        <f>Inputs!$C$21*(1+Inputs!$C$24)^(AN5-1)</f>
        <v/>
      </c>
      <c r="AO19" s="67">
        <f>Inputs!$C$21*(1+Inputs!$C$24)^(AO5-1)</f>
        <v/>
      </c>
      <c r="AP19" s="67">
        <f>Inputs!$C$21*(1+Inputs!$C$24)^(AP5-1)</f>
        <v/>
      </c>
      <c r="AQ19" s="67">
        <f>Inputs!$C$21*(1+Inputs!$C$24)^(AQ5-1)</f>
        <v/>
      </c>
      <c r="AR19" s="67">
        <f>Inputs!$C$21*(1+Inputs!$C$24)^(AR5-1)</f>
        <v/>
      </c>
      <c r="AS19" s="67">
        <f>Inputs!$C$21*(1+Inputs!$C$24)^(AS5-1)</f>
        <v/>
      </c>
      <c r="AT19" s="67">
        <f>Inputs!$C$21*(1+Inputs!$C$24)^(AT5-1)</f>
        <v/>
      </c>
      <c r="AU19" s="67">
        <f>Inputs!$C$21*(1+Inputs!$C$24)^(AU5-1)</f>
        <v/>
      </c>
      <c r="AV19" s="67">
        <f>Inputs!$C$21*(1+Inputs!$C$24)^(AV5-1)</f>
        <v/>
      </c>
      <c r="AW19" s="67">
        <f>Inputs!$C$21*(1+Inputs!$C$24)^(AW5-1)</f>
        <v/>
      </c>
      <c r="AX19" s="67">
        <f>Inputs!$C$21*(1+Inputs!$C$24)^(AX5-1)</f>
        <v/>
      </c>
      <c r="AY19" s="67">
        <f>Inputs!$C$21*(1+Inputs!$C$24)^(AY5-1)</f>
        <v/>
      </c>
      <c r="AZ19" s="67">
        <f>Inputs!$C$21*(1+Inputs!$C$24)^(AZ5-1)</f>
        <v/>
      </c>
      <c r="BA19" s="67">
        <f>Inputs!$C$21*(1+Inputs!$C$24)^(BA5-1)</f>
        <v/>
      </c>
      <c r="BB19" s="67">
        <f>Inputs!$C$21*(1+Inputs!$C$24)^(BB5-1)</f>
        <v/>
      </c>
      <c r="BC19" s="67">
        <f>Inputs!$C$21*(1+Inputs!$C$24)^(BC5-1)</f>
        <v/>
      </c>
      <c r="BD19" s="67">
        <f>Inputs!$C$21*(1+Inputs!$C$24)^(BD5-1)</f>
        <v/>
      </c>
      <c r="BE19" s="67">
        <f>Inputs!$C$21*(1+Inputs!$C$24)^(BE5-1)</f>
        <v/>
      </c>
      <c r="BF19" s="67">
        <f>Inputs!$C$21*(1+Inputs!$C$24)^(BF5-1)</f>
        <v/>
      </c>
      <c r="BG19" s="67">
        <f>Inputs!$C$21*(1+Inputs!$C$24)^(BG5-1)</f>
        <v/>
      </c>
      <c r="BH19" s="67">
        <f>Inputs!$C$21*(1+Inputs!$C$24)^(BH5-1)</f>
        <v/>
      </c>
      <c r="BI19" s="67">
        <f>Inputs!$C$21*(1+Inputs!$C$24)^(BI5-1)</f>
        <v/>
      </c>
      <c r="BJ19" s="67">
        <f>Inputs!$C$21*(1+Inputs!$C$24)^(BJ5-1)</f>
        <v/>
      </c>
      <c r="BK19" s="67">
        <f>Inputs!$C$21*(1+Inputs!$C$24)^(BK5-1)</f>
        <v/>
      </c>
    </row>
    <row r="20">
      <c r="B20" s="61" t="inlineStr">
        <is>
          <t>Preventive Care attach rate</t>
        </is>
      </c>
      <c r="C20" s="92" t="inlineStr">
        <is>
          <t>%</t>
        </is>
      </c>
      <c r="D20" s="68">
        <f>IF(OR(D7=0,D4&lt;Inputs!$C$15),0,INDEX(Inputs!$C$49:$G$49,1,D7)*Inputs!$C$51)</f>
        <v/>
      </c>
      <c r="E20" s="68">
        <f>IF(OR(E7=0,E4&lt;Inputs!$C$15),0,INDEX(Inputs!$C$49:$G$49,1,E7)*Inputs!$C$51)</f>
        <v/>
      </c>
      <c r="F20" s="68">
        <f>IF(OR(F7=0,F4&lt;Inputs!$C$15),0,INDEX(Inputs!$C$49:$G$49,1,F7)*Inputs!$C$51)</f>
        <v/>
      </c>
      <c r="G20" s="68">
        <f>IF(OR(G7=0,G4&lt;Inputs!$C$15),0,INDEX(Inputs!$C$49:$G$49,1,G7)*Inputs!$C$51)</f>
        <v/>
      </c>
      <c r="H20" s="68">
        <f>IF(OR(H7=0,H4&lt;Inputs!$C$15),0,INDEX(Inputs!$C$49:$G$49,1,H7)*Inputs!$C$51)</f>
        <v/>
      </c>
      <c r="I20" s="68">
        <f>IF(OR(I7=0,I4&lt;Inputs!$C$15),0,INDEX(Inputs!$C$49:$G$49,1,I7)*Inputs!$C$51)</f>
        <v/>
      </c>
      <c r="J20" s="68">
        <f>IF(OR(J7=0,J4&lt;Inputs!$C$15),0,INDEX(Inputs!$C$49:$G$49,1,J7)*Inputs!$C$51)</f>
        <v/>
      </c>
      <c r="K20" s="68">
        <f>IF(OR(K7=0,K4&lt;Inputs!$C$15),0,INDEX(Inputs!$C$49:$G$49,1,K7)*Inputs!$C$51)</f>
        <v/>
      </c>
      <c r="L20" s="68">
        <f>IF(OR(L7=0,L4&lt;Inputs!$C$15),0,INDEX(Inputs!$C$49:$G$49,1,L7)*Inputs!$C$51)</f>
        <v/>
      </c>
      <c r="M20" s="68">
        <f>IF(OR(M7=0,M4&lt;Inputs!$C$15),0,INDEX(Inputs!$C$49:$G$49,1,M7)*Inputs!$C$51)</f>
        <v/>
      </c>
      <c r="N20" s="68">
        <f>IF(OR(N7=0,N4&lt;Inputs!$C$15),0,INDEX(Inputs!$C$49:$G$49,1,N7)*Inputs!$C$51)</f>
        <v/>
      </c>
      <c r="O20" s="68">
        <f>IF(OR(O7=0,O4&lt;Inputs!$C$15),0,INDEX(Inputs!$C$49:$G$49,1,O7)*Inputs!$C$51)</f>
        <v/>
      </c>
      <c r="P20" s="68">
        <f>IF(OR(P7=0,P4&lt;Inputs!$C$15),0,INDEX(Inputs!$C$49:$G$49,1,P7)*Inputs!$C$51)</f>
        <v/>
      </c>
      <c r="Q20" s="68">
        <f>IF(OR(Q7=0,Q4&lt;Inputs!$C$15),0,INDEX(Inputs!$C$49:$G$49,1,Q7)*Inputs!$C$51)</f>
        <v/>
      </c>
      <c r="R20" s="68">
        <f>IF(OR(R7=0,R4&lt;Inputs!$C$15),0,INDEX(Inputs!$C$49:$G$49,1,R7)*Inputs!$C$51)</f>
        <v/>
      </c>
      <c r="S20" s="68">
        <f>IF(OR(S7=0,S4&lt;Inputs!$C$15),0,INDEX(Inputs!$C$49:$G$49,1,S7)*Inputs!$C$51)</f>
        <v/>
      </c>
      <c r="T20" s="68">
        <f>IF(OR(T7=0,T4&lt;Inputs!$C$15),0,INDEX(Inputs!$C$49:$G$49,1,T7)*Inputs!$C$51)</f>
        <v/>
      </c>
      <c r="U20" s="68">
        <f>IF(OR(U7=0,U4&lt;Inputs!$C$15),0,INDEX(Inputs!$C$49:$G$49,1,U7)*Inputs!$C$51)</f>
        <v/>
      </c>
      <c r="V20" s="68">
        <f>IF(OR(V7=0,V4&lt;Inputs!$C$15),0,INDEX(Inputs!$C$49:$G$49,1,V7)*Inputs!$C$51)</f>
        <v/>
      </c>
      <c r="W20" s="68">
        <f>IF(OR(W7=0,W4&lt;Inputs!$C$15),0,INDEX(Inputs!$C$49:$G$49,1,W7)*Inputs!$C$51)</f>
        <v/>
      </c>
      <c r="X20" s="68">
        <f>IF(OR(X7=0,X4&lt;Inputs!$C$15),0,INDEX(Inputs!$C$49:$G$49,1,X7)*Inputs!$C$51)</f>
        <v/>
      </c>
      <c r="Y20" s="68">
        <f>IF(OR(Y7=0,Y4&lt;Inputs!$C$15),0,INDEX(Inputs!$C$49:$G$49,1,Y7)*Inputs!$C$51)</f>
        <v/>
      </c>
      <c r="Z20" s="68">
        <f>IF(OR(Z7=0,Z4&lt;Inputs!$C$15),0,INDEX(Inputs!$C$49:$G$49,1,Z7)*Inputs!$C$51)</f>
        <v/>
      </c>
      <c r="AA20" s="68">
        <f>IF(OR(AA7=0,AA4&lt;Inputs!$C$15),0,INDEX(Inputs!$C$49:$G$49,1,AA7)*Inputs!$C$51)</f>
        <v/>
      </c>
      <c r="AB20" s="68">
        <f>IF(OR(AB7=0,AB4&lt;Inputs!$C$15),0,INDEX(Inputs!$C$49:$G$49,1,AB7)*Inputs!$C$51)</f>
        <v/>
      </c>
      <c r="AC20" s="68">
        <f>IF(OR(AC7=0,AC4&lt;Inputs!$C$15),0,INDEX(Inputs!$C$49:$G$49,1,AC7)*Inputs!$C$51)</f>
        <v/>
      </c>
      <c r="AD20" s="68">
        <f>IF(OR(AD7=0,AD4&lt;Inputs!$C$15),0,INDEX(Inputs!$C$49:$G$49,1,AD7)*Inputs!$C$51)</f>
        <v/>
      </c>
      <c r="AE20" s="68">
        <f>IF(OR(AE7=0,AE4&lt;Inputs!$C$15),0,INDEX(Inputs!$C$49:$G$49,1,AE7)*Inputs!$C$51)</f>
        <v/>
      </c>
      <c r="AF20" s="68">
        <f>IF(OR(AF7=0,AF4&lt;Inputs!$C$15),0,INDEX(Inputs!$C$49:$G$49,1,AF7)*Inputs!$C$51)</f>
        <v/>
      </c>
      <c r="AG20" s="68">
        <f>IF(OR(AG7=0,AG4&lt;Inputs!$C$15),0,INDEX(Inputs!$C$49:$G$49,1,AG7)*Inputs!$C$51)</f>
        <v/>
      </c>
      <c r="AH20" s="68">
        <f>IF(OR(AH7=0,AH4&lt;Inputs!$C$15),0,INDEX(Inputs!$C$49:$G$49,1,AH7)*Inputs!$C$51)</f>
        <v/>
      </c>
      <c r="AI20" s="68">
        <f>IF(OR(AI7=0,AI4&lt;Inputs!$C$15),0,INDEX(Inputs!$C$49:$G$49,1,AI7)*Inputs!$C$51)</f>
        <v/>
      </c>
      <c r="AJ20" s="68">
        <f>IF(OR(AJ7=0,AJ4&lt;Inputs!$C$15),0,INDEX(Inputs!$C$49:$G$49,1,AJ7)*Inputs!$C$51)</f>
        <v/>
      </c>
      <c r="AK20" s="68">
        <f>IF(OR(AK7=0,AK4&lt;Inputs!$C$15),0,INDEX(Inputs!$C$49:$G$49,1,AK7)*Inputs!$C$51)</f>
        <v/>
      </c>
      <c r="AL20" s="68">
        <f>IF(OR(AL7=0,AL4&lt;Inputs!$C$15),0,INDEX(Inputs!$C$49:$G$49,1,AL7)*Inputs!$C$51)</f>
        <v/>
      </c>
      <c r="AM20" s="68">
        <f>IF(OR(AM7=0,AM4&lt;Inputs!$C$15),0,INDEX(Inputs!$C$49:$G$49,1,AM7)*Inputs!$C$51)</f>
        <v/>
      </c>
      <c r="AN20" s="68">
        <f>IF(OR(AN7=0,AN4&lt;Inputs!$C$15),0,INDEX(Inputs!$C$49:$G$49,1,AN7)*Inputs!$C$51)</f>
        <v/>
      </c>
      <c r="AO20" s="68">
        <f>IF(OR(AO7=0,AO4&lt;Inputs!$C$15),0,INDEX(Inputs!$C$49:$G$49,1,AO7)*Inputs!$C$51)</f>
        <v/>
      </c>
      <c r="AP20" s="68">
        <f>IF(OR(AP7=0,AP4&lt;Inputs!$C$15),0,INDEX(Inputs!$C$49:$G$49,1,AP7)*Inputs!$C$51)</f>
        <v/>
      </c>
      <c r="AQ20" s="68">
        <f>IF(OR(AQ7=0,AQ4&lt;Inputs!$C$15),0,INDEX(Inputs!$C$49:$G$49,1,AQ7)*Inputs!$C$51)</f>
        <v/>
      </c>
      <c r="AR20" s="68">
        <f>IF(OR(AR7=0,AR4&lt;Inputs!$C$15),0,INDEX(Inputs!$C$49:$G$49,1,AR7)*Inputs!$C$51)</f>
        <v/>
      </c>
      <c r="AS20" s="68">
        <f>IF(OR(AS7=0,AS4&lt;Inputs!$C$15),0,INDEX(Inputs!$C$49:$G$49,1,AS7)*Inputs!$C$51)</f>
        <v/>
      </c>
      <c r="AT20" s="68">
        <f>IF(OR(AT7=0,AT4&lt;Inputs!$C$15),0,INDEX(Inputs!$C$49:$G$49,1,AT7)*Inputs!$C$51)</f>
        <v/>
      </c>
      <c r="AU20" s="68">
        <f>IF(OR(AU7=0,AU4&lt;Inputs!$C$15),0,INDEX(Inputs!$C$49:$G$49,1,AU7)*Inputs!$C$51)</f>
        <v/>
      </c>
      <c r="AV20" s="68">
        <f>IF(OR(AV7=0,AV4&lt;Inputs!$C$15),0,INDEX(Inputs!$C$49:$G$49,1,AV7)*Inputs!$C$51)</f>
        <v/>
      </c>
      <c r="AW20" s="68">
        <f>IF(OR(AW7=0,AW4&lt;Inputs!$C$15),0,INDEX(Inputs!$C$49:$G$49,1,AW7)*Inputs!$C$51)</f>
        <v/>
      </c>
      <c r="AX20" s="68">
        <f>IF(OR(AX7=0,AX4&lt;Inputs!$C$15),0,INDEX(Inputs!$C$49:$G$49,1,AX7)*Inputs!$C$51)</f>
        <v/>
      </c>
      <c r="AY20" s="68">
        <f>IF(OR(AY7=0,AY4&lt;Inputs!$C$15),0,INDEX(Inputs!$C$49:$G$49,1,AY7)*Inputs!$C$51)</f>
        <v/>
      </c>
      <c r="AZ20" s="68">
        <f>IF(OR(AZ7=0,AZ4&lt;Inputs!$C$15),0,INDEX(Inputs!$C$49:$G$49,1,AZ7)*Inputs!$C$51)</f>
        <v/>
      </c>
      <c r="BA20" s="68">
        <f>IF(OR(BA7=0,BA4&lt;Inputs!$C$15),0,INDEX(Inputs!$C$49:$G$49,1,BA7)*Inputs!$C$51)</f>
        <v/>
      </c>
      <c r="BB20" s="68">
        <f>IF(OR(BB7=0,BB4&lt;Inputs!$C$15),0,INDEX(Inputs!$C$49:$G$49,1,BB7)*Inputs!$C$51)</f>
        <v/>
      </c>
      <c r="BC20" s="68">
        <f>IF(OR(BC7=0,BC4&lt;Inputs!$C$15),0,INDEX(Inputs!$C$49:$G$49,1,BC7)*Inputs!$C$51)</f>
        <v/>
      </c>
      <c r="BD20" s="68">
        <f>IF(OR(BD7=0,BD4&lt;Inputs!$C$15),0,INDEX(Inputs!$C$49:$G$49,1,BD7)*Inputs!$C$51)</f>
        <v/>
      </c>
      <c r="BE20" s="68">
        <f>IF(OR(BE7=0,BE4&lt;Inputs!$C$15),0,INDEX(Inputs!$C$49:$G$49,1,BE7)*Inputs!$C$51)</f>
        <v/>
      </c>
      <c r="BF20" s="68">
        <f>IF(OR(BF7=0,BF4&lt;Inputs!$C$15),0,INDEX(Inputs!$C$49:$G$49,1,BF7)*Inputs!$C$51)</f>
        <v/>
      </c>
      <c r="BG20" s="68">
        <f>IF(OR(BG7=0,BG4&lt;Inputs!$C$15),0,INDEX(Inputs!$C$49:$G$49,1,BG7)*Inputs!$C$51)</f>
        <v/>
      </c>
      <c r="BH20" s="68">
        <f>IF(OR(BH7=0,BH4&lt;Inputs!$C$15),0,INDEX(Inputs!$C$49:$G$49,1,BH7)*Inputs!$C$51)</f>
        <v/>
      </c>
      <c r="BI20" s="68">
        <f>IF(OR(BI7=0,BI4&lt;Inputs!$C$15),0,INDEX(Inputs!$C$49:$G$49,1,BI7)*Inputs!$C$51)</f>
        <v/>
      </c>
      <c r="BJ20" s="68">
        <f>IF(OR(BJ7=0,BJ4&lt;Inputs!$C$15),0,INDEX(Inputs!$C$49:$G$49,1,BJ7)*Inputs!$C$51)</f>
        <v/>
      </c>
      <c r="BK20" s="68">
        <f>IF(OR(BK7=0,BK4&lt;Inputs!$C$15),0,INDEX(Inputs!$C$49:$G$49,1,BK7)*Inputs!$C$51)</f>
        <v/>
      </c>
    </row>
    <row r="21">
      <c r="B21" s="61" t="inlineStr">
        <is>
          <t xml:space="preserve">   Gross billings — Voice Care</t>
        </is>
      </c>
      <c r="C21" s="92" t="inlineStr">
        <is>
          <t>EUR</t>
        </is>
      </c>
      <c r="D21" s="64">
        <f>D14*D18</f>
        <v/>
      </c>
      <c r="E21" s="64">
        <f>E14*E18</f>
        <v/>
      </c>
      <c r="F21" s="64">
        <f>F14*F18</f>
        <v/>
      </c>
      <c r="G21" s="64">
        <f>G14*G18</f>
        <v/>
      </c>
      <c r="H21" s="64">
        <f>H14*H18</f>
        <v/>
      </c>
      <c r="I21" s="64">
        <f>I14*I18</f>
        <v/>
      </c>
      <c r="J21" s="64">
        <f>J14*J18</f>
        <v/>
      </c>
      <c r="K21" s="64">
        <f>K14*K18</f>
        <v/>
      </c>
      <c r="L21" s="64">
        <f>L14*L18</f>
        <v/>
      </c>
      <c r="M21" s="64">
        <f>M14*M18</f>
        <v/>
      </c>
      <c r="N21" s="64">
        <f>N14*N18</f>
        <v/>
      </c>
      <c r="O21" s="64">
        <f>O14*O18</f>
        <v/>
      </c>
      <c r="P21" s="64">
        <f>P14*P18</f>
        <v/>
      </c>
      <c r="Q21" s="64">
        <f>Q14*Q18</f>
        <v/>
      </c>
      <c r="R21" s="64">
        <f>R14*R18</f>
        <v/>
      </c>
      <c r="S21" s="64">
        <f>S14*S18</f>
        <v/>
      </c>
      <c r="T21" s="64">
        <f>T14*T18</f>
        <v/>
      </c>
      <c r="U21" s="64">
        <f>U14*U18</f>
        <v/>
      </c>
      <c r="V21" s="64">
        <f>V14*V18</f>
        <v/>
      </c>
      <c r="W21" s="64">
        <f>W14*W18</f>
        <v/>
      </c>
      <c r="X21" s="64">
        <f>X14*X18</f>
        <v/>
      </c>
      <c r="Y21" s="64">
        <f>Y14*Y18</f>
        <v/>
      </c>
      <c r="Z21" s="64">
        <f>Z14*Z18</f>
        <v/>
      </c>
      <c r="AA21" s="64">
        <f>AA14*AA18</f>
        <v/>
      </c>
      <c r="AB21" s="64">
        <f>AB14*AB18</f>
        <v/>
      </c>
      <c r="AC21" s="64">
        <f>AC14*AC18</f>
        <v/>
      </c>
      <c r="AD21" s="64">
        <f>AD14*AD18</f>
        <v/>
      </c>
      <c r="AE21" s="64">
        <f>AE14*AE18</f>
        <v/>
      </c>
      <c r="AF21" s="64">
        <f>AF14*AF18</f>
        <v/>
      </c>
      <c r="AG21" s="64">
        <f>AG14*AG18</f>
        <v/>
      </c>
      <c r="AH21" s="64">
        <f>AH14*AH18</f>
        <v/>
      </c>
      <c r="AI21" s="64">
        <f>AI14*AI18</f>
        <v/>
      </c>
      <c r="AJ21" s="64">
        <f>AJ14*AJ18</f>
        <v/>
      </c>
      <c r="AK21" s="64">
        <f>AK14*AK18</f>
        <v/>
      </c>
      <c r="AL21" s="64">
        <f>AL14*AL18</f>
        <v/>
      </c>
      <c r="AM21" s="64">
        <f>AM14*AM18</f>
        <v/>
      </c>
      <c r="AN21" s="64">
        <f>AN14*AN18</f>
        <v/>
      </c>
      <c r="AO21" s="64">
        <f>AO14*AO18</f>
        <v/>
      </c>
      <c r="AP21" s="64">
        <f>AP14*AP18</f>
        <v/>
      </c>
      <c r="AQ21" s="64">
        <f>AQ14*AQ18</f>
        <v/>
      </c>
      <c r="AR21" s="64">
        <f>AR14*AR18</f>
        <v/>
      </c>
      <c r="AS21" s="64">
        <f>AS14*AS18</f>
        <v/>
      </c>
      <c r="AT21" s="64">
        <f>AT14*AT18</f>
        <v/>
      </c>
      <c r="AU21" s="64">
        <f>AU14*AU18</f>
        <v/>
      </c>
      <c r="AV21" s="64">
        <f>AV14*AV18</f>
        <v/>
      </c>
      <c r="AW21" s="64">
        <f>AW14*AW18</f>
        <v/>
      </c>
      <c r="AX21" s="64">
        <f>AX14*AX18</f>
        <v/>
      </c>
      <c r="AY21" s="64">
        <f>AY14*AY18</f>
        <v/>
      </c>
      <c r="AZ21" s="64">
        <f>AZ14*AZ18</f>
        <v/>
      </c>
      <c r="BA21" s="64">
        <f>BA14*BA18</f>
        <v/>
      </c>
      <c r="BB21" s="64">
        <f>BB14*BB18</f>
        <v/>
      </c>
      <c r="BC21" s="64">
        <f>BC14*BC18</f>
        <v/>
      </c>
      <c r="BD21" s="64">
        <f>BD14*BD18</f>
        <v/>
      </c>
      <c r="BE21" s="64">
        <f>BE14*BE18</f>
        <v/>
      </c>
      <c r="BF21" s="64">
        <f>BF14*BF18</f>
        <v/>
      </c>
      <c r="BG21" s="64">
        <f>BG14*BG18</f>
        <v/>
      </c>
      <c r="BH21" s="64">
        <f>BH14*BH18</f>
        <v/>
      </c>
      <c r="BI21" s="64">
        <f>BI14*BI18</f>
        <v/>
      </c>
      <c r="BJ21" s="64">
        <f>BJ14*BJ18</f>
        <v/>
      </c>
      <c r="BK21" s="64">
        <f>BK14*BK18</f>
        <v/>
      </c>
    </row>
    <row r="22">
      <c r="B22" s="61" t="inlineStr">
        <is>
          <t xml:space="preserve">   Gross billings — Preventive Care</t>
        </is>
      </c>
      <c r="C22" s="92" t="inlineStr">
        <is>
          <t>EUR</t>
        </is>
      </c>
      <c r="D22" s="64">
        <f>D14*D20*D19</f>
        <v/>
      </c>
      <c r="E22" s="64">
        <f>E14*E20*E19</f>
        <v/>
      </c>
      <c r="F22" s="64">
        <f>F14*F20*F19</f>
        <v/>
      </c>
      <c r="G22" s="64">
        <f>G14*G20*G19</f>
        <v/>
      </c>
      <c r="H22" s="64">
        <f>H14*H20*H19</f>
        <v/>
      </c>
      <c r="I22" s="64">
        <f>I14*I20*I19</f>
        <v/>
      </c>
      <c r="J22" s="64">
        <f>J14*J20*J19</f>
        <v/>
      </c>
      <c r="K22" s="64">
        <f>K14*K20*K19</f>
        <v/>
      </c>
      <c r="L22" s="64">
        <f>L14*L20*L19</f>
        <v/>
      </c>
      <c r="M22" s="64">
        <f>M14*M20*M19</f>
        <v/>
      </c>
      <c r="N22" s="64">
        <f>N14*N20*N19</f>
        <v/>
      </c>
      <c r="O22" s="64">
        <f>O14*O20*O19</f>
        <v/>
      </c>
      <c r="P22" s="64">
        <f>P14*P20*P19</f>
        <v/>
      </c>
      <c r="Q22" s="64">
        <f>Q14*Q20*Q19</f>
        <v/>
      </c>
      <c r="R22" s="64">
        <f>R14*R20*R19</f>
        <v/>
      </c>
      <c r="S22" s="64">
        <f>S14*S20*S19</f>
        <v/>
      </c>
      <c r="T22" s="64">
        <f>T14*T20*T19</f>
        <v/>
      </c>
      <c r="U22" s="64">
        <f>U14*U20*U19</f>
        <v/>
      </c>
      <c r="V22" s="64">
        <f>V14*V20*V19</f>
        <v/>
      </c>
      <c r="W22" s="64">
        <f>W14*W20*W19</f>
        <v/>
      </c>
      <c r="X22" s="64">
        <f>X14*X20*X19</f>
        <v/>
      </c>
      <c r="Y22" s="64">
        <f>Y14*Y20*Y19</f>
        <v/>
      </c>
      <c r="Z22" s="64">
        <f>Z14*Z20*Z19</f>
        <v/>
      </c>
      <c r="AA22" s="64">
        <f>AA14*AA20*AA19</f>
        <v/>
      </c>
      <c r="AB22" s="64">
        <f>AB14*AB20*AB19</f>
        <v/>
      </c>
      <c r="AC22" s="64">
        <f>AC14*AC20*AC19</f>
        <v/>
      </c>
      <c r="AD22" s="64">
        <f>AD14*AD20*AD19</f>
        <v/>
      </c>
      <c r="AE22" s="64">
        <f>AE14*AE20*AE19</f>
        <v/>
      </c>
      <c r="AF22" s="64">
        <f>AF14*AF20*AF19</f>
        <v/>
      </c>
      <c r="AG22" s="64">
        <f>AG14*AG20*AG19</f>
        <v/>
      </c>
      <c r="AH22" s="64">
        <f>AH14*AH20*AH19</f>
        <v/>
      </c>
      <c r="AI22" s="64">
        <f>AI14*AI20*AI19</f>
        <v/>
      </c>
      <c r="AJ22" s="64">
        <f>AJ14*AJ20*AJ19</f>
        <v/>
      </c>
      <c r="AK22" s="64">
        <f>AK14*AK20*AK19</f>
        <v/>
      </c>
      <c r="AL22" s="64">
        <f>AL14*AL20*AL19</f>
        <v/>
      </c>
      <c r="AM22" s="64">
        <f>AM14*AM20*AM19</f>
        <v/>
      </c>
      <c r="AN22" s="64">
        <f>AN14*AN20*AN19</f>
        <v/>
      </c>
      <c r="AO22" s="64">
        <f>AO14*AO20*AO19</f>
        <v/>
      </c>
      <c r="AP22" s="64">
        <f>AP14*AP20*AP19</f>
        <v/>
      </c>
      <c r="AQ22" s="64">
        <f>AQ14*AQ20*AQ19</f>
        <v/>
      </c>
      <c r="AR22" s="64">
        <f>AR14*AR20*AR19</f>
        <v/>
      </c>
      <c r="AS22" s="64">
        <f>AS14*AS20*AS19</f>
        <v/>
      </c>
      <c r="AT22" s="64">
        <f>AT14*AT20*AT19</f>
        <v/>
      </c>
      <c r="AU22" s="64">
        <f>AU14*AU20*AU19</f>
        <v/>
      </c>
      <c r="AV22" s="64">
        <f>AV14*AV20*AV19</f>
        <v/>
      </c>
      <c r="AW22" s="64">
        <f>AW14*AW20*AW19</f>
        <v/>
      </c>
      <c r="AX22" s="64">
        <f>AX14*AX20*AX19</f>
        <v/>
      </c>
      <c r="AY22" s="64">
        <f>AY14*AY20*AY19</f>
        <v/>
      </c>
      <c r="AZ22" s="64">
        <f>AZ14*AZ20*AZ19</f>
        <v/>
      </c>
      <c r="BA22" s="64">
        <f>BA14*BA20*BA19</f>
        <v/>
      </c>
      <c r="BB22" s="64">
        <f>BB14*BB20*BB19</f>
        <v/>
      </c>
      <c r="BC22" s="64">
        <f>BC14*BC20*BC19</f>
        <v/>
      </c>
      <c r="BD22" s="64">
        <f>BD14*BD20*BD19</f>
        <v/>
      </c>
      <c r="BE22" s="64">
        <f>BE14*BE20*BE19</f>
        <v/>
      </c>
      <c r="BF22" s="64">
        <f>BF14*BF20*BF19</f>
        <v/>
      </c>
      <c r="BG22" s="64">
        <f>BG14*BG20*BG19</f>
        <v/>
      </c>
      <c r="BH22" s="64">
        <f>BH14*BH20*BH19</f>
        <v/>
      </c>
      <c r="BI22" s="64">
        <f>BI14*BI20*BI19</f>
        <v/>
      </c>
      <c r="BJ22" s="64">
        <f>BJ14*BJ20*BJ19</f>
        <v/>
      </c>
      <c r="BK22" s="64">
        <f>BK14*BK20*BK19</f>
        <v/>
      </c>
    </row>
    <row r="23">
      <c r="B23" s="61" t="inlineStr">
        <is>
          <t>Total gross billings (what customers pay)</t>
        </is>
      </c>
      <c r="C23" s="92" t="inlineStr">
        <is>
          <t>EUR</t>
        </is>
      </c>
      <c r="D23" s="64">
        <f>D21+D22</f>
        <v/>
      </c>
      <c r="E23" s="64">
        <f>E21+E22</f>
        <v/>
      </c>
      <c r="F23" s="64">
        <f>F21+F22</f>
        <v/>
      </c>
      <c r="G23" s="64">
        <f>G21+G22</f>
        <v/>
      </c>
      <c r="H23" s="64">
        <f>H21+H22</f>
        <v/>
      </c>
      <c r="I23" s="64">
        <f>I21+I22</f>
        <v/>
      </c>
      <c r="J23" s="64">
        <f>J21+J22</f>
        <v/>
      </c>
      <c r="K23" s="64">
        <f>K21+K22</f>
        <v/>
      </c>
      <c r="L23" s="64">
        <f>L21+L22</f>
        <v/>
      </c>
      <c r="M23" s="64">
        <f>M21+M22</f>
        <v/>
      </c>
      <c r="N23" s="64">
        <f>N21+N22</f>
        <v/>
      </c>
      <c r="O23" s="64">
        <f>O21+O22</f>
        <v/>
      </c>
      <c r="P23" s="64">
        <f>P21+P22</f>
        <v/>
      </c>
      <c r="Q23" s="64">
        <f>Q21+Q22</f>
        <v/>
      </c>
      <c r="R23" s="64">
        <f>R21+R22</f>
        <v/>
      </c>
      <c r="S23" s="64">
        <f>S21+S22</f>
        <v/>
      </c>
      <c r="T23" s="64">
        <f>T21+T22</f>
        <v/>
      </c>
      <c r="U23" s="64">
        <f>U21+U22</f>
        <v/>
      </c>
      <c r="V23" s="64">
        <f>V21+V22</f>
        <v/>
      </c>
      <c r="W23" s="64">
        <f>W21+W22</f>
        <v/>
      </c>
      <c r="X23" s="64">
        <f>X21+X22</f>
        <v/>
      </c>
      <c r="Y23" s="64">
        <f>Y21+Y22</f>
        <v/>
      </c>
      <c r="Z23" s="64">
        <f>Z21+Z22</f>
        <v/>
      </c>
      <c r="AA23" s="64">
        <f>AA21+AA22</f>
        <v/>
      </c>
      <c r="AB23" s="64">
        <f>AB21+AB22</f>
        <v/>
      </c>
      <c r="AC23" s="64">
        <f>AC21+AC22</f>
        <v/>
      </c>
      <c r="AD23" s="64">
        <f>AD21+AD22</f>
        <v/>
      </c>
      <c r="AE23" s="64">
        <f>AE21+AE22</f>
        <v/>
      </c>
      <c r="AF23" s="64">
        <f>AF21+AF22</f>
        <v/>
      </c>
      <c r="AG23" s="64">
        <f>AG21+AG22</f>
        <v/>
      </c>
      <c r="AH23" s="64">
        <f>AH21+AH22</f>
        <v/>
      </c>
      <c r="AI23" s="64">
        <f>AI21+AI22</f>
        <v/>
      </c>
      <c r="AJ23" s="64">
        <f>AJ21+AJ22</f>
        <v/>
      </c>
      <c r="AK23" s="64">
        <f>AK21+AK22</f>
        <v/>
      </c>
      <c r="AL23" s="64">
        <f>AL21+AL22</f>
        <v/>
      </c>
      <c r="AM23" s="64">
        <f>AM21+AM22</f>
        <v/>
      </c>
      <c r="AN23" s="64">
        <f>AN21+AN22</f>
        <v/>
      </c>
      <c r="AO23" s="64">
        <f>AO21+AO22</f>
        <v/>
      </c>
      <c r="AP23" s="64">
        <f>AP21+AP22</f>
        <v/>
      </c>
      <c r="AQ23" s="64">
        <f>AQ21+AQ22</f>
        <v/>
      </c>
      <c r="AR23" s="64">
        <f>AR21+AR22</f>
        <v/>
      </c>
      <c r="AS23" s="64">
        <f>AS21+AS22</f>
        <v/>
      </c>
      <c r="AT23" s="64">
        <f>AT21+AT22</f>
        <v/>
      </c>
      <c r="AU23" s="64">
        <f>AU21+AU22</f>
        <v/>
      </c>
      <c r="AV23" s="64">
        <f>AV21+AV22</f>
        <v/>
      </c>
      <c r="AW23" s="64">
        <f>AW21+AW22</f>
        <v/>
      </c>
      <c r="AX23" s="64">
        <f>AX21+AX22</f>
        <v/>
      </c>
      <c r="AY23" s="64">
        <f>AY21+AY22</f>
        <v/>
      </c>
      <c r="AZ23" s="64">
        <f>AZ21+AZ22</f>
        <v/>
      </c>
      <c r="BA23" s="64">
        <f>BA21+BA22</f>
        <v/>
      </c>
      <c r="BB23" s="64">
        <f>BB21+BB22</f>
        <v/>
      </c>
      <c r="BC23" s="64">
        <f>BC21+BC22</f>
        <v/>
      </c>
      <c r="BD23" s="64">
        <f>BD21+BD22</f>
        <v/>
      </c>
      <c r="BE23" s="64">
        <f>BE21+BE22</f>
        <v/>
      </c>
      <c r="BF23" s="64">
        <f>BF21+BF22</f>
        <v/>
      </c>
      <c r="BG23" s="64">
        <f>BG21+BG22</f>
        <v/>
      </c>
      <c r="BH23" s="64">
        <f>BH21+BH22</f>
        <v/>
      </c>
      <c r="BI23" s="64">
        <f>BI21+BI22</f>
        <v/>
      </c>
      <c r="BJ23" s="64">
        <f>BJ21+BJ22</f>
        <v/>
      </c>
      <c r="BK23" s="64">
        <f>BK21+BK22</f>
        <v/>
      </c>
    </row>
    <row r="24">
      <c r="B24" s="61" t="inlineStr">
        <is>
          <t xml:space="preserve">   Net revenue — Voice Care</t>
        </is>
      </c>
      <c r="C24" s="92" t="inlineStr">
        <is>
          <t>EUR</t>
        </is>
      </c>
      <c r="D24" s="64">
        <f>D21*Inputs!$C$27</f>
        <v/>
      </c>
      <c r="E24" s="64">
        <f>E21*Inputs!$C$27</f>
        <v/>
      </c>
      <c r="F24" s="64">
        <f>F21*Inputs!$C$27</f>
        <v/>
      </c>
      <c r="G24" s="64">
        <f>G21*Inputs!$C$27</f>
        <v/>
      </c>
      <c r="H24" s="64">
        <f>H21*Inputs!$C$27</f>
        <v/>
      </c>
      <c r="I24" s="64">
        <f>I21*Inputs!$C$27</f>
        <v/>
      </c>
      <c r="J24" s="64">
        <f>J21*Inputs!$C$27</f>
        <v/>
      </c>
      <c r="K24" s="64">
        <f>K21*Inputs!$C$27</f>
        <v/>
      </c>
      <c r="L24" s="64">
        <f>L21*Inputs!$C$27</f>
        <v/>
      </c>
      <c r="M24" s="64">
        <f>M21*Inputs!$C$27</f>
        <v/>
      </c>
      <c r="N24" s="64">
        <f>N21*Inputs!$C$27</f>
        <v/>
      </c>
      <c r="O24" s="64">
        <f>O21*Inputs!$C$27</f>
        <v/>
      </c>
      <c r="P24" s="64">
        <f>P21*Inputs!$C$27</f>
        <v/>
      </c>
      <c r="Q24" s="64">
        <f>Q21*Inputs!$C$27</f>
        <v/>
      </c>
      <c r="R24" s="64">
        <f>R21*Inputs!$C$27</f>
        <v/>
      </c>
      <c r="S24" s="64">
        <f>S21*Inputs!$C$27</f>
        <v/>
      </c>
      <c r="T24" s="64">
        <f>T21*Inputs!$C$27</f>
        <v/>
      </c>
      <c r="U24" s="64">
        <f>U21*Inputs!$C$27</f>
        <v/>
      </c>
      <c r="V24" s="64">
        <f>V21*Inputs!$C$27</f>
        <v/>
      </c>
      <c r="W24" s="64">
        <f>W21*Inputs!$C$27</f>
        <v/>
      </c>
      <c r="X24" s="64">
        <f>X21*Inputs!$C$27</f>
        <v/>
      </c>
      <c r="Y24" s="64">
        <f>Y21*Inputs!$C$27</f>
        <v/>
      </c>
      <c r="Z24" s="64">
        <f>Z21*Inputs!$C$27</f>
        <v/>
      </c>
      <c r="AA24" s="64">
        <f>AA21*Inputs!$C$27</f>
        <v/>
      </c>
      <c r="AB24" s="64">
        <f>AB21*Inputs!$C$27</f>
        <v/>
      </c>
      <c r="AC24" s="64">
        <f>AC21*Inputs!$C$27</f>
        <v/>
      </c>
      <c r="AD24" s="64">
        <f>AD21*Inputs!$C$27</f>
        <v/>
      </c>
      <c r="AE24" s="64">
        <f>AE21*Inputs!$C$27</f>
        <v/>
      </c>
      <c r="AF24" s="64">
        <f>AF21*Inputs!$C$27</f>
        <v/>
      </c>
      <c r="AG24" s="64">
        <f>AG21*Inputs!$C$27</f>
        <v/>
      </c>
      <c r="AH24" s="64">
        <f>AH21*Inputs!$C$27</f>
        <v/>
      </c>
      <c r="AI24" s="64">
        <f>AI21*Inputs!$C$27</f>
        <v/>
      </c>
      <c r="AJ24" s="64">
        <f>AJ21*Inputs!$C$27</f>
        <v/>
      </c>
      <c r="AK24" s="64">
        <f>AK21*Inputs!$C$27</f>
        <v/>
      </c>
      <c r="AL24" s="64">
        <f>AL21*Inputs!$C$27</f>
        <v/>
      </c>
      <c r="AM24" s="64">
        <f>AM21*Inputs!$C$27</f>
        <v/>
      </c>
      <c r="AN24" s="64">
        <f>AN21*Inputs!$C$27</f>
        <v/>
      </c>
      <c r="AO24" s="64">
        <f>AO21*Inputs!$C$27</f>
        <v/>
      </c>
      <c r="AP24" s="64">
        <f>AP21*Inputs!$C$27</f>
        <v/>
      </c>
      <c r="AQ24" s="64">
        <f>AQ21*Inputs!$C$27</f>
        <v/>
      </c>
      <c r="AR24" s="64">
        <f>AR21*Inputs!$C$27</f>
        <v/>
      </c>
      <c r="AS24" s="64">
        <f>AS21*Inputs!$C$27</f>
        <v/>
      </c>
      <c r="AT24" s="64">
        <f>AT21*Inputs!$C$27</f>
        <v/>
      </c>
      <c r="AU24" s="64">
        <f>AU21*Inputs!$C$27</f>
        <v/>
      </c>
      <c r="AV24" s="64">
        <f>AV21*Inputs!$C$27</f>
        <v/>
      </c>
      <c r="AW24" s="64">
        <f>AW21*Inputs!$C$27</f>
        <v/>
      </c>
      <c r="AX24" s="64">
        <f>AX21*Inputs!$C$27</f>
        <v/>
      </c>
      <c r="AY24" s="64">
        <f>AY21*Inputs!$C$27</f>
        <v/>
      </c>
      <c r="AZ24" s="64">
        <f>AZ21*Inputs!$C$27</f>
        <v/>
      </c>
      <c r="BA24" s="64">
        <f>BA21*Inputs!$C$27</f>
        <v/>
      </c>
      <c r="BB24" s="64">
        <f>BB21*Inputs!$C$27</f>
        <v/>
      </c>
      <c r="BC24" s="64">
        <f>BC21*Inputs!$C$27</f>
        <v/>
      </c>
      <c r="BD24" s="64">
        <f>BD21*Inputs!$C$27</f>
        <v/>
      </c>
      <c r="BE24" s="64">
        <f>BE21*Inputs!$C$27</f>
        <v/>
      </c>
      <c r="BF24" s="64">
        <f>BF21*Inputs!$C$27</f>
        <v/>
      </c>
      <c r="BG24" s="64">
        <f>BG21*Inputs!$C$27</f>
        <v/>
      </c>
      <c r="BH24" s="64">
        <f>BH21*Inputs!$C$27</f>
        <v/>
      </c>
      <c r="BI24" s="64">
        <f>BI21*Inputs!$C$27</f>
        <v/>
      </c>
      <c r="BJ24" s="64">
        <f>BJ21*Inputs!$C$27</f>
        <v/>
      </c>
      <c r="BK24" s="64">
        <f>BK21*Inputs!$C$27</f>
        <v/>
      </c>
    </row>
    <row r="25">
      <c r="B25" s="61" t="inlineStr">
        <is>
          <t xml:space="preserve">   Net revenue — Preventive Care</t>
        </is>
      </c>
      <c r="C25" s="92" t="inlineStr">
        <is>
          <t>EUR</t>
        </is>
      </c>
      <c r="D25" s="64">
        <f>D22*Inputs!$C$27</f>
        <v/>
      </c>
      <c r="E25" s="64">
        <f>E22*Inputs!$C$27</f>
        <v/>
      </c>
      <c r="F25" s="64">
        <f>F22*Inputs!$C$27</f>
        <v/>
      </c>
      <c r="G25" s="64">
        <f>G22*Inputs!$C$27</f>
        <v/>
      </c>
      <c r="H25" s="64">
        <f>H22*Inputs!$C$27</f>
        <v/>
      </c>
      <c r="I25" s="64">
        <f>I22*Inputs!$C$27</f>
        <v/>
      </c>
      <c r="J25" s="64">
        <f>J22*Inputs!$C$27</f>
        <v/>
      </c>
      <c r="K25" s="64">
        <f>K22*Inputs!$C$27</f>
        <v/>
      </c>
      <c r="L25" s="64">
        <f>L22*Inputs!$C$27</f>
        <v/>
      </c>
      <c r="M25" s="64">
        <f>M22*Inputs!$C$27</f>
        <v/>
      </c>
      <c r="N25" s="64">
        <f>N22*Inputs!$C$27</f>
        <v/>
      </c>
      <c r="O25" s="64">
        <f>O22*Inputs!$C$27</f>
        <v/>
      </c>
      <c r="P25" s="64">
        <f>P22*Inputs!$C$27</f>
        <v/>
      </c>
      <c r="Q25" s="64">
        <f>Q22*Inputs!$C$27</f>
        <v/>
      </c>
      <c r="R25" s="64">
        <f>R22*Inputs!$C$27</f>
        <v/>
      </c>
      <c r="S25" s="64">
        <f>S22*Inputs!$C$27</f>
        <v/>
      </c>
      <c r="T25" s="64">
        <f>T22*Inputs!$C$27</f>
        <v/>
      </c>
      <c r="U25" s="64">
        <f>U22*Inputs!$C$27</f>
        <v/>
      </c>
      <c r="V25" s="64">
        <f>V22*Inputs!$C$27</f>
        <v/>
      </c>
      <c r="W25" s="64">
        <f>W22*Inputs!$C$27</f>
        <v/>
      </c>
      <c r="X25" s="64">
        <f>X22*Inputs!$C$27</f>
        <v/>
      </c>
      <c r="Y25" s="64">
        <f>Y22*Inputs!$C$27</f>
        <v/>
      </c>
      <c r="Z25" s="64">
        <f>Z22*Inputs!$C$27</f>
        <v/>
      </c>
      <c r="AA25" s="64">
        <f>AA22*Inputs!$C$27</f>
        <v/>
      </c>
      <c r="AB25" s="64">
        <f>AB22*Inputs!$C$27</f>
        <v/>
      </c>
      <c r="AC25" s="64">
        <f>AC22*Inputs!$C$27</f>
        <v/>
      </c>
      <c r="AD25" s="64">
        <f>AD22*Inputs!$C$27</f>
        <v/>
      </c>
      <c r="AE25" s="64">
        <f>AE22*Inputs!$C$27</f>
        <v/>
      </c>
      <c r="AF25" s="64">
        <f>AF22*Inputs!$C$27</f>
        <v/>
      </c>
      <c r="AG25" s="64">
        <f>AG22*Inputs!$C$27</f>
        <v/>
      </c>
      <c r="AH25" s="64">
        <f>AH22*Inputs!$C$27</f>
        <v/>
      </c>
      <c r="AI25" s="64">
        <f>AI22*Inputs!$C$27</f>
        <v/>
      </c>
      <c r="AJ25" s="64">
        <f>AJ22*Inputs!$C$27</f>
        <v/>
      </c>
      <c r="AK25" s="64">
        <f>AK22*Inputs!$C$27</f>
        <v/>
      </c>
      <c r="AL25" s="64">
        <f>AL22*Inputs!$C$27</f>
        <v/>
      </c>
      <c r="AM25" s="64">
        <f>AM22*Inputs!$C$27</f>
        <v/>
      </c>
      <c r="AN25" s="64">
        <f>AN22*Inputs!$C$27</f>
        <v/>
      </c>
      <c r="AO25" s="64">
        <f>AO22*Inputs!$C$27</f>
        <v/>
      </c>
      <c r="AP25" s="64">
        <f>AP22*Inputs!$C$27</f>
        <v/>
      </c>
      <c r="AQ25" s="64">
        <f>AQ22*Inputs!$C$27</f>
        <v/>
      </c>
      <c r="AR25" s="64">
        <f>AR22*Inputs!$C$27</f>
        <v/>
      </c>
      <c r="AS25" s="64">
        <f>AS22*Inputs!$C$27</f>
        <v/>
      </c>
      <c r="AT25" s="64">
        <f>AT22*Inputs!$C$27</f>
        <v/>
      </c>
      <c r="AU25" s="64">
        <f>AU22*Inputs!$C$27</f>
        <v/>
      </c>
      <c r="AV25" s="64">
        <f>AV22*Inputs!$C$27</f>
        <v/>
      </c>
      <c r="AW25" s="64">
        <f>AW22*Inputs!$C$27</f>
        <v/>
      </c>
      <c r="AX25" s="64">
        <f>AX22*Inputs!$C$27</f>
        <v/>
      </c>
      <c r="AY25" s="64">
        <f>AY22*Inputs!$C$27</f>
        <v/>
      </c>
      <c r="AZ25" s="64">
        <f>AZ22*Inputs!$C$27</f>
        <v/>
      </c>
      <c r="BA25" s="64">
        <f>BA22*Inputs!$C$27</f>
        <v/>
      </c>
      <c r="BB25" s="64">
        <f>BB22*Inputs!$C$27</f>
        <v/>
      </c>
      <c r="BC25" s="64">
        <f>BC22*Inputs!$C$27</f>
        <v/>
      </c>
      <c r="BD25" s="64">
        <f>BD22*Inputs!$C$27</f>
        <v/>
      </c>
      <c r="BE25" s="64">
        <f>BE22*Inputs!$C$27</f>
        <v/>
      </c>
      <c r="BF25" s="64">
        <f>BF22*Inputs!$C$27</f>
        <v/>
      </c>
      <c r="BG25" s="64">
        <f>BG22*Inputs!$C$27</f>
        <v/>
      </c>
      <c r="BH25" s="64">
        <f>BH22*Inputs!$C$27</f>
        <v/>
      </c>
      <c r="BI25" s="64">
        <f>BI22*Inputs!$C$27</f>
        <v/>
      </c>
      <c r="BJ25" s="64">
        <f>BJ22*Inputs!$C$27</f>
        <v/>
      </c>
      <c r="BK25" s="64">
        <f>BK22*Inputs!$C$27</f>
        <v/>
      </c>
    </row>
    <row r="26">
      <c r="B26" s="69" t="inlineStr">
        <is>
          <t>Total net revenue</t>
        </is>
      </c>
      <c r="C26" s="98" t="inlineStr">
        <is>
          <t>EUR</t>
        </is>
      </c>
      <c r="D26" s="71">
        <f>D24+D25</f>
        <v/>
      </c>
      <c r="E26" s="71">
        <f>E24+E25</f>
        <v/>
      </c>
      <c r="F26" s="71">
        <f>F24+F25</f>
        <v/>
      </c>
      <c r="G26" s="71">
        <f>G24+G25</f>
        <v/>
      </c>
      <c r="H26" s="71">
        <f>H24+H25</f>
        <v/>
      </c>
      <c r="I26" s="71">
        <f>I24+I25</f>
        <v/>
      </c>
      <c r="J26" s="71">
        <f>J24+J25</f>
        <v/>
      </c>
      <c r="K26" s="71">
        <f>K24+K25</f>
        <v/>
      </c>
      <c r="L26" s="71">
        <f>L24+L25</f>
        <v/>
      </c>
      <c r="M26" s="71">
        <f>M24+M25</f>
        <v/>
      </c>
      <c r="N26" s="71">
        <f>N24+N25</f>
        <v/>
      </c>
      <c r="O26" s="71">
        <f>O24+O25</f>
        <v/>
      </c>
      <c r="P26" s="71">
        <f>P24+P25</f>
        <v/>
      </c>
      <c r="Q26" s="71">
        <f>Q24+Q25</f>
        <v/>
      </c>
      <c r="R26" s="71">
        <f>R24+R25</f>
        <v/>
      </c>
      <c r="S26" s="71">
        <f>S24+S25</f>
        <v/>
      </c>
      <c r="T26" s="71">
        <f>T24+T25</f>
        <v/>
      </c>
      <c r="U26" s="71">
        <f>U24+U25</f>
        <v/>
      </c>
      <c r="V26" s="71">
        <f>V24+V25</f>
        <v/>
      </c>
      <c r="W26" s="71">
        <f>W24+W25</f>
        <v/>
      </c>
      <c r="X26" s="71">
        <f>X24+X25</f>
        <v/>
      </c>
      <c r="Y26" s="71">
        <f>Y24+Y25</f>
        <v/>
      </c>
      <c r="Z26" s="71">
        <f>Z24+Z25</f>
        <v/>
      </c>
      <c r="AA26" s="71">
        <f>AA24+AA25</f>
        <v/>
      </c>
      <c r="AB26" s="71">
        <f>AB24+AB25</f>
        <v/>
      </c>
      <c r="AC26" s="71">
        <f>AC24+AC25</f>
        <v/>
      </c>
      <c r="AD26" s="71">
        <f>AD24+AD25</f>
        <v/>
      </c>
      <c r="AE26" s="71">
        <f>AE24+AE25</f>
        <v/>
      </c>
      <c r="AF26" s="71">
        <f>AF24+AF25</f>
        <v/>
      </c>
      <c r="AG26" s="71">
        <f>AG24+AG25</f>
        <v/>
      </c>
      <c r="AH26" s="71">
        <f>AH24+AH25</f>
        <v/>
      </c>
      <c r="AI26" s="71">
        <f>AI24+AI25</f>
        <v/>
      </c>
      <c r="AJ26" s="71">
        <f>AJ24+AJ25</f>
        <v/>
      </c>
      <c r="AK26" s="71">
        <f>AK24+AK25</f>
        <v/>
      </c>
      <c r="AL26" s="71">
        <f>AL24+AL25</f>
        <v/>
      </c>
      <c r="AM26" s="71">
        <f>AM24+AM25</f>
        <v/>
      </c>
      <c r="AN26" s="71">
        <f>AN24+AN25</f>
        <v/>
      </c>
      <c r="AO26" s="71">
        <f>AO24+AO25</f>
        <v/>
      </c>
      <c r="AP26" s="71">
        <f>AP24+AP25</f>
        <v/>
      </c>
      <c r="AQ26" s="71">
        <f>AQ24+AQ25</f>
        <v/>
      </c>
      <c r="AR26" s="71">
        <f>AR24+AR25</f>
        <v/>
      </c>
      <c r="AS26" s="71">
        <f>AS24+AS25</f>
        <v/>
      </c>
      <c r="AT26" s="71">
        <f>AT24+AT25</f>
        <v/>
      </c>
      <c r="AU26" s="71">
        <f>AU24+AU25</f>
        <v/>
      </c>
      <c r="AV26" s="71">
        <f>AV24+AV25</f>
        <v/>
      </c>
      <c r="AW26" s="71">
        <f>AW24+AW25</f>
        <v/>
      </c>
      <c r="AX26" s="71">
        <f>AX24+AX25</f>
        <v/>
      </c>
      <c r="AY26" s="71">
        <f>AY24+AY25</f>
        <v/>
      </c>
      <c r="AZ26" s="71">
        <f>AZ24+AZ25</f>
        <v/>
      </c>
      <c r="BA26" s="71">
        <f>BA24+BA25</f>
        <v/>
      </c>
      <c r="BB26" s="71">
        <f>BB24+BB25</f>
        <v/>
      </c>
      <c r="BC26" s="71">
        <f>BC24+BC25</f>
        <v/>
      </c>
      <c r="BD26" s="71">
        <f>BD24+BD25</f>
        <v/>
      </c>
      <c r="BE26" s="71">
        <f>BE24+BE25</f>
        <v/>
      </c>
      <c r="BF26" s="71">
        <f>BF24+BF25</f>
        <v/>
      </c>
      <c r="BG26" s="71">
        <f>BG24+BG25</f>
        <v/>
      </c>
      <c r="BH26" s="71">
        <f>BH24+BH25</f>
        <v/>
      </c>
      <c r="BI26" s="71">
        <f>BI24+BI25</f>
        <v/>
      </c>
      <c r="BJ26" s="71">
        <f>BJ24+BJ25</f>
        <v/>
      </c>
      <c r="BK26" s="71">
        <f>BK24+BK25</f>
        <v/>
      </c>
    </row>
    <row r="28">
      <c r="B28" s="23" t="inlineStr">
        <is>
          <t>COST OF SERVICE  (EUR)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</row>
    <row r="29">
      <c r="B29" s="61" t="inlineStr">
        <is>
          <t>Cost per voice minute</t>
        </is>
      </c>
      <c r="C29" s="92" t="inlineStr">
        <is>
          <t>EUR</t>
        </is>
      </c>
      <c r="D29" s="72">
        <f>INDEX(Inputs!$C$61:$G$61,1,D5)</f>
        <v/>
      </c>
      <c r="E29" s="72">
        <f>INDEX(Inputs!$C$61:$G$61,1,E5)</f>
        <v/>
      </c>
      <c r="F29" s="72">
        <f>INDEX(Inputs!$C$61:$G$61,1,F5)</f>
        <v/>
      </c>
      <c r="G29" s="72">
        <f>INDEX(Inputs!$C$61:$G$61,1,G5)</f>
        <v/>
      </c>
      <c r="H29" s="72">
        <f>INDEX(Inputs!$C$61:$G$61,1,H5)</f>
        <v/>
      </c>
      <c r="I29" s="72">
        <f>INDEX(Inputs!$C$61:$G$61,1,I5)</f>
        <v/>
      </c>
      <c r="J29" s="72">
        <f>INDEX(Inputs!$C$61:$G$61,1,J5)</f>
        <v/>
      </c>
      <c r="K29" s="72">
        <f>INDEX(Inputs!$C$61:$G$61,1,K5)</f>
        <v/>
      </c>
      <c r="L29" s="72">
        <f>INDEX(Inputs!$C$61:$G$61,1,L5)</f>
        <v/>
      </c>
      <c r="M29" s="72">
        <f>INDEX(Inputs!$C$61:$G$61,1,M5)</f>
        <v/>
      </c>
      <c r="N29" s="72">
        <f>INDEX(Inputs!$C$61:$G$61,1,N5)</f>
        <v/>
      </c>
      <c r="O29" s="72">
        <f>INDEX(Inputs!$C$61:$G$61,1,O5)</f>
        <v/>
      </c>
      <c r="P29" s="72">
        <f>INDEX(Inputs!$C$61:$G$61,1,P5)</f>
        <v/>
      </c>
      <c r="Q29" s="72">
        <f>INDEX(Inputs!$C$61:$G$61,1,Q5)</f>
        <v/>
      </c>
      <c r="R29" s="72">
        <f>INDEX(Inputs!$C$61:$G$61,1,R5)</f>
        <v/>
      </c>
      <c r="S29" s="72">
        <f>INDEX(Inputs!$C$61:$G$61,1,S5)</f>
        <v/>
      </c>
      <c r="T29" s="72">
        <f>INDEX(Inputs!$C$61:$G$61,1,T5)</f>
        <v/>
      </c>
      <c r="U29" s="72">
        <f>INDEX(Inputs!$C$61:$G$61,1,U5)</f>
        <v/>
      </c>
      <c r="V29" s="72">
        <f>INDEX(Inputs!$C$61:$G$61,1,V5)</f>
        <v/>
      </c>
      <c r="W29" s="72">
        <f>INDEX(Inputs!$C$61:$G$61,1,W5)</f>
        <v/>
      </c>
      <c r="X29" s="72">
        <f>INDEX(Inputs!$C$61:$G$61,1,X5)</f>
        <v/>
      </c>
      <c r="Y29" s="72">
        <f>INDEX(Inputs!$C$61:$G$61,1,Y5)</f>
        <v/>
      </c>
      <c r="Z29" s="72">
        <f>INDEX(Inputs!$C$61:$G$61,1,Z5)</f>
        <v/>
      </c>
      <c r="AA29" s="72">
        <f>INDEX(Inputs!$C$61:$G$61,1,AA5)</f>
        <v/>
      </c>
      <c r="AB29" s="72">
        <f>INDEX(Inputs!$C$61:$G$61,1,AB5)</f>
        <v/>
      </c>
      <c r="AC29" s="72">
        <f>INDEX(Inputs!$C$61:$G$61,1,AC5)</f>
        <v/>
      </c>
      <c r="AD29" s="72">
        <f>INDEX(Inputs!$C$61:$G$61,1,AD5)</f>
        <v/>
      </c>
      <c r="AE29" s="72">
        <f>INDEX(Inputs!$C$61:$G$61,1,AE5)</f>
        <v/>
      </c>
      <c r="AF29" s="72">
        <f>INDEX(Inputs!$C$61:$G$61,1,AF5)</f>
        <v/>
      </c>
      <c r="AG29" s="72">
        <f>INDEX(Inputs!$C$61:$G$61,1,AG5)</f>
        <v/>
      </c>
      <c r="AH29" s="72">
        <f>INDEX(Inputs!$C$61:$G$61,1,AH5)</f>
        <v/>
      </c>
      <c r="AI29" s="72">
        <f>INDEX(Inputs!$C$61:$G$61,1,AI5)</f>
        <v/>
      </c>
      <c r="AJ29" s="72">
        <f>INDEX(Inputs!$C$61:$G$61,1,AJ5)</f>
        <v/>
      </c>
      <c r="AK29" s="72">
        <f>INDEX(Inputs!$C$61:$G$61,1,AK5)</f>
        <v/>
      </c>
      <c r="AL29" s="72">
        <f>INDEX(Inputs!$C$61:$G$61,1,AL5)</f>
        <v/>
      </c>
      <c r="AM29" s="72">
        <f>INDEX(Inputs!$C$61:$G$61,1,AM5)</f>
        <v/>
      </c>
      <c r="AN29" s="72">
        <f>INDEX(Inputs!$C$61:$G$61,1,AN5)</f>
        <v/>
      </c>
      <c r="AO29" s="72">
        <f>INDEX(Inputs!$C$61:$G$61,1,AO5)</f>
        <v/>
      </c>
      <c r="AP29" s="72">
        <f>INDEX(Inputs!$C$61:$G$61,1,AP5)</f>
        <v/>
      </c>
      <c r="AQ29" s="72">
        <f>INDEX(Inputs!$C$61:$G$61,1,AQ5)</f>
        <v/>
      </c>
      <c r="AR29" s="72">
        <f>INDEX(Inputs!$C$61:$G$61,1,AR5)</f>
        <v/>
      </c>
      <c r="AS29" s="72">
        <f>INDEX(Inputs!$C$61:$G$61,1,AS5)</f>
        <v/>
      </c>
      <c r="AT29" s="72">
        <f>INDEX(Inputs!$C$61:$G$61,1,AT5)</f>
        <v/>
      </c>
      <c r="AU29" s="72">
        <f>INDEX(Inputs!$C$61:$G$61,1,AU5)</f>
        <v/>
      </c>
      <c r="AV29" s="72">
        <f>INDEX(Inputs!$C$61:$G$61,1,AV5)</f>
        <v/>
      </c>
      <c r="AW29" s="72">
        <f>INDEX(Inputs!$C$61:$G$61,1,AW5)</f>
        <v/>
      </c>
      <c r="AX29" s="72">
        <f>INDEX(Inputs!$C$61:$G$61,1,AX5)</f>
        <v/>
      </c>
      <c r="AY29" s="72">
        <f>INDEX(Inputs!$C$61:$G$61,1,AY5)</f>
        <v/>
      </c>
      <c r="AZ29" s="72">
        <f>INDEX(Inputs!$C$61:$G$61,1,AZ5)</f>
        <v/>
      </c>
      <c r="BA29" s="72">
        <f>INDEX(Inputs!$C$61:$G$61,1,BA5)</f>
        <v/>
      </c>
      <c r="BB29" s="72">
        <f>INDEX(Inputs!$C$61:$G$61,1,BB5)</f>
        <v/>
      </c>
      <c r="BC29" s="72">
        <f>INDEX(Inputs!$C$61:$G$61,1,BC5)</f>
        <v/>
      </c>
      <c r="BD29" s="72">
        <f>INDEX(Inputs!$C$61:$G$61,1,BD5)</f>
        <v/>
      </c>
      <c r="BE29" s="72">
        <f>INDEX(Inputs!$C$61:$G$61,1,BE5)</f>
        <v/>
      </c>
      <c r="BF29" s="72">
        <f>INDEX(Inputs!$C$61:$G$61,1,BF5)</f>
        <v/>
      </c>
      <c r="BG29" s="72">
        <f>INDEX(Inputs!$C$61:$G$61,1,BG5)</f>
        <v/>
      </c>
      <c r="BH29" s="72">
        <f>INDEX(Inputs!$C$61:$G$61,1,BH5)</f>
        <v/>
      </c>
      <c r="BI29" s="72">
        <f>INDEX(Inputs!$C$61:$G$61,1,BI5)</f>
        <v/>
      </c>
      <c r="BJ29" s="72">
        <f>INDEX(Inputs!$C$61:$G$61,1,BJ5)</f>
        <v/>
      </c>
      <c r="BK29" s="72">
        <f>INDEX(Inputs!$C$61:$G$61,1,BK5)</f>
        <v/>
      </c>
    </row>
    <row r="30">
      <c r="B30" s="61" t="inlineStr">
        <is>
          <t xml:space="preserve">   AI voice — paying customers</t>
        </is>
      </c>
      <c r="C30" s="92" t="inlineStr">
        <is>
          <t>EUR</t>
        </is>
      </c>
      <c r="D30" s="64">
        <f>D14*Inputs!$C$57*D29</f>
        <v/>
      </c>
      <c r="E30" s="64">
        <f>E14*Inputs!$C$57*E29</f>
        <v/>
      </c>
      <c r="F30" s="64">
        <f>F14*Inputs!$C$57*F29</f>
        <v/>
      </c>
      <c r="G30" s="64">
        <f>G14*Inputs!$C$57*G29</f>
        <v/>
      </c>
      <c r="H30" s="64">
        <f>H14*Inputs!$C$57*H29</f>
        <v/>
      </c>
      <c r="I30" s="64">
        <f>I14*Inputs!$C$57*I29</f>
        <v/>
      </c>
      <c r="J30" s="64">
        <f>J14*Inputs!$C$57*J29</f>
        <v/>
      </c>
      <c r="K30" s="64">
        <f>K14*Inputs!$C$57*K29</f>
        <v/>
      </c>
      <c r="L30" s="64">
        <f>L14*Inputs!$C$57*L29</f>
        <v/>
      </c>
      <c r="M30" s="64">
        <f>M14*Inputs!$C$57*M29</f>
        <v/>
      </c>
      <c r="N30" s="64">
        <f>N14*Inputs!$C$57*N29</f>
        <v/>
      </c>
      <c r="O30" s="64">
        <f>O14*Inputs!$C$57*O29</f>
        <v/>
      </c>
      <c r="P30" s="64">
        <f>P14*Inputs!$C$57*P29</f>
        <v/>
      </c>
      <c r="Q30" s="64">
        <f>Q14*Inputs!$C$57*Q29</f>
        <v/>
      </c>
      <c r="R30" s="64">
        <f>R14*Inputs!$C$57*R29</f>
        <v/>
      </c>
      <c r="S30" s="64">
        <f>S14*Inputs!$C$57*S29</f>
        <v/>
      </c>
      <c r="T30" s="64">
        <f>T14*Inputs!$C$57*T29</f>
        <v/>
      </c>
      <c r="U30" s="64">
        <f>U14*Inputs!$C$57*U29</f>
        <v/>
      </c>
      <c r="V30" s="64">
        <f>V14*Inputs!$C$57*V29</f>
        <v/>
      </c>
      <c r="W30" s="64">
        <f>W14*Inputs!$C$57*W29</f>
        <v/>
      </c>
      <c r="X30" s="64">
        <f>X14*Inputs!$C$57*X29</f>
        <v/>
      </c>
      <c r="Y30" s="64">
        <f>Y14*Inputs!$C$57*Y29</f>
        <v/>
      </c>
      <c r="Z30" s="64">
        <f>Z14*Inputs!$C$57*Z29</f>
        <v/>
      </c>
      <c r="AA30" s="64">
        <f>AA14*Inputs!$C$57*AA29</f>
        <v/>
      </c>
      <c r="AB30" s="64">
        <f>AB14*Inputs!$C$57*AB29</f>
        <v/>
      </c>
      <c r="AC30" s="64">
        <f>AC14*Inputs!$C$57*AC29</f>
        <v/>
      </c>
      <c r="AD30" s="64">
        <f>AD14*Inputs!$C$57*AD29</f>
        <v/>
      </c>
      <c r="AE30" s="64">
        <f>AE14*Inputs!$C$57*AE29</f>
        <v/>
      </c>
      <c r="AF30" s="64">
        <f>AF14*Inputs!$C$57*AF29</f>
        <v/>
      </c>
      <c r="AG30" s="64">
        <f>AG14*Inputs!$C$57*AG29</f>
        <v/>
      </c>
      <c r="AH30" s="64">
        <f>AH14*Inputs!$C$57*AH29</f>
        <v/>
      </c>
      <c r="AI30" s="64">
        <f>AI14*Inputs!$C$57*AI29</f>
        <v/>
      </c>
      <c r="AJ30" s="64">
        <f>AJ14*Inputs!$C$57*AJ29</f>
        <v/>
      </c>
      <c r="AK30" s="64">
        <f>AK14*Inputs!$C$57*AK29</f>
        <v/>
      </c>
      <c r="AL30" s="64">
        <f>AL14*Inputs!$C$57*AL29</f>
        <v/>
      </c>
      <c r="AM30" s="64">
        <f>AM14*Inputs!$C$57*AM29</f>
        <v/>
      </c>
      <c r="AN30" s="64">
        <f>AN14*Inputs!$C$57*AN29</f>
        <v/>
      </c>
      <c r="AO30" s="64">
        <f>AO14*Inputs!$C$57*AO29</f>
        <v/>
      </c>
      <c r="AP30" s="64">
        <f>AP14*Inputs!$C$57*AP29</f>
        <v/>
      </c>
      <c r="AQ30" s="64">
        <f>AQ14*Inputs!$C$57*AQ29</f>
        <v/>
      </c>
      <c r="AR30" s="64">
        <f>AR14*Inputs!$C$57*AR29</f>
        <v/>
      </c>
      <c r="AS30" s="64">
        <f>AS14*Inputs!$C$57*AS29</f>
        <v/>
      </c>
      <c r="AT30" s="64">
        <f>AT14*Inputs!$C$57*AT29</f>
        <v/>
      </c>
      <c r="AU30" s="64">
        <f>AU14*Inputs!$C$57*AU29</f>
        <v/>
      </c>
      <c r="AV30" s="64">
        <f>AV14*Inputs!$C$57*AV29</f>
        <v/>
      </c>
      <c r="AW30" s="64">
        <f>AW14*Inputs!$C$57*AW29</f>
        <v/>
      </c>
      <c r="AX30" s="64">
        <f>AX14*Inputs!$C$57*AX29</f>
        <v/>
      </c>
      <c r="AY30" s="64">
        <f>AY14*Inputs!$C$57*AY29</f>
        <v/>
      </c>
      <c r="AZ30" s="64">
        <f>AZ14*Inputs!$C$57*AZ29</f>
        <v/>
      </c>
      <c r="BA30" s="64">
        <f>BA14*Inputs!$C$57*BA29</f>
        <v/>
      </c>
      <c r="BB30" s="64">
        <f>BB14*Inputs!$C$57*BB29</f>
        <v/>
      </c>
      <c r="BC30" s="64">
        <f>BC14*Inputs!$C$57*BC29</f>
        <v/>
      </c>
      <c r="BD30" s="64">
        <f>BD14*Inputs!$C$57*BD29</f>
        <v/>
      </c>
      <c r="BE30" s="64">
        <f>BE14*Inputs!$C$57*BE29</f>
        <v/>
      </c>
      <c r="BF30" s="64">
        <f>BF14*Inputs!$C$57*BF29</f>
        <v/>
      </c>
      <c r="BG30" s="64">
        <f>BG14*Inputs!$C$57*BG29</f>
        <v/>
      </c>
      <c r="BH30" s="64">
        <f>BH14*Inputs!$C$57*BH29</f>
        <v/>
      </c>
      <c r="BI30" s="64">
        <f>BI14*Inputs!$C$57*BI29</f>
        <v/>
      </c>
      <c r="BJ30" s="64">
        <f>BJ14*Inputs!$C$57*BJ29</f>
        <v/>
      </c>
      <c r="BK30" s="64">
        <f>BK14*Inputs!$C$57*BK29</f>
        <v/>
      </c>
    </row>
    <row r="31">
      <c r="B31" s="61" t="inlineStr">
        <is>
          <t xml:space="preserve">   AI voice — free trials</t>
        </is>
      </c>
      <c r="C31" s="92" t="inlineStr">
        <is>
          <t>EUR</t>
        </is>
      </c>
      <c r="D31" s="64">
        <f>D15*Inputs!$C$44*Inputs!$C$55*Inputs!$C$56*D29</f>
        <v/>
      </c>
      <c r="E31" s="64">
        <f>E15*Inputs!$C$44*Inputs!$C$55*Inputs!$C$56*E29</f>
        <v/>
      </c>
      <c r="F31" s="64">
        <f>F15*Inputs!$C$44*Inputs!$C$55*Inputs!$C$56*F29</f>
        <v/>
      </c>
      <c r="G31" s="64">
        <f>G15*Inputs!$C$44*Inputs!$C$55*Inputs!$C$56*G29</f>
        <v/>
      </c>
      <c r="H31" s="64">
        <f>H15*Inputs!$C$44*Inputs!$C$55*Inputs!$C$56*H29</f>
        <v/>
      </c>
      <c r="I31" s="64">
        <f>I15*Inputs!$C$44*Inputs!$C$55*Inputs!$C$56*I29</f>
        <v/>
      </c>
      <c r="J31" s="64">
        <f>J15*Inputs!$C$44*Inputs!$C$55*Inputs!$C$56*J29</f>
        <v/>
      </c>
      <c r="K31" s="64">
        <f>K15*Inputs!$C$44*Inputs!$C$55*Inputs!$C$56*K29</f>
        <v/>
      </c>
      <c r="L31" s="64">
        <f>L15*Inputs!$C$44*Inputs!$C$55*Inputs!$C$56*L29</f>
        <v/>
      </c>
      <c r="M31" s="64">
        <f>M15*Inputs!$C$44*Inputs!$C$55*Inputs!$C$56*M29</f>
        <v/>
      </c>
      <c r="N31" s="64">
        <f>N15*Inputs!$C$44*Inputs!$C$55*Inputs!$C$56*N29</f>
        <v/>
      </c>
      <c r="O31" s="64">
        <f>O15*Inputs!$C$44*Inputs!$C$55*Inputs!$C$56*O29</f>
        <v/>
      </c>
      <c r="P31" s="64">
        <f>P15*Inputs!$C$44*Inputs!$C$55*Inputs!$C$56*P29</f>
        <v/>
      </c>
      <c r="Q31" s="64">
        <f>Q15*Inputs!$C$44*Inputs!$C$55*Inputs!$C$56*Q29</f>
        <v/>
      </c>
      <c r="R31" s="64">
        <f>R15*Inputs!$C$44*Inputs!$C$55*Inputs!$C$56*R29</f>
        <v/>
      </c>
      <c r="S31" s="64">
        <f>S15*Inputs!$C$44*Inputs!$C$55*Inputs!$C$56*S29</f>
        <v/>
      </c>
      <c r="T31" s="64">
        <f>T15*Inputs!$C$44*Inputs!$C$55*Inputs!$C$56*T29</f>
        <v/>
      </c>
      <c r="U31" s="64">
        <f>U15*Inputs!$C$44*Inputs!$C$55*Inputs!$C$56*U29</f>
        <v/>
      </c>
      <c r="V31" s="64">
        <f>V15*Inputs!$C$44*Inputs!$C$55*Inputs!$C$56*V29</f>
        <v/>
      </c>
      <c r="W31" s="64">
        <f>W15*Inputs!$C$44*Inputs!$C$55*Inputs!$C$56*W29</f>
        <v/>
      </c>
      <c r="X31" s="64">
        <f>X15*Inputs!$C$44*Inputs!$C$55*Inputs!$C$56*X29</f>
        <v/>
      </c>
      <c r="Y31" s="64">
        <f>Y15*Inputs!$C$44*Inputs!$C$55*Inputs!$C$56*Y29</f>
        <v/>
      </c>
      <c r="Z31" s="64">
        <f>Z15*Inputs!$C$44*Inputs!$C$55*Inputs!$C$56*Z29</f>
        <v/>
      </c>
      <c r="AA31" s="64">
        <f>AA15*Inputs!$C$44*Inputs!$C$55*Inputs!$C$56*AA29</f>
        <v/>
      </c>
      <c r="AB31" s="64">
        <f>AB15*Inputs!$C$44*Inputs!$C$55*Inputs!$C$56*AB29</f>
        <v/>
      </c>
      <c r="AC31" s="64">
        <f>AC15*Inputs!$C$44*Inputs!$C$55*Inputs!$C$56*AC29</f>
        <v/>
      </c>
      <c r="AD31" s="64">
        <f>AD15*Inputs!$C$44*Inputs!$C$55*Inputs!$C$56*AD29</f>
        <v/>
      </c>
      <c r="AE31" s="64">
        <f>AE15*Inputs!$C$44*Inputs!$C$55*Inputs!$C$56*AE29</f>
        <v/>
      </c>
      <c r="AF31" s="64">
        <f>AF15*Inputs!$C$44*Inputs!$C$55*Inputs!$C$56*AF29</f>
        <v/>
      </c>
      <c r="AG31" s="64">
        <f>AG15*Inputs!$C$44*Inputs!$C$55*Inputs!$C$56*AG29</f>
        <v/>
      </c>
      <c r="AH31" s="64">
        <f>AH15*Inputs!$C$44*Inputs!$C$55*Inputs!$C$56*AH29</f>
        <v/>
      </c>
      <c r="AI31" s="64">
        <f>AI15*Inputs!$C$44*Inputs!$C$55*Inputs!$C$56*AI29</f>
        <v/>
      </c>
      <c r="AJ31" s="64">
        <f>AJ15*Inputs!$C$44*Inputs!$C$55*Inputs!$C$56*AJ29</f>
        <v/>
      </c>
      <c r="AK31" s="64">
        <f>AK15*Inputs!$C$44*Inputs!$C$55*Inputs!$C$56*AK29</f>
        <v/>
      </c>
      <c r="AL31" s="64">
        <f>AL15*Inputs!$C$44*Inputs!$C$55*Inputs!$C$56*AL29</f>
        <v/>
      </c>
      <c r="AM31" s="64">
        <f>AM15*Inputs!$C$44*Inputs!$C$55*Inputs!$C$56*AM29</f>
        <v/>
      </c>
      <c r="AN31" s="64">
        <f>AN15*Inputs!$C$44*Inputs!$C$55*Inputs!$C$56*AN29</f>
        <v/>
      </c>
      <c r="AO31" s="64">
        <f>AO15*Inputs!$C$44*Inputs!$C$55*Inputs!$C$56*AO29</f>
        <v/>
      </c>
      <c r="AP31" s="64">
        <f>AP15*Inputs!$C$44*Inputs!$C$55*Inputs!$C$56*AP29</f>
        <v/>
      </c>
      <c r="AQ31" s="64">
        <f>AQ15*Inputs!$C$44*Inputs!$C$55*Inputs!$C$56*AQ29</f>
        <v/>
      </c>
      <c r="AR31" s="64">
        <f>AR15*Inputs!$C$44*Inputs!$C$55*Inputs!$C$56*AR29</f>
        <v/>
      </c>
      <c r="AS31" s="64">
        <f>AS15*Inputs!$C$44*Inputs!$C$55*Inputs!$C$56*AS29</f>
        <v/>
      </c>
      <c r="AT31" s="64">
        <f>AT15*Inputs!$C$44*Inputs!$C$55*Inputs!$C$56*AT29</f>
        <v/>
      </c>
      <c r="AU31" s="64">
        <f>AU15*Inputs!$C$44*Inputs!$C$55*Inputs!$C$56*AU29</f>
        <v/>
      </c>
      <c r="AV31" s="64">
        <f>AV15*Inputs!$C$44*Inputs!$C$55*Inputs!$C$56*AV29</f>
        <v/>
      </c>
      <c r="AW31" s="64">
        <f>AW15*Inputs!$C$44*Inputs!$C$55*Inputs!$C$56*AW29</f>
        <v/>
      </c>
      <c r="AX31" s="64">
        <f>AX15*Inputs!$C$44*Inputs!$C$55*Inputs!$C$56*AX29</f>
        <v/>
      </c>
      <c r="AY31" s="64">
        <f>AY15*Inputs!$C$44*Inputs!$C$55*Inputs!$C$56*AY29</f>
        <v/>
      </c>
      <c r="AZ31" s="64">
        <f>AZ15*Inputs!$C$44*Inputs!$C$55*Inputs!$C$56*AZ29</f>
        <v/>
      </c>
      <c r="BA31" s="64">
        <f>BA15*Inputs!$C$44*Inputs!$C$55*Inputs!$C$56*BA29</f>
        <v/>
      </c>
      <c r="BB31" s="64">
        <f>BB15*Inputs!$C$44*Inputs!$C$55*Inputs!$C$56*BB29</f>
        <v/>
      </c>
      <c r="BC31" s="64">
        <f>BC15*Inputs!$C$44*Inputs!$C$55*Inputs!$C$56*BC29</f>
        <v/>
      </c>
      <c r="BD31" s="64">
        <f>BD15*Inputs!$C$44*Inputs!$C$55*Inputs!$C$56*BD29</f>
        <v/>
      </c>
      <c r="BE31" s="64">
        <f>BE15*Inputs!$C$44*Inputs!$C$55*Inputs!$C$56*BE29</f>
        <v/>
      </c>
      <c r="BF31" s="64">
        <f>BF15*Inputs!$C$44*Inputs!$C$55*Inputs!$C$56*BF29</f>
        <v/>
      </c>
      <c r="BG31" s="64">
        <f>BG15*Inputs!$C$44*Inputs!$C$55*Inputs!$C$56*BG29</f>
        <v/>
      </c>
      <c r="BH31" s="64">
        <f>BH15*Inputs!$C$44*Inputs!$C$55*Inputs!$C$56*BH29</f>
        <v/>
      </c>
      <c r="BI31" s="64">
        <f>BI15*Inputs!$C$44*Inputs!$C$55*Inputs!$C$56*BI29</f>
        <v/>
      </c>
      <c r="BJ31" s="64">
        <f>BJ15*Inputs!$C$44*Inputs!$C$55*Inputs!$C$56*BJ29</f>
        <v/>
      </c>
      <c r="BK31" s="64">
        <f>BK15*Inputs!$C$44*Inputs!$C$55*Inputs!$C$56*BK29</f>
        <v/>
      </c>
    </row>
    <row r="32">
      <c r="B32" s="61" t="inlineStr">
        <is>
          <t xml:space="preserve">   Data &amp; storage</t>
        </is>
      </c>
      <c r="C32" s="92" t="inlineStr">
        <is>
          <t>EUR</t>
        </is>
      </c>
      <c r="D32" s="64">
        <f>D14*Inputs!$C$62</f>
        <v/>
      </c>
      <c r="E32" s="64">
        <f>E14*Inputs!$C$62</f>
        <v/>
      </c>
      <c r="F32" s="64">
        <f>F14*Inputs!$C$62</f>
        <v/>
      </c>
      <c r="G32" s="64">
        <f>G14*Inputs!$C$62</f>
        <v/>
      </c>
      <c r="H32" s="64">
        <f>H14*Inputs!$C$62</f>
        <v/>
      </c>
      <c r="I32" s="64">
        <f>I14*Inputs!$C$62</f>
        <v/>
      </c>
      <c r="J32" s="64">
        <f>J14*Inputs!$C$62</f>
        <v/>
      </c>
      <c r="K32" s="64">
        <f>K14*Inputs!$C$62</f>
        <v/>
      </c>
      <c r="L32" s="64">
        <f>L14*Inputs!$C$62</f>
        <v/>
      </c>
      <c r="M32" s="64">
        <f>M14*Inputs!$C$62</f>
        <v/>
      </c>
      <c r="N32" s="64">
        <f>N14*Inputs!$C$62</f>
        <v/>
      </c>
      <c r="O32" s="64">
        <f>O14*Inputs!$C$62</f>
        <v/>
      </c>
      <c r="P32" s="64">
        <f>P14*Inputs!$C$62</f>
        <v/>
      </c>
      <c r="Q32" s="64">
        <f>Q14*Inputs!$C$62</f>
        <v/>
      </c>
      <c r="R32" s="64">
        <f>R14*Inputs!$C$62</f>
        <v/>
      </c>
      <c r="S32" s="64">
        <f>S14*Inputs!$C$62</f>
        <v/>
      </c>
      <c r="T32" s="64">
        <f>T14*Inputs!$C$62</f>
        <v/>
      </c>
      <c r="U32" s="64">
        <f>U14*Inputs!$C$62</f>
        <v/>
      </c>
      <c r="V32" s="64">
        <f>V14*Inputs!$C$62</f>
        <v/>
      </c>
      <c r="W32" s="64">
        <f>W14*Inputs!$C$62</f>
        <v/>
      </c>
      <c r="X32" s="64">
        <f>X14*Inputs!$C$62</f>
        <v/>
      </c>
      <c r="Y32" s="64">
        <f>Y14*Inputs!$C$62</f>
        <v/>
      </c>
      <c r="Z32" s="64">
        <f>Z14*Inputs!$C$62</f>
        <v/>
      </c>
      <c r="AA32" s="64">
        <f>AA14*Inputs!$C$62</f>
        <v/>
      </c>
      <c r="AB32" s="64">
        <f>AB14*Inputs!$C$62</f>
        <v/>
      </c>
      <c r="AC32" s="64">
        <f>AC14*Inputs!$C$62</f>
        <v/>
      </c>
      <c r="AD32" s="64">
        <f>AD14*Inputs!$C$62</f>
        <v/>
      </c>
      <c r="AE32" s="64">
        <f>AE14*Inputs!$C$62</f>
        <v/>
      </c>
      <c r="AF32" s="64">
        <f>AF14*Inputs!$C$62</f>
        <v/>
      </c>
      <c r="AG32" s="64">
        <f>AG14*Inputs!$C$62</f>
        <v/>
      </c>
      <c r="AH32" s="64">
        <f>AH14*Inputs!$C$62</f>
        <v/>
      </c>
      <c r="AI32" s="64">
        <f>AI14*Inputs!$C$62</f>
        <v/>
      </c>
      <c r="AJ32" s="64">
        <f>AJ14*Inputs!$C$62</f>
        <v/>
      </c>
      <c r="AK32" s="64">
        <f>AK14*Inputs!$C$62</f>
        <v/>
      </c>
      <c r="AL32" s="64">
        <f>AL14*Inputs!$C$62</f>
        <v/>
      </c>
      <c r="AM32" s="64">
        <f>AM14*Inputs!$C$62</f>
        <v/>
      </c>
      <c r="AN32" s="64">
        <f>AN14*Inputs!$C$62</f>
        <v/>
      </c>
      <c r="AO32" s="64">
        <f>AO14*Inputs!$C$62</f>
        <v/>
      </c>
      <c r="AP32" s="64">
        <f>AP14*Inputs!$C$62</f>
        <v/>
      </c>
      <c r="AQ32" s="64">
        <f>AQ14*Inputs!$C$62</f>
        <v/>
      </c>
      <c r="AR32" s="64">
        <f>AR14*Inputs!$C$62</f>
        <v/>
      </c>
      <c r="AS32" s="64">
        <f>AS14*Inputs!$C$62</f>
        <v/>
      </c>
      <c r="AT32" s="64">
        <f>AT14*Inputs!$C$62</f>
        <v/>
      </c>
      <c r="AU32" s="64">
        <f>AU14*Inputs!$C$62</f>
        <v/>
      </c>
      <c r="AV32" s="64">
        <f>AV14*Inputs!$C$62</f>
        <v/>
      </c>
      <c r="AW32" s="64">
        <f>AW14*Inputs!$C$62</f>
        <v/>
      </c>
      <c r="AX32" s="64">
        <f>AX14*Inputs!$C$62</f>
        <v/>
      </c>
      <c r="AY32" s="64">
        <f>AY14*Inputs!$C$62</f>
        <v/>
      </c>
      <c r="AZ32" s="64">
        <f>AZ14*Inputs!$C$62</f>
        <v/>
      </c>
      <c r="BA32" s="64">
        <f>BA14*Inputs!$C$62</f>
        <v/>
      </c>
      <c r="BB32" s="64">
        <f>BB14*Inputs!$C$62</f>
        <v/>
      </c>
      <c r="BC32" s="64">
        <f>BC14*Inputs!$C$62</f>
        <v/>
      </c>
      <c r="BD32" s="64">
        <f>BD14*Inputs!$C$62</f>
        <v/>
      </c>
      <c r="BE32" s="64">
        <f>BE14*Inputs!$C$62</f>
        <v/>
      </c>
      <c r="BF32" s="64">
        <f>BF14*Inputs!$C$62</f>
        <v/>
      </c>
      <c r="BG32" s="64">
        <f>BG14*Inputs!$C$62</f>
        <v/>
      </c>
      <c r="BH32" s="64">
        <f>BH14*Inputs!$C$62</f>
        <v/>
      </c>
      <c r="BI32" s="64">
        <f>BI14*Inputs!$C$62</f>
        <v/>
      </c>
      <c r="BJ32" s="64">
        <f>BJ14*Inputs!$C$62</f>
        <v/>
      </c>
      <c r="BK32" s="64">
        <f>BK14*Inputs!$C$62</f>
        <v/>
      </c>
    </row>
    <row r="33">
      <c r="B33" s="61" t="inlineStr">
        <is>
          <t xml:space="preserve">   Preventive Care variable cost</t>
        </is>
      </c>
      <c r="C33" s="92" t="inlineStr">
        <is>
          <t>EUR</t>
        </is>
      </c>
      <c r="D33" s="64">
        <f>D14*D20*Inputs!$C$52</f>
        <v/>
      </c>
      <c r="E33" s="64">
        <f>E14*E20*Inputs!$C$52</f>
        <v/>
      </c>
      <c r="F33" s="64">
        <f>F14*F20*Inputs!$C$52</f>
        <v/>
      </c>
      <c r="G33" s="64">
        <f>G14*G20*Inputs!$C$52</f>
        <v/>
      </c>
      <c r="H33" s="64">
        <f>H14*H20*Inputs!$C$52</f>
        <v/>
      </c>
      <c r="I33" s="64">
        <f>I14*I20*Inputs!$C$52</f>
        <v/>
      </c>
      <c r="J33" s="64">
        <f>J14*J20*Inputs!$C$52</f>
        <v/>
      </c>
      <c r="K33" s="64">
        <f>K14*K20*Inputs!$C$52</f>
        <v/>
      </c>
      <c r="L33" s="64">
        <f>L14*L20*Inputs!$C$52</f>
        <v/>
      </c>
      <c r="M33" s="64">
        <f>M14*M20*Inputs!$C$52</f>
        <v/>
      </c>
      <c r="N33" s="64">
        <f>N14*N20*Inputs!$C$52</f>
        <v/>
      </c>
      <c r="O33" s="64">
        <f>O14*O20*Inputs!$C$52</f>
        <v/>
      </c>
      <c r="P33" s="64">
        <f>P14*P20*Inputs!$C$52</f>
        <v/>
      </c>
      <c r="Q33" s="64">
        <f>Q14*Q20*Inputs!$C$52</f>
        <v/>
      </c>
      <c r="R33" s="64">
        <f>R14*R20*Inputs!$C$52</f>
        <v/>
      </c>
      <c r="S33" s="64">
        <f>S14*S20*Inputs!$C$52</f>
        <v/>
      </c>
      <c r="T33" s="64">
        <f>T14*T20*Inputs!$C$52</f>
        <v/>
      </c>
      <c r="U33" s="64">
        <f>U14*U20*Inputs!$C$52</f>
        <v/>
      </c>
      <c r="V33" s="64">
        <f>V14*V20*Inputs!$C$52</f>
        <v/>
      </c>
      <c r="W33" s="64">
        <f>W14*W20*Inputs!$C$52</f>
        <v/>
      </c>
      <c r="X33" s="64">
        <f>X14*X20*Inputs!$C$52</f>
        <v/>
      </c>
      <c r="Y33" s="64">
        <f>Y14*Y20*Inputs!$C$52</f>
        <v/>
      </c>
      <c r="Z33" s="64">
        <f>Z14*Z20*Inputs!$C$52</f>
        <v/>
      </c>
      <c r="AA33" s="64">
        <f>AA14*AA20*Inputs!$C$52</f>
        <v/>
      </c>
      <c r="AB33" s="64">
        <f>AB14*AB20*Inputs!$C$52</f>
        <v/>
      </c>
      <c r="AC33" s="64">
        <f>AC14*AC20*Inputs!$C$52</f>
        <v/>
      </c>
      <c r="AD33" s="64">
        <f>AD14*AD20*Inputs!$C$52</f>
        <v/>
      </c>
      <c r="AE33" s="64">
        <f>AE14*AE20*Inputs!$C$52</f>
        <v/>
      </c>
      <c r="AF33" s="64">
        <f>AF14*AF20*Inputs!$C$52</f>
        <v/>
      </c>
      <c r="AG33" s="64">
        <f>AG14*AG20*Inputs!$C$52</f>
        <v/>
      </c>
      <c r="AH33" s="64">
        <f>AH14*AH20*Inputs!$C$52</f>
        <v/>
      </c>
      <c r="AI33" s="64">
        <f>AI14*AI20*Inputs!$C$52</f>
        <v/>
      </c>
      <c r="AJ33" s="64">
        <f>AJ14*AJ20*Inputs!$C$52</f>
        <v/>
      </c>
      <c r="AK33" s="64">
        <f>AK14*AK20*Inputs!$C$52</f>
        <v/>
      </c>
      <c r="AL33" s="64">
        <f>AL14*AL20*Inputs!$C$52</f>
        <v/>
      </c>
      <c r="AM33" s="64">
        <f>AM14*AM20*Inputs!$C$52</f>
        <v/>
      </c>
      <c r="AN33" s="64">
        <f>AN14*AN20*Inputs!$C$52</f>
        <v/>
      </c>
      <c r="AO33" s="64">
        <f>AO14*AO20*Inputs!$C$52</f>
        <v/>
      </c>
      <c r="AP33" s="64">
        <f>AP14*AP20*Inputs!$C$52</f>
        <v/>
      </c>
      <c r="AQ33" s="64">
        <f>AQ14*AQ20*Inputs!$C$52</f>
        <v/>
      </c>
      <c r="AR33" s="64">
        <f>AR14*AR20*Inputs!$C$52</f>
        <v/>
      </c>
      <c r="AS33" s="64">
        <f>AS14*AS20*Inputs!$C$52</f>
        <v/>
      </c>
      <c r="AT33" s="64">
        <f>AT14*AT20*Inputs!$C$52</f>
        <v/>
      </c>
      <c r="AU33" s="64">
        <f>AU14*AU20*Inputs!$C$52</f>
        <v/>
      </c>
      <c r="AV33" s="64">
        <f>AV14*AV20*Inputs!$C$52</f>
        <v/>
      </c>
      <c r="AW33" s="64">
        <f>AW14*AW20*Inputs!$C$52</f>
        <v/>
      </c>
      <c r="AX33" s="64">
        <f>AX14*AX20*Inputs!$C$52</f>
        <v/>
      </c>
      <c r="AY33" s="64">
        <f>AY14*AY20*Inputs!$C$52</f>
        <v/>
      </c>
      <c r="AZ33" s="64">
        <f>AZ14*AZ20*Inputs!$C$52</f>
        <v/>
      </c>
      <c r="BA33" s="64">
        <f>BA14*BA20*Inputs!$C$52</f>
        <v/>
      </c>
      <c r="BB33" s="64">
        <f>BB14*BB20*Inputs!$C$52</f>
        <v/>
      </c>
      <c r="BC33" s="64">
        <f>BC14*BC20*Inputs!$C$52</f>
        <v/>
      </c>
      <c r="BD33" s="64">
        <f>BD14*BD20*Inputs!$C$52</f>
        <v/>
      </c>
      <c r="BE33" s="64">
        <f>BE14*BE20*Inputs!$C$52</f>
        <v/>
      </c>
      <c r="BF33" s="64">
        <f>BF14*BF20*Inputs!$C$52</f>
        <v/>
      </c>
      <c r="BG33" s="64">
        <f>BG14*BG20*Inputs!$C$52</f>
        <v/>
      </c>
      <c r="BH33" s="64">
        <f>BH14*BH20*Inputs!$C$52</f>
        <v/>
      </c>
      <c r="BI33" s="64">
        <f>BI14*BI20*Inputs!$C$52</f>
        <v/>
      </c>
      <c r="BJ33" s="64">
        <f>BJ14*BJ20*Inputs!$C$52</f>
        <v/>
      </c>
      <c r="BK33" s="64">
        <f>BK14*BK20*Inputs!$C$52</f>
        <v/>
      </c>
    </row>
    <row r="34">
      <c r="B34" s="65" t="inlineStr">
        <is>
          <t>Total cost of service</t>
        </is>
      </c>
      <c r="C34" s="92" t="inlineStr">
        <is>
          <t>EUR</t>
        </is>
      </c>
      <c r="D34" s="66">
        <f>SUM(D30:D33)</f>
        <v/>
      </c>
      <c r="E34" s="66">
        <f>SUM(E30:E33)</f>
        <v/>
      </c>
      <c r="F34" s="66">
        <f>SUM(F30:F33)</f>
        <v/>
      </c>
      <c r="G34" s="66">
        <f>SUM(G30:G33)</f>
        <v/>
      </c>
      <c r="H34" s="66">
        <f>SUM(H30:H33)</f>
        <v/>
      </c>
      <c r="I34" s="66">
        <f>SUM(I30:I33)</f>
        <v/>
      </c>
      <c r="J34" s="66">
        <f>SUM(J30:J33)</f>
        <v/>
      </c>
      <c r="K34" s="66">
        <f>SUM(K30:K33)</f>
        <v/>
      </c>
      <c r="L34" s="66">
        <f>SUM(L30:L33)</f>
        <v/>
      </c>
      <c r="M34" s="66">
        <f>SUM(M30:M33)</f>
        <v/>
      </c>
      <c r="N34" s="66">
        <f>SUM(N30:N33)</f>
        <v/>
      </c>
      <c r="O34" s="66">
        <f>SUM(O30:O33)</f>
        <v/>
      </c>
      <c r="P34" s="66">
        <f>SUM(P30:P33)</f>
        <v/>
      </c>
      <c r="Q34" s="66">
        <f>SUM(Q30:Q33)</f>
        <v/>
      </c>
      <c r="R34" s="66">
        <f>SUM(R30:R33)</f>
        <v/>
      </c>
      <c r="S34" s="66">
        <f>SUM(S30:S33)</f>
        <v/>
      </c>
      <c r="T34" s="66">
        <f>SUM(T30:T33)</f>
        <v/>
      </c>
      <c r="U34" s="66">
        <f>SUM(U30:U33)</f>
        <v/>
      </c>
      <c r="V34" s="66">
        <f>SUM(V30:V33)</f>
        <v/>
      </c>
      <c r="W34" s="66">
        <f>SUM(W30:W33)</f>
        <v/>
      </c>
      <c r="X34" s="66">
        <f>SUM(X30:X33)</f>
        <v/>
      </c>
      <c r="Y34" s="66">
        <f>SUM(Y30:Y33)</f>
        <v/>
      </c>
      <c r="Z34" s="66">
        <f>SUM(Z30:Z33)</f>
        <v/>
      </c>
      <c r="AA34" s="66">
        <f>SUM(AA30:AA33)</f>
        <v/>
      </c>
      <c r="AB34" s="66">
        <f>SUM(AB30:AB33)</f>
        <v/>
      </c>
      <c r="AC34" s="66">
        <f>SUM(AC30:AC33)</f>
        <v/>
      </c>
      <c r="AD34" s="66">
        <f>SUM(AD30:AD33)</f>
        <v/>
      </c>
      <c r="AE34" s="66">
        <f>SUM(AE30:AE33)</f>
        <v/>
      </c>
      <c r="AF34" s="66">
        <f>SUM(AF30:AF33)</f>
        <v/>
      </c>
      <c r="AG34" s="66">
        <f>SUM(AG30:AG33)</f>
        <v/>
      </c>
      <c r="AH34" s="66">
        <f>SUM(AH30:AH33)</f>
        <v/>
      </c>
      <c r="AI34" s="66">
        <f>SUM(AI30:AI33)</f>
        <v/>
      </c>
      <c r="AJ34" s="66">
        <f>SUM(AJ30:AJ33)</f>
        <v/>
      </c>
      <c r="AK34" s="66">
        <f>SUM(AK30:AK33)</f>
        <v/>
      </c>
      <c r="AL34" s="66">
        <f>SUM(AL30:AL33)</f>
        <v/>
      </c>
      <c r="AM34" s="66">
        <f>SUM(AM30:AM33)</f>
        <v/>
      </c>
      <c r="AN34" s="66">
        <f>SUM(AN30:AN33)</f>
        <v/>
      </c>
      <c r="AO34" s="66">
        <f>SUM(AO30:AO33)</f>
        <v/>
      </c>
      <c r="AP34" s="66">
        <f>SUM(AP30:AP33)</f>
        <v/>
      </c>
      <c r="AQ34" s="66">
        <f>SUM(AQ30:AQ33)</f>
        <v/>
      </c>
      <c r="AR34" s="66">
        <f>SUM(AR30:AR33)</f>
        <v/>
      </c>
      <c r="AS34" s="66">
        <f>SUM(AS30:AS33)</f>
        <v/>
      </c>
      <c r="AT34" s="66">
        <f>SUM(AT30:AT33)</f>
        <v/>
      </c>
      <c r="AU34" s="66">
        <f>SUM(AU30:AU33)</f>
        <v/>
      </c>
      <c r="AV34" s="66">
        <f>SUM(AV30:AV33)</f>
        <v/>
      </c>
      <c r="AW34" s="66">
        <f>SUM(AW30:AW33)</f>
        <v/>
      </c>
      <c r="AX34" s="66">
        <f>SUM(AX30:AX33)</f>
        <v/>
      </c>
      <c r="AY34" s="66">
        <f>SUM(AY30:AY33)</f>
        <v/>
      </c>
      <c r="AZ34" s="66">
        <f>SUM(AZ30:AZ33)</f>
        <v/>
      </c>
      <c r="BA34" s="66">
        <f>SUM(BA30:BA33)</f>
        <v/>
      </c>
      <c r="BB34" s="66">
        <f>SUM(BB30:BB33)</f>
        <v/>
      </c>
      <c r="BC34" s="66">
        <f>SUM(BC30:BC33)</f>
        <v/>
      </c>
      <c r="BD34" s="66">
        <f>SUM(BD30:BD33)</f>
        <v/>
      </c>
      <c r="BE34" s="66">
        <f>SUM(BE30:BE33)</f>
        <v/>
      </c>
      <c r="BF34" s="66">
        <f>SUM(BF30:BF33)</f>
        <v/>
      </c>
      <c r="BG34" s="66">
        <f>SUM(BG30:BG33)</f>
        <v/>
      </c>
      <c r="BH34" s="66">
        <f>SUM(BH30:BH33)</f>
        <v/>
      </c>
      <c r="BI34" s="66">
        <f>SUM(BI30:BI33)</f>
        <v/>
      </c>
      <c r="BJ34" s="66">
        <f>SUM(BJ30:BJ33)</f>
        <v/>
      </c>
      <c r="BK34" s="66">
        <f>SUM(BK30:BK33)</f>
        <v/>
      </c>
    </row>
    <row r="35">
      <c r="B35" s="69" t="inlineStr">
        <is>
          <t>Gross profit</t>
        </is>
      </c>
      <c r="C35" s="98" t="inlineStr">
        <is>
          <t>EUR</t>
        </is>
      </c>
      <c r="D35" s="71">
        <f>D26-D34</f>
        <v/>
      </c>
      <c r="E35" s="71">
        <f>E26-E34</f>
        <v/>
      </c>
      <c r="F35" s="71">
        <f>F26-F34</f>
        <v/>
      </c>
      <c r="G35" s="71">
        <f>G26-G34</f>
        <v/>
      </c>
      <c r="H35" s="71">
        <f>H26-H34</f>
        <v/>
      </c>
      <c r="I35" s="71">
        <f>I26-I34</f>
        <v/>
      </c>
      <c r="J35" s="71">
        <f>J26-J34</f>
        <v/>
      </c>
      <c r="K35" s="71">
        <f>K26-K34</f>
        <v/>
      </c>
      <c r="L35" s="71">
        <f>L26-L34</f>
        <v/>
      </c>
      <c r="M35" s="71">
        <f>M26-M34</f>
        <v/>
      </c>
      <c r="N35" s="71">
        <f>N26-N34</f>
        <v/>
      </c>
      <c r="O35" s="71">
        <f>O26-O34</f>
        <v/>
      </c>
      <c r="P35" s="71">
        <f>P26-P34</f>
        <v/>
      </c>
      <c r="Q35" s="71">
        <f>Q26-Q34</f>
        <v/>
      </c>
      <c r="R35" s="71">
        <f>R26-R34</f>
        <v/>
      </c>
      <c r="S35" s="71">
        <f>S26-S34</f>
        <v/>
      </c>
      <c r="T35" s="71">
        <f>T26-T34</f>
        <v/>
      </c>
      <c r="U35" s="71">
        <f>U26-U34</f>
        <v/>
      </c>
      <c r="V35" s="71">
        <f>V26-V34</f>
        <v/>
      </c>
      <c r="W35" s="71">
        <f>W26-W34</f>
        <v/>
      </c>
      <c r="X35" s="71">
        <f>X26-X34</f>
        <v/>
      </c>
      <c r="Y35" s="71">
        <f>Y26-Y34</f>
        <v/>
      </c>
      <c r="Z35" s="71">
        <f>Z26-Z34</f>
        <v/>
      </c>
      <c r="AA35" s="71">
        <f>AA26-AA34</f>
        <v/>
      </c>
      <c r="AB35" s="71">
        <f>AB26-AB34</f>
        <v/>
      </c>
      <c r="AC35" s="71">
        <f>AC26-AC34</f>
        <v/>
      </c>
      <c r="AD35" s="71">
        <f>AD26-AD34</f>
        <v/>
      </c>
      <c r="AE35" s="71">
        <f>AE26-AE34</f>
        <v/>
      </c>
      <c r="AF35" s="71">
        <f>AF26-AF34</f>
        <v/>
      </c>
      <c r="AG35" s="71">
        <f>AG26-AG34</f>
        <v/>
      </c>
      <c r="AH35" s="71">
        <f>AH26-AH34</f>
        <v/>
      </c>
      <c r="AI35" s="71">
        <f>AI26-AI34</f>
        <v/>
      </c>
      <c r="AJ35" s="71">
        <f>AJ26-AJ34</f>
        <v/>
      </c>
      <c r="AK35" s="71">
        <f>AK26-AK34</f>
        <v/>
      </c>
      <c r="AL35" s="71">
        <f>AL26-AL34</f>
        <v/>
      </c>
      <c r="AM35" s="71">
        <f>AM26-AM34</f>
        <v/>
      </c>
      <c r="AN35" s="71">
        <f>AN26-AN34</f>
        <v/>
      </c>
      <c r="AO35" s="71">
        <f>AO26-AO34</f>
        <v/>
      </c>
      <c r="AP35" s="71">
        <f>AP26-AP34</f>
        <v/>
      </c>
      <c r="AQ35" s="71">
        <f>AQ26-AQ34</f>
        <v/>
      </c>
      <c r="AR35" s="71">
        <f>AR26-AR34</f>
        <v/>
      </c>
      <c r="AS35" s="71">
        <f>AS26-AS34</f>
        <v/>
      </c>
      <c r="AT35" s="71">
        <f>AT26-AT34</f>
        <v/>
      </c>
      <c r="AU35" s="71">
        <f>AU26-AU34</f>
        <v/>
      </c>
      <c r="AV35" s="71">
        <f>AV26-AV34</f>
        <v/>
      </c>
      <c r="AW35" s="71">
        <f>AW26-AW34</f>
        <v/>
      </c>
      <c r="AX35" s="71">
        <f>AX26-AX34</f>
        <v/>
      </c>
      <c r="AY35" s="71">
        <f>AY26-AY34</f>
        <v/>
      </c>
      <c r="AZ35" s="71">
        <f>AZ26-AZ34</f>
        <v/>
      </c>
      <c r="BA35" s="71">
        <f>BA26-BA34</f>
        <v/>
      </c>
      <c r="BB35" s="71">
        <f>BB26-BB34</f>
        <v/>
      </c>
      <c r="BC35" s="71">
        <f>BC26-BC34</f>
        <v/>
      </c>
      <c r="BD35" s="71">
        <f>BD26-BD34</f>
        <v/>
      </c>
      <c r="BE35" s="71">
        <f>BE26-BE34</f>
        <v/>
      </c>
      <c r="BF35" s="71">
        <f>BF26-BF34</f>
        <v/>
      </c>
      <c r="BG35" s="71">
        <f>BG26-BG34</f>
        <v/>
      </c>
      <c r="BH35" s="71">
        <f>BH26-BH34</f>
        <v/>
      </c>
      <c r="BI35" s="71">
        <f>BI26-BI34</f>
        <v/>
      </c>
      <c r="BJ35" s="71">
        <f>BJ26-BJ34</f>
        <v/>
      </c>
      <c r="BK35" s="71">
        <f>BK26-BK34</f>
        <v/>
      </c>
    </row>
    <row r="36">
      <c r="B36" s="61" t="inlineStr">
        <is>
          <t>Gross margin</t>
        </is>
      </c>
      <c r="C36" s="92" t="inlineStr">
        <is>
          <t>%</t>
        </is>
      </c>
      <c r="D36" s="68">
        <f>IFERROR(D35/D26,0)</f>
        <v/>
      </c>
      <c r="E36" s="68">
        <f>IFERROR(E35/E26,0)</f>
        <v/>
      </c>
      <c r="F36" s="68">
        <f>IFERROR(F35/F26,0)</f>
        <v/>
      </c>
      <c r="G36" s="68">
        <f>IFERROR(G35/G26,0)</f>
        <v/>
      </c>
      <c r="H36" s="68">
        <f>IFERROR(H35/H26,0)</f>
        <v/>
      </c>
      <c r="I36" s="68">
        <f>IFERROR(I35/I26,0)</f>
        <v/>
      </c>
      <c r="J36" s="68">
        <f>IFERROR(J35/J26,0)</f>
        <v/>
      </c>
      <c r="K36" s="68">
        <f>IFERROR(K35/K26,0)</f>
        <v/>
      </c>
      <c r="L36" s="68">
        <f>IFERROR(L35/L26,0)</f>
        <v/>
      </c>
      <c r="M36" s="68">
        <f>IFERROR(M35/M26,0)</f>
        <v/>
      </c>
      <c r="N36" s="68">
        <f>IFERROR(N35/N26,0)</f>
        <v/>
      </c>
      <c r="O36" s="68">
        <f>IFERROR(O35/O26,0)</f>
        <v/>
      </c>
      <c r="P36" s="68">
        <f>IFERROR(P35/P26,0)</f>
        <v/>
      </c>
      <c r="Q36" s="68">
        <f>IFERROR(Q35/Q26,0)</f>
        <v/>
      </c>
      <c r="R36" s="68">
        <f>IFERROR(R35/R26,0)</f>
        <v/>
      </c>
      <c r="S36" s="68">
        <f>IFERROR(S35/S26,0)</f>
        <v/>
      </c>
      <c r="T36" s="68">
        <f>IFERROR(T35/T26,0)</f>
        <v/>
      </c>
      <c r="U36" s="68">
        <f>IFERROR(U35/U26,0)</f>
        <v/>
      </c>
      <c r="V36" s="68">
        <f>IFERROR(V35/V26,0)</f>
        <v/>
      </c>
      <c r="W36" s="68">
        <f>IFERROR(W35/W26,0)</f>
        <v/>
      </c>
      <c r="X36" s="68">
        <f>IFERROR(X35/X26,0)</f>
        <v/>
      </c>
      <c r="Y36" s="68">
        <f>IFERROR(Y35/Y26,0)</f>
        <v/>
      </c>
      <c r="Z36" s="68">
        <f>IFERROR(Z35/Z26,0)</f>
        <v/>
      </c>
      <c r="AA36" s="68">
        <f>IFERROR(AA35/AA26,0)</f>
        <v/>
      </c>
      <c r="AB36" s="68">
        <f>IFERROR(AB35/AB26,0)</f>
        <v/>
      </c>
      <c r="AC36" s="68">
        <f>IFERROR(AC35/AC26,0)</f>
        <v/>
      </c>
      <c r="AD36" s="68">
        <f>IFERROR(AD35/AD26,0)</f>
        <v/>
      </c>
      <c r="AE36" s="68">
        <f>IFERROR(AE35/AE26,0)</f>
        <v/>
      </c>
      <c r="AF36" s="68">
        <f>IFERROR(AF35/AF26,0)</f>
        <v/>
      </c>
      <c r="AG36" s="68">
        <f>IFERROR(AG35/AG26,0)</f>
        <v/>
      </c>
      <c r="AH36" s="68">
        <f>IFERROR(AH35/AH26,0)</f>
        <v/>
      </c>
      <c r="AI36" s="68">
        <f>IFERROR(AI35/AI26,0)</f>
        <v/>
      </c>
      <c r="AJ36" s="68">
        <f>IFERROR(AJ35/AJ26,0)</f>
        <v/>
      </c>
      <c r="AK36" s="68">
        <f>IFERROR(AK35/AK26,0)</f>
        <v/>
      </c>
      <c r="AL36" s="68">
        <f>IFERROR(AL35/AL26,0)</f>
        <v/>
      </c>
      <c r="AM36" s="68">
        <f>IFERROR(AM35/AM26,0)</f>
        <v/>
      </c>
      <c r="AN36" s="68">
        <f>IFERROR(AN35/AN26,0)</f>
        <v/>
      </c>
      <c r="AO36" s="68">
        <f>IFERROR(AO35/AO26,0)</f>
        <v/>
      </c>
      <c r="AP36" s="68">
        <f>IFERROR(AP35/AP26,0)</f>
        <v/>
      </c>
      <c r="AQ36" s="68">
        <f>IFERROR(AQ35/AQ26,0)</f>
        <v/>
      </c>
      <c r="AR36" s="68">
        <f>IFERROR(AR35/AR26,0)</f>
        <v/>
      </c>
      <c r="AS36" s="68">
        <f>IFERROR(AS35/AS26,0)</f>
        <v/>
      </c>
      <c r="AT36" s="68">
        <f>IFERROR(AT35/AT26,0)</f>
        <v/>
      </c>
      <c r="AU36" s="68">
        <f>IFERROR(AU35/AU26,0)</f>
        <v/>
      </c>
      <c r="AV36" s="68">
        <f>IFERROR(AV35/AV26,0)</f>
        <v/>
      </c>
      <c r="AW36" s="68">
        <f>IFERROR(AW35/AW26,0)</f>
        <v/>
      </c>
      <c r="AX36" s="68">
        <f>IFERROR(AX35/AX26,0)</f>
        <v/>
      </c>
      <c r="AY36" s="68">
        <f>IFERROR(AY35/AY26,0)</f>
        <v/>
      </c>
      <c r="AZ36" s="68">
        <f>IFERROR(AZ35/AZ26,0)</f>
        <v/>
      </c>
      <c r="BA36" s="68">
        <f>IFERROR(BA35/BA26,0)</f>
        <v/>
      </c>
      <c r="BB36" s="68">
        <f>IFERROR(BB35/BB26,0)</f>
        <v/>
      </c>
      <c r="BC36" s="68">
        <f>IFERROR(BC35/BC26,0)</f>
        <v/>
      </c>
      <c r="BD36" s="68">
        <f>IFERROR(BD35/BD26,0)</f>
        <v/>
      </c>
      <c r="BE36" s="68">
        <f>IFERROR(BE35/BE26,0)</f>
        <v/>
      </c>
      <c r="BF36" s="68">
        <f>IFERROR(BF35/BF26,0)</f>
        <v/>
      </c>
      <c r="BG36" s="68">
        <f>IFERROR(BG35/BG26,0)</f>
        <v/>
      </c>
      <c r="BH36" s="68">
        <f>IFERROR(BH35/BH26,0)</f>
        <v/>
      </c>
      <c r="BI36" s="68">
        <f>IFERROR(BI35/BI26,0)</f>
        <v/>
      </c>
      <c r="BJ36" s="68">
        <f>IFERROR(BJ35/BJ26,0)</f>
        <v/>
      </c>
      <c r="BK36" s="68">
        <f>IFERROR(BK35/BK26,0)</f>
        <v/>
      </c>
    </row>
    <row r="38">
      <c r="B38" s="23" t="inlineStr">
        <is>
          <t>CUSTOMER ACQUISITION  (EUR)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</row>
    <row r="39">
      <c r="B39" s="61" t="inlineStr">
        <is>
          <t>Cost per acquired customer</t>
        </is>
      </c>
      <c r="C39" s="92" t="inlineStr">
        <is>
          <t>EUR</t>
        </is>
      </c>
      <c r="D39" s="67">
        <f>IF(D7=0,0,INDEX(Inputs!$C$68:$G$68,1,D7)*Inputs!$C$70)</f>
        <v/>
      </c>
      <c r="E39" s="67">
        <f>IF(E7=0,0,INDEX(Inputs!$C$68:$G$68,1,E7)*Inputs!$C$70)</f>
        <v/>
      </c>
      <c r="F39" s="67">
        <f>IF(F7=0,0,INDEX(Inputs!$C$68:$G$68,1,F7)*Inputs!$C$70)</f>
        <v/>
      </c>
      <c r="G39" s="67">
        <f>IF(G7=0,0,INDEX(Inputs!$C$68:$G$68,1,G7)*Inputs!$C$70)</f>
        <v/>
      </c>
      <c r="H39" s="67">
        <f>IF(H7=0,0,INDEX(Inputs!$C$68:$G$68,1,H7)*Inputs!$C$70)</f>
        <v/>
      </c>
      <c r="I39" s="67">
        <f>IF(I7=0,0,INDEX(Inputs!$C$68:$G$68,1,I7)*Inputs!$C$70)</f>
        <v/>
      </c>
      <c r="J39" s="67">
        <f>IF(J7=0,0,INDEX(Inputs!$C$68:$G$68,1,J7)*Inputs!$C$70)</f>
        <v/>
      </c>
      <c r="K39" s="67">
        <f>IF(K7=0,0,INDEX(Inputs!$C$68:$G$68,1,K7)*Inputs!$C$70)</f>
        <v/>
      </c>
      <c r="L39" s="67">
        <f>IF(L7=0,0,INDEX(Inputs!$C$68:$G$68,1,L7)*Inputs!$C$70)</f>
        <v/>
      </c>
      <c r="M39" s="67">
        <f>IF(M7=0,0,INDEX(Inputs!$C$68:$G$68,1,M7)*Inputs!$C$70)</f>
        <v/>
      </c>
      <c r="N39" s="67">
        <f>IF(N7=0,0,INDEX(Inputs!$C$68:$G$68,1,N7)*Inputs!$C$70)</f>
        <v/>
      </c>
      <c r="O39" s="67">
        <f>IF(O7=0,0,INDEX(Inputs!$C$68:$G$68,1,O7)*Inputs!$C$70)</f>
        <v/>
      </c>
      <c r="P39" s="67">
        <f>IF(P7=0,0,INDEX(Inputs!$C$68:$G$68,1,P7)*Inputs!$C$70)</f>
        <v/>
      </c>
      <c r="Q39" s="67">
        <f>IF(Q7=0,0,INDEX(Inputs!$C$68:$G$68,1,Q7)*Inputs!$C$70)</f>
        <v/>
      </c>
      <c r="R39" s="67">
        <f>IF(R7=0,0,INDEX(Inputs!$C$68:$G$68,1,R7)*Inputs!$C$70)</f>
        <v/>
      </c>
      <c r="S39" s="67">
        <f>IF(S7=0,0,INDEX(Inputs!$C$68:$G$68,1,S7)*Inputs!$C$70)</f>
        <v/>
      </c>
      <c r="T39" s="67">
        <f>IF(T7=0,0,INDEX(Inputs!$C$68:$G$68,1,T7)*Inputs!$C$70)</f>
        <v/>
      </c>
      <c r="U39" s="67">
        <f>IF(U7=0,0,INDEX(Inputs!$C$68:$G$68,1,U7)*Inputs!$C$70)</f>
        <v/>
      </c>
      <c r="V39" s="67">
        <f>IF(V7=0,0,INDEX(Inputs!$C$68:$G$68,1,V7)*Inputs!$C$70)</f>
        <v/>
      </c>
      <c r="W39" s="67">
        <f>IF(W7=0,0,INDEX(Inputs!$C$68:$G$68,1,W7)*Inputs!$C$70)</f>
        <v/>
      </c>
      <c r="X39" s="67">
        <f>IF(X7=0,0,INDEX(Inputs!$C$68:$G$68,1,X7)*Inputs!$C$70)</f>
        <v/>
      </c>
      <c r="Y39" s="67">
        <f>IF(Y7=0,0,INDEX(Inputs!$C$68:$G$68,1,Y7)*Inputs!$C$70)</f>
        <v/>
      </c>
      <c r="Z39" s="67">
        <f>IF(Z7=0,0,INDEX(Inputs!$C$68:$G$68,1,Z7)*Inputs!$C$70)</f>
        <v/>
      </c>
      <c r="AA39" s="67">
        <f>IF(AA7=0,0,INDEX(Inputs!$C$68:$G$68,1,AA7)*Inputs!$C$70)</f>
        <v/>
      </c>
      <c r="AB39" s="67">
        <f>IF(AB7=0,0,INDEX(Inputs!$C$68:$G$68,1,AB7)*Inputs!$C$70)</f>
        <v/>
      </c>
      <c r="AC39" s="67">
        <f>IF(AC7=0,0,INDEX(Inputs!$C$68:$G$68,1,AC7)*Inputs!$C$70)</f>
        <v/>
      </c>
      <c r="AD39" s="67">
        <f>IF(AD7=0,0,INDEX(Inputs!$C$68:$G$68,1,AD7)*Inputs!$C$70)</f>
        <v/>
      </c>
      <c r="AE39" s="67">
        <f>IF(AE7=0,0,INDEX(Inputs!$C$68:$G$68,1,AE7)*Inputs!$C$70)</f>
        <v/>
      </c>
      <c r="AF39" s="67">
        <f>IF(AF7=0,0,INDEX(Inputs!$C$68:$G$68,1,AF7)*Inputs!$C$70)</f>
        <v/>
      </c>
      <c r="AG39" s="67">
        <f>IF(AG7=0,0,INDEX(Inputs!$C$68:$G$68,1,AG7)*Inputs!$C$70)</f>
        <v/>
      </c>
      <c r="AH39" s="67">
        <f>IF(AH7=0,0,INDEX(Inputs!$C$68:$G$68,1,AH7)*Inputs!$C$70)</f>
        <v/>
      </c>
      <c r="AI39" s="67">
        <f>IF(AI7=0,0,INDEX(Inputs!$C$68:$G$68,1,AI7)*Inputs!$C$70)</f>
        <v/>
      </c>
      <c r="AJ39" s="67">
        <f>IF(AJ7=0,0,INDEX(Inputs!$C$68:$G$68,1,AJ7)*Inputs!$C$70)</f>
        <v/>
      </c>
      <c r="AK39" s="67">
        <f>IF(AK7=0,0,INDEX(Inputs!$C$68:$G$68,1,AK7)*Inputs!$C$70)</f>
        <v/>
      </c>
      <c r="AL39" s="67">
        <f>IF(AL7=0,0,INDEX(Inputs!$C$68:$G$68,1,AL7)*Inputs!$C$70)</f>
        <v/>
      </c>
      <c r="AM39" s="67">
        <f>IF(AM7=0,0,INDEX(Inputs!$C$68:$G$68,1,AM7)*Inputs!$C$70)</f>
        <v/>
      </c>
      <c r="AN39" s="67">
        <f>IF(AN7=0,0,INDEX(Inputs!$C$68:$G$68,1,AN7)*Inputs!$C$70)</f>
        <v/>
      </c>
      <c r="AO39" s="67">
        <f>IF(AO7=0,0,INDEX(Inputs!$C$68:$G$68,1,AO7)*Inputs!$C$70)</f>
        <v/>
      </c>
      <c r="AP39" s="67">
        <f>IF(AP7=0,0,INDEX(Inputs!$C$68:$G$68,1,AP7)*Inputs!$C$70)</f>
        <v/>
      </c>
      <c r="AQ39" s="67">
        <f>IF(AQ7=0,0,INDEX(Inputs!$C$68:$G$68,1,AQ7)*Inputs!$C$70)</f>
        <v/>
      </c>
      <c r="AR39" s="67">
        <f>IF(AR7=0,0,INDEX(Inputs!$C$68:$G$68,1,AR7)*Inputs!$C$70)</f>
        <v/>
      </c>
      <c r="AS39" s="67">
        <f>IF(AS7=0,0,INDEX(Inputs!$C$68:$G$68,1,AS7)*Inputs!$C$70)</f>
        <v/>
      </c>
      <c r="AT39" s="67">
        <f>IF(AT7=0,0,INDEX(Inputs!$C$68:$G$68,1,AT7)*Inputs!$C$70)</f>
        <v/>
      </c>
      <c r="AU39" s="67">
        <f>IF(AU7=0,0,INDEX(Inputs!$C$68:$G$68,1,AU7)*Inputs!$C$70)</f>
        <v/>
      </c>
      <c r="AV39" s="67">
        <f>IF(AV7=0,0,INDEX(Inputs!$C$68:$G$68,1,AV7)*Inputs!$C$70)</f>
        <v/>
      </c>
      <c r="AW39" s="67">
        <f>IF(AW7=0,0,INDEX(Inputs!$C$68:$G$68,1,AW7)*Inputs!$C$70)</f>
        <v/>
      </c>
      <c r="AX39" s="67">
        <f>IF(AX7=0,0,INDEX(Inputs!$C$68:$G$68,1,AX7)*Inputs!$C$70)</f>
        <v/>
      </c>
      <c r="AY39" s="67">
        <f>IF(AY7=0,0,INDEX(Inputs!$C$68:$G$68,1,AY7)*Inputs!$C$70)</f>
        <v/>
      </c>
      <c r="AZ39" s="67">
        <f>IF(AZ7=0,0,INDEX(Inputs!$C$68:$G$68,1,AZ7)*Inputs!$C$70)</f>
        <v/>
      </c>
      <c r="BA39" s="67">
        <f>IF(BA7=0,0,INDEX(Inputs!$C$68:$G$68,1,BA7)*Inputs!$C$70)</f>
        <v/>
      </c>
      <c r="BB39" s="67">
        <f>IF(BB7=0,0,INDEX(Inputs!$C$68:$G$68,1,BB7)*Inputs!$C$70)</f>
        <v/>
      </c>
      <c r="BC39" s="67">
        <f>IF(BC7=0,0,INDEX(Inputs!$C$68:$G$68,1,BC7)*Inputs!$C$70)</f>
        <v/>
      </c>
      <c r="BD39" s="67">
        <f>IF(BD7=0,0,INDEX(Inputs!$C$68:$G$68,1,BD7)*Inputs!$C$70)</f>
        <v/>
      </c>
      <c r="BE39" s="67">
        <f>IF(BE7=0,0,INDEX(Inputs!$C$68:$G$68,1,BE7)*Inputs!$C$70)</f>
        <v/>
      </c>
      <c r="BF39" s="67">
        <f>IF(BF7=0,0,INDEX(Inputs!$C$68:$G$68,1,BF7)*Inputs!$C$70)</f>
        <v/>
      </c>
      <c r="BG39" s="67">
        <f>IF(BG7=0,0,INDEX(Inputs!$C$68:$G$68,1,BG7)*Inputs!$C$70)</f>
        <v/>
      </c>
      <c r="BH39" s="67">
        <f>IF(BH7=0,0,INDEX(Inputs!$C$68:$G$68,1,BH7)*Inputs!$C$70)</f>
        <v/>
      </c>
      <c r="BI39" s="67">
        <f>IF(BI7=0,0,INDEX(Inputs!$C$68:$G$68,1,BI7)*Inputs!$C$70)</f>
        <v/>
      </c>
      <c r="BJ39" s="67">
        <f>IF(BJ7=0,0,INDEX(Inputs!$C$68:$G$68,1,BJ7)*Inputs!$C$70)</f>
        <v/>
      </c>
      <c r="BK39" s="67">
        <f>IF(BK7=0,0,INDEX(Inputs!$C$68:$G$68,1,BK7)*Inputs!$C$70)</f>
        <v/>
      </c>
    </row>
    <row r="40">
      <c r="B40" s="61" t="inlineStr">
        <is>
          <t>Acquisition spend</t>
        </is>
      </c>
      <c r="C40" s="92" t="inlineStr">
        <is>
          <t>EUR</t>
        </is>
      </c>
      <c r="D40" s="64">
        <f>D11*D39</f>
        <v/>
      </c>
      <c r="E40" s="64">
        <f>E11*E39</f>
        <v/>
      </c>
      <c r="F40" s="64">
        <f>F11*F39</f>
        <v/>
      </c>
      <c r="G40" s="64">
        <f>G11*G39</f>
        <v/>
      </c>
      <c r="H40" s="64">
        <f>H11*H39</f>
        <v/>
      </c>
      <c r="I40" s="64">
        <f>I11*I39</f>
        <v/>
      </c>
      <c r="J40" s="64">
        <f>J11*J39</f>
        <v/>
      </c>
      <c r="K40" s="64">
        <f>K11*K39</f>
        <v/>
      </c>
      <c r="L40" s="64">
        <f>L11*L39</f>
        <v/>
      </c>
      <c r="M40" s="64">
        <f>M11*M39</f>
        <v/>
      </c>
      <c r="N40" s="64">
        <f>N11*N39</f>
        <v/>
      </c>
      <c r="O40" s="64">
        <f>O11*O39</f>
        <v/>
      </c>
      <c r="P40" s="64">
        <f>P11*P39</f>
        <v/>
      </c>
      <c r="Q40" s="64">
        <f>Q11*Q39</f>
        <v/>
      </c>
      <c r="R40" s="64">
        <f>R11*R39</f>
        <v/>
      </c>
      <c r="S40" s="64">
        <f>S11*S39</f>
        <v/>
      </c>
      <c r="T40" s="64">
        <f>T11*T39</f>
        <v/>
      </c>
      <c r="U40" s="64">
        <f>U11*U39</f>
        <v/>
      </c>
      <c r="V40" s="64">
        <f>V11*V39</f>
        <v/>
      </c>
      <c r="W40" s="64">
        <f>W11*W39</f>
        <v/>
      </c>
      <c r="X40" s="64">
        <f>X11*X39</f>
        <v/>
      </c>
      <c r="Y40" s="64">
        <f>Y11*Y39</f>
        <v/>
      </c>
      <c r="Z40" s="64">
        <f>Z11*Z39</f>
        <v/>
      </c>
      <c r="AA40" s="64">
        <f>AA11*AA39</f>
        <v/>
      </c>
      <c r="AB40" s="64">
        <f>AB11*AB39</f>
        <v/>
      </c>
      <c r="AC40" s="64">
        <f>AC11*AC39</f>
        <v/>
      </c>
      <c r="AD40" s="64">
        <f>AD11*AD39</f>
        <v/>
      </c>
      <c r="AE40" s="64">
        <f>AE11*AE39</f>
        <v/>
      </c>
      <c r="AF40" s="64">
        <f>AF11*AF39</f>
        <v/>
      </c>
      <c r="AG40" s="64">
        <f>AG11*AG39</f>
        <v/>
      </c>
      <c r="AH40" s="64">
        <f>AH11*AH39</f>
        <v/>
      </c>
      <c r="AI40" s="64">
        <f>AI11*AI39</f>
        <v/>
      </c>
      <c r="AJ40" s="64">
        <f>AJ11*AJ39</f>
        <v/>
      </c>
      <c r="AK40" s="64">
        <f>AK11*AK39</f>
        <v/>
      </c>
      <c r="AL40" s="64">
        <f>AL11*AL39</f>
        <v/>
      </c>
      <c r="AM40" s="64">
        <f>AM11*AM39</f>
        <v/>
      </c>
      <c r="AN40" s="64">
        <f>AN11*AN39</f>
        <v/>
      </c>
      <c r="AO40" s="64">
        <f>AO11*AO39</f>
        <v/>
      </c>
      <c r="AP40" s="64">
        <f>AP11*AP39</f>
        <v/>
      </c>
      <c r="AQ40" s="64">
        <f>AQ11*AQ39</f>
        <v/>
      </c>
      <c r="AR40" s="64">
        <f>AR11*AR39</f>
        <v/>
      </c>
      <c r="AS40" s="64">
        <f>AS11*AS39</f>
        <v/>
      </c>
      <c r="AT40" s="64">
        <f>AT11*AT39</f>
        <v/>
      </c>
      <c r="AU40" s="64">
        <f>AU11*AU39</f>
        <v/>
      </c>
      <c r="AV40" s="64">
        <f>AV11*AV39</f>
        <v/>
      </c>
      <c r="AW40" s="64">
        <f>AW11*AW39</f>
        <v/>
      </c>
      <c r="AX40" s="64">
        <f>AX11*AX39</f>
        <v/>
      </c>
      <c r="AY40" s="64">
        <f>AY11*AY39</f>
        <v/>
      </c>
      <c r="AZ40" s="64">
        <f>AZ11*AZ39</f>
        <v/>
      </c>
      <c r="BA40" s="64">
        <f>BA11*BA39</f>
        <v/>
      </c>
      <c r="BB40" s="64">
        <f>BB11*BB39</f>
        <v/>
      </c>
      <c r="BC40" s="64">
        <f>BC11*BC39</f>
        <v/>
      </c>
      <c r="BD40" s="64">
        <f>BD11*BD39</f>
        <v/>
      </c>
      <c r="BE40" s="64">
        <f>BE11*BE39</f>
        <v/>
      </c>
      <c r="BF40" s="64">
        <f>BF11*BF39</f>
        <v/>
      </c>
      <c r="BG40" s="64">
        <f>BG11*BG39</f>
        <v/>
      </c>
      <c r="BH40" s="64">
        <f>BH11*BH39</f>
        <v/>
      </c>
      <c r="BI40" s="64">
        <f>BI11*BI39</f>
        <v/>
      </c>
      <c r="BJ40" s="64">
        <f>BJ11*BJ39</f>
        <v/>
      </c>
      <c r="BK40" s="64">
        <f>BK11*BK39</f>
        <v/>
      </c>
    </row>
    <row r="41">
      <c r="B41" s="69" t="inlineStr">
        <is>
          <t>Contribution after acquisition</t>
        </is>
      </c>
      <c r="C41" s="98" t="inlineStr">
        <is>
          <t>EUR</t>
        </is>
      </c>
      <c r="D41" s="71">
        <f>D35-D40</f>
        <v/>
      </c>
      <c r="E41" s="71">
        <f>E35-E40</f>
        <v/>
      </c>
      <c r="F41" s="71">
        <f>F35-F40</f>
        <v/>
      </c>
      <c r="G41" s="71">
        <f>G35-G40</f>
        <v/>
      </c>
      <c r="H41" s="71">
        <f>H35-H40</f>
        <v/>
      </c>
      <c r="I41" s="71">
        <f>I35-I40</f>
        <v/>
      </c>
      <c r="J41" s="71">
        <f>J35-J40</f>
        <v/>
      </c>
      <c r="K41" s="71">
        <f>K35-K40</f>
        <v/>
      </c>
      <c r="L41" s="71">
        <f>L35-L40</f>
        <v/>
      </c>
      <c r="M41" s="71">
        <f>M35-M40</f>
        <v/>
      </c>
      <c r="N41" s="71">
        <f>N35-N40</f>
        <v/>
      </c>
      <c r="O41" s="71">
        <f>O35-O40</f>
        <v/>
      </c>
      <c r="P41" s="71">
        <f>P35-P40</f>
        <v/>
      </c>
      <c r="Q41" s="71">
        <f>Q35-Q40</f>
        <v/>
      </c>
      <c r="R41" s="71">
        <f>R35-R40</f>
        <v/>
      </c>
      <c r="S41" s="71">
        <f>S35-S40</f>
        <v/>
      </c>
      <c r="T41" s="71">
        <f>T35-T40</f>
        <v/>
      </c>
      <c r="U41" s="71">
        <f>U35-U40</f>
        <v/>
      </c>
      <c r="V41" s="71">
        <f>V35-V40</f>
        <v/>
      </c>
      <c r="W41" s="71">
        <f>W35-W40</f>
        <v/>
      </c>
      <c r="X41" s="71">
        <f>X35-X40</f>
        <v/>
      </c>
      <c r="Y41" s="71">
        <f>Y35-Y40</f>
        <v/>
      </c>
      <c r="Z41" s="71">
        <f>Z35-Z40</f>
        <v/>
      </c>
      <c r="AA41" s="71">
        <f>AA35-AA40</f>
        <v/>
      </c>
      <c r="AB41" s="71">
        <f>AB35-AB40</f>
        <v/>
      </c>
      <c r="AC41" s="71">
        <f>AC35-AC40</f>
        <v/>
      </c>
      <c r="AD41" s="71">
        <f>AD35-AD40</f>
        <v/>
      </c>
      <c r="AE41" s="71">
        <f>AE35-AE40</f>
        <v/>
      </c>
      <c r="AF41" s="71">
        <f>AF35-AF40</f>
        <v/>
      </c>
      <c r="AG41" s="71">
        <f>AG35-AG40</f>
        <v/>
      </c>
      <c r="AH41" s="71">
        <f>AH35-AH40</f>
        <v/>
      </c>
      <c r="AI41" s="71">
        <f>AI35-AI40</f>
        <v/>
      </c>
      <c r="AJ41" s="71">
        <f>AJ35-AJ40</f>
        <v/>
      </c>
      <c r="AK41" s="71">
        <f>AK35-AK40</f>
        <v/>
      </c>
      <c r="AL41" s="71">
        <f>AL35-AL40</f>
        <v/>
      </c>
      <c r="AM41" s="71">
        <f>AM35-AM40</f>
        <v/>
      </c>
      <c r="AN41" s="71">
        <f>AN35-AN40</f>
        <v/>
      </c>
      <c r="AO41" s="71">
        <f>AO35-AO40</f>
        <v/>
      </c>
      <c r="AP41" s="71">
        <f>AP35-AP40</f>
        <v/>
      </c>
      <c r="AQ41" s="71">
        <f>AQ35-AQ40</f>
        <v/>
      </c>
      <c r="AR41" s="71">
        <f>AR35-AR40</f>
        <v/>
      </c>
      <c r="AS41" s="71">
        <f>AS35-AS40</f>
        <v/>
      </c>
      <c r="AT41" s="71">
        <f>AT35-AT40</f>
        <v/>
      </c>
      <c r="AU41" s="71">
        <f>AU35-AU40</f>
        <v/>
      </c>
      <c r="AV41" s="71">
        <f>AV35-AV40</f>
        <v/>
      </c>
      <c r="AW41" s="71">
        <f>AW35-AW40</f>
        <v/>
      </c>
      <c r="AX41" s="71">
        <f>AX35-AX40</f>
        <v/>
      </c>
      <c r="AY41" s="71">
        <f>AY35-AY40</f>
        <v/>
      </c>
      <c r="AZ41" s="71">
        <f>AZ35-AZ40</f>
        <v/>
      </c>
      <c r="BA41" s="71">
        <f>BA35-BA40</f>
        <v/>
      </c>
      <c r="BB41" s="71">
        <f>BB35-BB40</f>
        <v/>
      </c>
      <c r="BC41" s="71">
        <f>BC35-BC40</f>
        <v/>
      </c>
      <c r="BD41" s="71">
        <f>BD35-BD40</f>
        <v/>
      </c>
      <c r="BE41" s="71">
        <f>BE35-BE40</f>
        <v/>
      </c>
      <c r="BF41" s="71">
        <f>BF35-BF40</f>
        <v/>
      </c>
      <c r="BG41" s="71">
        <f>BG35-BG40</f>
        <v/>
      </c>
      <c r="BH41" s="71">
        <f>BH35-BH40</f>
        <v/>
      </c>
      <c r="BI41" s="71">
        <f>BI35-BI40</f>
        <v/>
      </c>
      <c r="BJ41" s="71">
        <f>BJ35-BJ40</f>
        <v/>
      </c>
      <c r="BK41" s="71">
        <f>BK35-BK40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K4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2">
      <c r="B2" s="57" t="inlineStr">
        <is>
          <t>SPAIN — VOICE CARE MONTHLY MODEL</t>
        </is>
      </c>
    </row>
    <row r="3">
      <c r="B3" s="8" t="inlineStr">
        <is>
          <t>Monthly engine. Every driver comes from the Inputs sheet — nothing is hardcoded here.</t>
        </is>
      </c>
    </row>
    <row r="4">
      <c r="B4" s="58" t="inlineStr">
        <is>
          <t>Month</t>
        </is>
      </c>
      <c r="C4" s="59" t="inlineStr">
        <is>
          <t>Unit</t>
        </is>
      </c>
      <c r="D4" s="60" t="n">
        <v>1</v>
      </c>
      <c r="E4" s="60" t="n">
        <v>2</v>
      </c>
      <c r="F4" s="60" t="n">
        <v>3</v>
      </c>
      <c r="G4" s="60" t="n">
        <v>4</v>
      </c>
      <c r="H4" s="60" t="n">
        <v>5</v>
      </c>
      <c r="I4" s="60" t="n">
        <v>6</v>
      </c>
      <c r="J4" s="60" t="n">
        <v>7</v>
      </c>
      <c r="K4" s="60" t="n">
        <v>8</v>
      </c>
      <c r="L4" s="60" t="n">
        <v>9</v>
      </c>
      <c r="M4" s="60" t="n">
        <v>10</v>
      </c>
      <c r="N4" s="60" t="n">
        <v>11</v>
      </c>
      <c r="O4" s="60" t="n">
        <v>12</v>
      </c>
      <c r="P4" s="60" t="n">
        <v>13</v>
      </c>
      <c r="Q4" s="60" t="n">
        <v>14</v>
      </c>
      <c r="R4" s="60" t="n">
        <v>15</v>
      </c>
      <c r="S4" s="60" t="n">
        <v>16</v>
      </c>
      <c r="T4" s="60" t="n">
        <v>17</v>
      </c>
      <c r="U4" s="60" t="n">
        <v>18</v>
      </c>
      <c r="V4" s="60" t="n">
        <v>19</v>
      </c>
      <c r="W4" s="60" t="n">
        <v>20</v>
      </c>
      <c r="X4" s="60" t="n">
        <v>21</v>
      </c>
      <c r="Y4" s="60" t="n">
        <v>22</v>
      </c>
      <c r="Z4" s="60" t="n">
        <v>23</v>
      </c>
      <c r="AA4" s="60" t="n">
        <v>24</v>
      </c>
      <c r="AB4" s="60" t="n">
        <v>25</v>
      </c>
      <c r="AC4" s="60" t="n">
        <v>26</v>
      </c>
      <c r="AD4" s="60" t="n">
        <v>27</v>
      </c>
      <c r="AE4" s="60" t="n">
        <v>28</v>
      </c>
      <c r="AF4" s="60" t="n">
        <v>29</v>
      </c>
      <c r="AG4" s="60" t="n">
        <v>30</v>
      </c>
      <c r="AH4" s="60" t="n">
        <v>31</v>
      </c>
      <c r="AI4" s="60" t="n">
        <v>32</v>
      </c>
      <c r="AJ4" s="60" t="n">
        <v>33</v>
      </c>
      <c r="AK4" s="60" t="n">
        <v>34</v>
      </c>
      <c r="AL4" s="60" t="n">
        <v>35</v>
      </c>
      <c r="AM4" s="60" t="n">
        <v>36</v>
      </c>
      <c r="AN4" s="60" t="n">
        <v>37</v>
      </c>
      <c r="AO4" s="60" t="n">
        <v>38</v>
      </c>
      <c r="AP4" s="60" t="n">
        <v>39</v>
      </c>
      <c r="AQ4" s="60" t="n">
        <v>40</v>
      </c>
      <c r="AR4" s="60" t="n">
        <v>41</v>
      </c>
      <c r="AS4" s="60" t="n">
        <v>42</v>
      </c>
      <c r="AT4" s="60" t="n">
        <v>43</v>
      </c>
      <c r="AU4" s="60" t="n">
        <v>44</v>
      </c>
      <c r="AV4" s="60" t="n">
        <v>45</v>
      </c>
      <c r="AW4" s="60" t="n">
        <v>46</v>
      </c>
      <c r="AX4" s="60" t="n">
        <v>47</v>
      </c>
      <c r="AY4" s="60" t="n">
        <v>48</v>
      </c>
      <c r="AZ4" s="60" t="n">
        <v>49</v>
      </c>
      <c r="BA4" s="60" t="n">
        <v>50</v>
      </c>
      <c r="BB4" s="60" t="n">
        <v>51</v>
      </c>
      <c r="BC4" s="60" t="n">
        <v>52</v>
      </c>
      <c r="BD4" s="60" t="n">
        <v>53</v>
      </c>
      <c r="BE4" s="60" t="n">
        <v>54</v>
      </c>
      <c r="BF4" s="60" t="n">
        <v>55</v>
      </c>
      <c r="BG4" s="60" t="n">
        <v>56</v>
      </c>
      <c r="BH4" s="60" t="n">
        <v>57</v>
      </c>
      <c r="BI4" s="60" t="n">
        <v>58</v>
      </c>
      <c r="BJ4" s="60" t="n">
        <v>59</v>
      </c>
      <c r="BK4" s="60" t="n">
        <v>60</v>
      </c>
    </row>
    <row r="5">
      <c r="B5" s="61" t="inlineStr">
        <is>
          <t>Model year</t>
        </is>
      </c>
      <c r="C5" s="92" t="inlineStr">
        <is>
          <t>yr</t>
        </is>
      </c>
      <c r="D5" s="63">
        <f>MIN(5,INT((D4-1)/12)+1)</f>
        <v/>
      </c>
      <c r="E5" s="63">
        <f>MIN(5,INT((E4-1)/12)+1)</f>
        <v/>
      </c>
      <c r="F5" s="63">
        <f>MIN(5,INT((F4-1)/12)+1)</f>
        <v/>
      </c>
      <c r="G5" s="63">
        <f>MIN(5,INT((G4-1)/12)+1)</f>
        <v/>
      </c>
      <c r="H5" s="63">
        <f>MIN(5,INT((H4-1)/12)+1)</f>
        <v/>
      </c>
      <c r="I5" s="63">
        <f>MIN(5,INT((I4-1)/12)+1)</f>
        <v/>
      </c>
      <c r="J5" s="63">
        <f>MIN(5,INT((J4-1)/12)+1)</f>
        <v/>
      </c>
      <c r="K5" s="63">
        <f>MIN(5,INT((K4-1)/12)+1)</f>
        <v/>
      </c>
      <c r="L5" s="63">
        <f>MIN(5,INT((L4-1)/12)+1)</f>
        <v/>
      </c>
      <c r="M5" s="63">
        <f>MIN(5,INT((M4-1)/12)+1)</f>
        <v/>
      </c>
      <c r="N5" s="63">
        <f>MIN(5,INT((N4-1)/12)+1)</f>
        <v/>
      </c>
      <c r="O5" s="63">
        <f>MIN(5,INT((O4-1)/12)+1)</f>
        <v/>
      </c>
      <c r="P5" s="63">
        <f>MIN(5,INT((P4-1)/12)+1)</f>
        <v/>
      </c>
      <c r="Q5" s="63">
        <f>MIN(5,INT((Q4-1)/12)+1)</f>
        <v/>
      </c>
      <c r="R5" s="63">
        <f>MIN(5,INT((R4-1)/12)+1)</f>
        <v/>
      </c>
      <c r="S5" s="63">
        <f>MIN(5,INT((S4-1)/12)+1)</f>
        <v/>
      </c>
      <c r="T5" s="63">
        <f>MIN(5,INT((T4-1)/12)+1)</f>
        <v/>
      </c>
      <c r="U5" s="63">
        <f>MIN(5,INT((U4-1)/12)+1)</f>
        <v/>
      </c>
      <c r="V5" s="63">
        <f>MIN(5,INT((V4-1)/12)+1)</f>
        <v/>
      </c>
      <c r="W5" s="63">
        <f>MIN(5,INT((W4-1)/12)+1)</f>
        <v/>
      </c>
      <c r="X5" s="63">
        <f>MIN(5,INT((X4-1)/12)+1)</f>
        <v/>
      </c>
      <c r="Y5" s="63">
        <f>MIN(5,INT((Y4-1)/12)+1)</f>
        <v/>
      </c>
      <c r="Z5" s="63">
        <f>MIN(5,INT((Z4-1)/12)+1)</f>
        <v/>
      </c>
      <c r="AA5" s="63">
        <f>MIN(5,INT((AA4-1)/12)+1)</f>
        <v/>
      </c>
      <c r="AB5" s="63">
        <f>MIN(5,INT((AB4-1)/12)+1)</f>
        <v/>
      </c>
      <c r="AC5" s="63">
        <f>MIN(5,INT((AC4-1)/12)+1)</f>
        <v/>
      </c>
      <c r="AD5" s="63">
        <f>MIN(5,INT((AD4-1)/12)+1)</f>
        <v/>
      </c>
      <c r="AE5" s="63">
        <f>MIN(5,INT((AE4-1)/12)+1)</f>
        <v/>
      </c>
      <c r="AF5" s="63">
        <f>MIN(5,INT((AF4-1)/12)+1)</f>
        <v/>
      </c>
      <c r="AG5" s="63">
        <f>MIN(5,INT((AG4-1)/12)+1)</f>
        <v/>
      </c>
      <c r="AH5" s="63">
        <f>MIN(5,INT((AH4-1)/12)+1)</f>
        <v/>
      </c>
      <c r="AI5" s="63">
        <f>MIN(5,INT((AI4-1)/12)+1)</f>
        <v/>
      </c>
      <c r="AJ5" s="63">
        <f>MIN(5,INT((AJ4-1)/12)+1)</f>
        <v/>
      </c>
      <c r="AK5" s="63">
        <f>MIN(5,INT((AK4-1)/12)+1)</f>
        <v/>
      </c>
      <c r="AL5" s="63">
        <f>MIN(5,INT((AL4-1)/12)+1)</f>
        <v/>
      </c>
      <c r="AM5" s="63">
        <f>MIN(5,INT((AM4-1)/12)+1)</f>
        <v/>
      </c>
      <c r="AN5" s="63">
        <f>MIN(5,INT((AN4-1)/12)+1)</f>
        <v/>
      </c>
      <c r="AO5" s="63">
        <f>MIN(5,INT((AO4-1)/12)+1)</f>
        <v/>
      </c>
      <c r="AP5" s="63">
        <f>MIN(5,INT((AP4-1)/12)+1)</f>
        <v/>
      </c>
      <c r="AQ5" s="63">
        <f>MIN(5,INT((AQ4-1)/12)+1)</f>
        <v/>
      </c>
      <c r="AR5" s="63">
        <f>MIN(5,INT((AR4-1)/12)+1)</f>
        <v/>
      </c>
      <c r="AS5" s="63">
        <f>MIN(5,INT((AS4-1)/12)+1)</f>
        <v/>
      </c>
      <c r="AT5" s="63">
        <f>MIN(5,INT((AT4-1)/12)+1)</f>
        <v/>
      </c>
      <c r="AU5" s="63">
        <f>MIN(5,INT((AU4-1)/12)+1)</f>
        <v/>
      </c>
      <c r="AV5" s="63">
        <f>MIN(5,INT((AV4-1)/12)+1)</f>
        <v/>
      </c>
      <c r="AW5" s="63">
        <f>MIN(5,INT((AW4-1)/12)+1)</f>
        <v/>
      </c>
      <c r="AX5" s="63">
        <f>MIN(5,INT((AX4-1)/12)+1)</f>
        <v/>
      </c>
      <c r="AY5" s="63">
        <f>MIN(5,INT((AY4-1)/12)+1)</f>
        <v/>
      </c>
      <c r="AZ5" s="63">
        <f>MIN(5,INT((AZ4-1)/12)+1)</f>
        <v/>
      </c>
      <c r="BA5" s="63">
        <f>MIN(5,INT((BA4-1)/12)+1)</f>
        <v/>
      </c>
      <c r="BB5" s="63">
        <f>MIN(5,INT((BB4-1)/12)+1)</f>
        <v/>
      </c>
      <c r="BC5" s="63">
        <f>MIN(5,INT((BC4-1)/12)+1)</f>
        <v/>
      </c>
      <c r="BD5" s="63">
        <f>MIN(5,INT((BD4-1)/12)+1)</f>
        <v/>
      </c>
      <c r="BE5" s="63">
        <f>MIN(5,INT((BE4-1)/12)+1)</f>
        <v/>
      </c>
      <c r="BF5" s="63">
        <f>MIN(5,INT((BF4-1)/12)+1)</f>
        <v/>
      </c>
      <c r="BG5" s="63">
        <f>MIN(5,INT((BG4-1)/12)+1)</f>
        <v/>
      </c>
      <c r="BH5" s="63">
        <f>MIN(5,INT((BH4-1)/12)+1)</f>
        <v/>
      </c>
      <c r="BI5" s="63">
        <f>MIN(5,INT((BI4-1)/12)+1)</f>
        <v/>
      </c>
      <c r="BJ5" s="63">
        <f>MIN(5,INT((BJ4-1)/12)+1)</f>
        <v/>
      </c>
      <c r="BK5" s="63">
        <f>MIN(5,INT((BK4-1)/12)+1)</f>
        <v/>
      </c>
    </row>
    <row r="6">
      <c r="B6" s="61" t="inlineStr">
        <is>
          <t>Months since this market launched</t>
        </is>
      </c>
      <c r="C6" s="92" t="inlineStr">
        <is>
          <t>mo</t>
        </is>
      </c>
      <c r="D6" s="63">
        <f>IF(D4&lt;Inputs!$C$14,0,D4-Inputs!$C$14+1)</f>
        <v/>
      </c>
      <c r="E6" s="63">
        <f>IF(E4&lt;Inputs!$C$14,0,E4-Inputs!$C$14+1)</f>
        <v/>
      </c>
      <c r="F6" s="63">
        <f>IF(F4&lt;Inputs!$C$14,0,F4-Inputs!$C$14+1)</f>
        <v/>
      </c>
      <c r="G6" s="63">
        <f>IF(G4&lt;Inputs!$C$14,0,G4-Inputs!$C$14+1)</f>
        <v/>
      </c>
      <c r="H6" s="63">
        <f>IF(H4&lt;Inputs!$C$14,0,H4-Inputs!$C$14+1)</f>
        <v/>
      </c>
      <c r="I6" s="63">
        <f>IF(I4&lt;Inputs!$C$14,0,I4-Inputs!$C$14+1)</f>
        <v/>
      </c>
      <c r="J6" s="63">
        <f>IF(J4&lt;Inputs!$C$14,0,J4-Inputs!$C$14+1)</f>
        <v/>
      </c>
      <c r="K6" s="63">
        <f>IF(K4&lt;Inputs!$C$14,0,K4-Inputs!$C$14+1)</f>
        <v/>
      </c>
      <c r="L6" s="63">
        <f>IF(L4&lt;Inputs!$C$14,0,L4-Inputs!$C$14+1)</f>
        <v/>
      </c>
      <c r="M6" s="63">
        <f>IF(M4&lt;Inputs!$C$14,0,M4-Inputs!$C$14+1)</f>
        <v/>
      </c>
      <c r="N6" s="63">
        <f>IF(N4&lt;Inputs!$C$14,0,N4-Inputs!$C$14+1)</f>
        <v/>
      </c>
      <c r="O6" s="63">
        <f>IF(O4&lt;Inputs!$C$14,0,O4-Inputs!$C$14+1)</f>
        <v/>
      </c>
      <c r="P6" s="63">
        <f>IF(P4&lt;Inputs!$C$14,0,P4-Inputs!$C$14+1)</f>
        <v/>
      </c>
      <c r="Q6" s="63">
        <f>IF(Q4&lt;Inputs!$C$14,0,Q4-Inputs!$C$14+1)</f>
        <v/>
      </c>
      <c r="R6" s="63">
        <f>IF(R4&lt;Inputs!$C$14,0,R4-Inputs!$C$14+1)</f>
        <v/>
      </c>
      <c r="S6" s="63">
        <f>IF(S4&lt;Inputs!$C$14,0,S4-Inputs!$C$14+1)</f>
        <v/>
      </c>
      <c r="T6" s="63">
        <f>IF(T4&lt;Inputs!$C$14,0,T4-Inputs!$C$14+1)</f>
        <v/>
      </c>
      <c r="U6" s="63">
        <f>IF(U4&lt;Inputs!$C$14,0,U4-Inputs!$C$14+1)</f>
        <v/>
      </c>
      <c r="V6" s="63">
        <f>IF(V4&lt;Inputs!$C$14,0,V4-Inputs!$C$14+1)</f>
        <v/>
      </c>
      <c r="W6" s="63">
        <f>IF(W4&lt;Inputs!$C$14,0,W4-Inputs!$C$14+1)</f>
        <v/>
      </c>
      <c r="X6" s="63">
        <f>IF(X4&lt;Inputs!$C$14,0,X4-Inputs!$C$14+1)</f>
        <v/>
      </c>
      <c r="Y6" s="63">
        <f>IF(Y4&lt;Inputs!$C$14,0,Y4-Inputs!$C$14+1)</f>
        <v/>
      </c>
      <c r="Z6" s="63">
        <f>IF(Z4&lt;Inputs!$C$14,0,Z4-Inputs!$C$14+1)</f>
        <v/>
      </c>
      <c r="AA6" s="63">
        <f>IF(AA4&lt;Inputs!$C$14,0,AA4-Inputs!$C$14+1)</f>
        <v/>
      </c>
      <c r="AB6" s="63">
        <f>IF(AB4&lt;Inputs!$C$14,0,AB4-Inputs!$C$14+1)</f>
        <v/>
      </c>
      <c r="AC6" s="63">
        <f>IF(AC4&lt;Inputs!$C$14,0,AC4-Inputs!$C$14+1)</f>
        <v/>
      </c>
      <c r="AD6" s="63">
        <f>IF(AD4&lt;Inputs!$C$14,0,AD4-Inputs!$C$14+1)</f>
        <v/>
      </c>
      <c r="AE6" s="63">
        <f>IF(AE4&lt;Inputs!$C$14,0,AE4-Inputs!$C$14+1)</f>
        <v/>
      </c>
      <c r="AF6" s="63">
        <f>IF(AF4&lt;Inputs!$C$14,0,AF4-Inputs!$C$14+1)</f>
        <v/>
      </c>
      <c r="AG6" s="63">
        <f>IF(AG4&lt;Inputs!$C$14,0,AG4-Inputs!$C$14+1)</f>
        <v/>
      </c>
      <c r="AH6" s="63">
        <f>IF(AH4&lt;Inputs!$C$14,0,AH4-Inputs!$C$14+1)</f>
        <v/>
      </c>
      <c r="AI6" s="63">
        <f>IF(AI4&lt;Inputs!$C$14,0,AI4-Inputs!$C$14+1)</f>
        <v/>
      </c>
      <c r="AJ6" s="63">
        <f>IF(AJ4&lt;Inputs!$C$14,0,AJ4-Inputs!$C$14+1)</f>
        <v/>
      </c>
      <c r="AK6" s="63">
        <f>IF(AK4&lt;Inputs!$C$14,0,AK4-Inputs!$C$14+1)</f>
        <v/>
      </c>
      <c r="AL6" s="63">
        <f>IF(AL4&lt;Inputs!$C$14,0,AL4-Inputs!$C$14+1)</f>
        <v/>
      </c>
      <c r="AM6" s="63">
        <f>IF(AM4&lt;Inputs!$C$14,0,AM4-Inputs!$C$14+1)</f>
        <v/>
      </c>
      <c r="AN6" s="63">
        <f>IF(AN4&lt;Inputs!$C$14,0,AN4-Inputs!$C$14+1)</f>
        <v/>
      </c>
      <c r="AO6" s="63">
        <f>IF(AO4&lt;Inputs!$C$14,0,AO4-Inputs!$C$14+1)</f>
        <v/>
      </c>
      <c r="AP6" s="63">
        <f>IF(AP4&lt;Inputs!$C$14,0,AP4-Inputs!$C$14+1)</f>
        <v/>
      </c>
      <c r="AQ6" s="63">
        <f>IF(AQ4&lt;Inputs!$C$14,0,AQ4-Inputs!$C$14+1)</f>
        <v/>
      </c>
      <c r="AR6" s="63">
        <f>IF(AR4&lt;Inputs!$C$14,0,AR4-Inputs!$C$14+1)</f>
        <v/>
      </c>
      <c r="AS6" s="63">
        <f>IF(AS4&lt;Inputs!$C$14,0,AS4-Inputs!$C$14+1)</f>
        <v/>
      </c>
      <c r="AT6" s="63">
        <f>IF(AT4&lt;Inputs!$C$14,0,AT4-Inputs!$C$14+1)</f>
        <v/>
      </c>
      <c r="AU6" s="63">
        <f>IF(AU4&lt;Inputs!$C$14,0,AU4-Inputs!$C$14+1)</f>
        <v/>
      </c>
      <c r="AV6" s="63">
        <f>IF(AV4&lt;Inputs!$C$14,0,AV4-Inputs!$C$14+1)</f>
        <v/>
      </c>
      <c r="AW6" s="63">
        <f>IF(AW4&lt;Inputs!$C$14,0,AW4-Inputs!$C$14+1)</f>
        <v/>
      </c>
      <c r="AX6" s="63">
        <f>IF(AX4&lt;Inputs!$C$14,0,AX4-Inputs!$C$14+1)</f>
        <v/>
      </c>
      <c r="AY6" s="63">
        <f>IF(AY4&lt;Inputs!$C$14,0,AY4-Inputs!$C$14+1)</f>
        <v/>
      </c>
      <c r="AZ6" s="63">
        <f>IF(AZ4&lt;Inputs!$C$14,0,AZ4-Inputs!$C$14+1)</f>
        <v/>
      </c>
      <c r="BA6" s="63">
        <f>IF(BA4&lt;Inputs!$C$14,0,BA4-Inputs!$C$14+1)</f>
        <v/>
      </c>
      <c r="BB6" s="63">
        <f>IF(BB4&lt;Inputs!$C$14,0,BB4-Inputs!$C$14+1)</f>
        <v/>
      </c>
      <c r="BC6" s="63">
        <f>IF(BC4&lt;Inputs!$C$14,0,BC4-Inputs!$C$14+1)</f>
        <v/>
      </c>
      <c r="BD6" s="63">
        <f>IF(BD4&lt;Inputs!$C$14,0,BD4-Inputs!$C$14+1)</f>
        <v/>
      </c>
      <c r="BE6" s="63">
        <f>IF(BE4&lt;Inputs!$C$14,0,BE4-Inputs!$C$14+1)</f>
        <v/>
      </c>
      <c r="BF6" s="63">
        <f>IF(BF4&lt;Inputs!$C$14,0,BF4-Inputs!$C$14+1)</f>
        <v/>
      </c>
      <c r="BG6" s="63">
        <f>IF(BG4&lt;Inputs!$C$14,0,BG4-Inputs!$C$14+1)</f>
        <v/>
      </c>
      <c r="BH6" s="63">
        <f>IF(BH4&lt;Inputs!$C$14,0,BH4-Inputs!$C$14+1)</f>
        <v/>
      </c>
      <c r="BI6" s="63">
        <f>IF(BI4&lt;Inputs!$C$14,0,BI4-Inputs!$C$14+1)</f>
        <v/>
      </c>
      <c r="BJ6" s="63">
        <f>IF(BJ4&lt;Inputs!$C$14,0,BJ4-Inputs!$C$14+1)</f>
        <v/>
      </c>
      <c r="BK6" s="63">
        <f>IF(BK4&lt;Inputs!$C$14,0,BK4-Inputs!$C$14+1)</f>
        <v/>
      </c>
    </row>
    <row r="7">
      <c r="B7" s="61" t="inlineStr">
        <is>
          <t>Market year</t>
        </is>
      </c>
      <c r="C7" s="92" t="inlineStr">
        <is>
          <t>yr</t>
        </is>
      </c>
      <c r="D7" s="63">
        <f>IF(D6=0,0,MIN(5,INT((D6-1)/12)+1))</f>
        <v/>
      </c>
      <c r="E7" s="63">
        <f>IF(E6=0,0,MIN(5,INT((E6-1)/12)+1))</f>
        <v/>
      </c>
      <c r="F7" s="63">
        <f>IF(F6=0,0,MIN(5,INT((F6-1)/12)+1))</f>
        <v/>
      </c>
      <c r="G7" s="63">
        <f>IF(G6=0,0,MIN(5,INT((G6-1)/12)+1))</f>
        <v/>
      </c>
      <c r="H7" s="63">
        <f>IF(H6=0,0,MIN(5,INT((H6-1)/12)+1))</f>
        <v/>
      </c>
      <c r="I7" s="63">
        <f>IF(I6=0,0,MIN(5,INT((I6-1)/12)+1))</f>
        <v/>
      </c>
      <c r="J7" s="63">
        <f>IF(J6=0,0,MIN(5,INT((J6-1)/12)+1))</f>
        <v/>
      </c>
      <c r="K7" s="63">
        <f>IF(K6=0,0,MIN(5,INT((K6-1)/12)+1))</f>
        <v/>
      </c>
      <c r="L7" s="63">
        <f>IF(L6=0,0,MIN(5,INT((L6-1)/12)+1))</f>
        <v/>
      </c>
      <c r="M7" s="63">
        <f>IF(M6=0,0,MIN(5,INT((M6-1)/12)+1))</f>
        <v/>
      </c>
      <c r="N7" s="63">
        <f>IF(N6=0,0,MIN(5,INT((N6-1)/12)+1))</f>
        <v/>
      </c>
      <c r="O7" s="63">
        <f>IF(O6=0,0,MIN(5,INT((O6-1)/12)+1))</f>
        <v/>
      </c>
      <c r="P7" s="63">
        <f>IF(P6=0,0,MIN(5,INT((P6-1)/12)+1))</f>
        <v/>
      </c>
      <c r="Q7" s="63">
        <f>IF(Q6=0,0,MIN(5,INT((Q6-1)/12)+1))</f>
        <v/>
      </c>
      <c r="R7" s="63">
        <f>IF(R6=0,0,MIN(5,INT((R6-1)/12)+1))</f>
        <v/>
      </c>
      <c r="S7" s="63">
        <f>IF(S6=0,0,MIN(5,INT((S6-1)/12)+1))</f>
        <v/>
      </c>
      <c r="T7" s="63">
        <f>IF(T6=0,0,MIN(5,INT((T6-1)/12)+1))</f>
        <v/>
      </c>
      <c r="U7" s="63">
        <f>IF(U6=0,0,MIN(5,INT((U6-1)/12)+1))</f>
        <v/>
      </c>
      <c r="V7" s="63">
        <f>IF(V6=0,0,MIN(5,INT((V6-1)/12)+1))</f>
        <v/>
      </c>
      <c r="W7" s="63">
        <f>IF(W6=0,0,MIN(5,INT((W6-1)/12)+1))</f>
        <v/>
      </c>
      <c r="X7" s="63">
        <f>IF(X6=0,0,MIN(5,INT((X6-1)/12)+1))</f>
        <v/>
      </c>
      <c r="Y7" s="63">
        <f>IF(Y6=0,0,MIN(5,INT((Y6-1)/12)+1))</f>
        <v/>
      </c>
      <c r="Z7" s="63">
        <f>IF(Z6=0,0,MIN(5,INT((Z6-1)/12)+1))</f>
        <v/>
      </c>
      <c r="AA7" s="63">
        <f>IF(AA6=0,0,MIN(5,INT((AA6-1)/12)+1))</f>
        <v/>
      </c>
      <c r="AB7" s="63">
        <f>IF(AB6=0,0,MIN(5,INT((AB6-1)/12)+1))</f>
        <v/>
      </c>
      <c r="AC7" s="63">
        <f>IF(AC6=0,0,MIN(5,INT((AC6-1)/12)+1))</f>
        <v/>
      </c>
      <c r="AD7" s="63">
        <f>IF(AD6=0,0,MIN(5,INT((AD6-1)/12)+1))</f>
        <v/>
      </c>
      <c r="AE7" s="63">
        <f>IF(AE6=0,0,MIN(5,INT((AE6-1)/12)+1))</f>
        <v/>
      </c>
      <c r="AF7" s="63">
        <f>IF(AF6=0,0,MIN(5,INT((AF6-1)/12)+1))</f>
        <v/>
      </c>
      <c r="AG7" s="63">
        <f>IF(AG6=0,0,MIN(5,INT((AG6-1)/12)+1))</f>
        <v/>
      </c>
      <c r="AH7" s="63">
        <f>IF(AH6=0,0,MIN(5,INT((AH6-1)/12)+1))</f>
        <v/>
      </c>
      <c r="AI7" s="63">
        <f>IF(AI6=0,0,MIN(5,INT((AI6-1)/12)+1))</f>
        <v/>
      </c>
      <c r="AJ7" s="63">
        <f>IF(AJ6=0,0,MIN(5,INT((AJ6-1)/12)+1))</f>
        <v/>
      </c>
      <c r="AK7" s="63">
        <f>IF(AK6=0,0,MIN(5,INT((AK6-1)/12)+1))</f>
        <v/>
      </c>
      <c r="AL7" s="63">
        <f>IF(AL6=0,0,MIN(5,INT((AL6-1)/12)+1))</f>
        <v/>
      </c>
      <c r="AM7" s="63">
        <f>IF(AM6=0,0,MIN(5,INT((AM6-1)/12)+1))</f>
        <v/>
      </c>
      <c r="AN7" s="63">
        <f>IF(AN6=0,0,MIN(5,INT((AN6-1)/12)+1))</f>
        <v/>
      </c>
      <c r="AO7" s="63">
        <f>IF(AO6=0,0,MIN(5,INT((AO6-1)/12)+1))</f>
        <v/>
      </c>
      <c r="AP7" s="63">
        <f>IF(AP6=0,0,MIN(5,INT((AP6-1)/12)+1))</f>
        <v/>
      </c>
      <c r="AQ7" s="63">
        <f>IF(AQ6=0,0,MIN(5,INT((AQ6-1)/12)+1))</f>
        <v/>
      </c>
      <c r="AR7" s="63">
        <f>IF(AR6=0,0,MIN(5,INT((AR6-1)/12)+1))</f>
        <v/>
      </c>
      <c r="AS7" s="63">
        <f>IF(AS6=0,0,MIN(5,INT((AS6-1)/12)+1))</f>
        <v/>
      </c>
      <c r="AT7" s="63">
        <f>IF(AT6=0,0,MIN(5,INT((AT6-1)/12)+1))</f>
        <v/>
      </c>
      <c r="AU7" s="63">
        <f>IF(AU6=0,0,MIN(5,INT((AU6-1)/12)+1))</f>
        <v/>
      </c>
      <c r="AV7" s="63">
        <f>IF(AV6=0,0,MIN(5,INT((AV6-1)/12)+1))</f>
        <v/>
      </c>
      <c r="AW7" s="63">
        <f>IF(AW6=0,0,MIN(5,INT((AW6-1)/12)+1))</f>
        <v/>
      </c>
      <c r="AX7" s="63">
        <f>IF(AX6=0,0,MIN(5,INT((AX6-1)/12)+1))</f>
        <v/>
      </c>
      <c r="AY7" s="63">
        <f>IF(AY6=0,0,MIN(5,INT((AY6-1)/12)+1))</f>
        <v/>
      </c>
      <c r="AZ7" s="63">
        <f>IF(AZ6=0,0,MIN(5,INT((AZ6-1)/12)+1))</f>
        <v/>
      </c>
      <c r="BA7" s="63">
        <f>IF(BA6=0,0,MIN(5,INT((BA6-1)/12)+1))</f>
        <v/>
      </c>
      <c r="BB7" s="63">
        <f>IF(BB6=0,0,MIN(5,INT((BB6-1)/12)+1))</f>
        <v/>
      </c>
      <c r="BC7" s="63">
        <f>IF(BC6=0,0,MIN(5,INT((BC6-1)/12)+1))</f>
        <v/>
      </c>
      <c r="BD7" s="63">
        <f>IF(BD6=0,0,MIN(5,INT((BD6-1)/12)+1))</f>
        <v/>
      </c>
      <c r="BE7" s="63">
        <f>IF(BE6=0,0,MIN(5,INT((BE6-1)/12)+1))</f>
        <v/>
      </c>
      <c r="BF7" s="63">
        <f>IF(BF6=0,0,MIN(5,INT((BF6-1)/12)+1))</f>
        <v/>
      </c>
      <c r="BG7" s="63">
        <f>IF(BG6=0,0,MIN(5,INT((BG6-1)/12)+1))</f>
        <v/>
      </c>
      <c r="BH7" s="63">
        <f>IF(BH6=0,0,MIN(5,INT((BH6-1)/12)+1))</f>
        <v/>
      </c>
      <c r="BI7" s="63">
        <f>IF(BI6=0,0,MIN(5,INT((BI6-1)/12)+1))</f>
        <v/>
      </c>
      <c r="BJ7" s="63">
        <f>IF(BJ6=0,0,MIN(5,INT((BJ6-1)/12)+1))</f>
        <v/>
      </c>
      <c r="BK7" s="63">
        <f>IF(BK6=0,0,MIN(5,INT((BK6-1)/12)+1))</f>
        <v/>
      </c>
    </row>
    <row r="9">
      <c r="B9" s="23" t="inlineStr">
        <is>
          <t>CUSTOMERS</t>
        </is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</row>
    <row r="10">
      <c r="B10" s="61" t="inlineStr">
        <is>
          <t>Opening active customers</t>
        </is>
      </c>
      <c r="C10" s="92" t="inlineStr">
        <is>
          <t>cust</t>
        </is>
      </c>
      <c r="D10" s="64">
        <f>0</f>
        <v/>
      </c>
      <c r="E10" s="64">
        <f>D13</f>
        <v/>
      </c>
      <c r="F10" s="64">
        <f>E13</f>
        <v/>
      </c>
      <c r="G10" s="64">
        <f>F13</f>
        <v/>
      </c>
      <c r="H10" s="64">
        <f>G13</f>
        <v/>
      </c>
      <c r="I10" s="64">
        <f>H13</f>
        <v/>
      </c>
      <c r="J10" s="64">
        <f>I13</f>
        <v/>
      </c>
      <c r="K10" s="64">
        <f>J13</f>
        <v/>
      </c>
      <c r="L10" s="64">
        <f>K13</f>
        <v/>
      </c>
      <c r="M10" s="64">
        <f>L13</f>
        <v/>
      </c>
      <c r="N10" s="64">
        <f>M13</f>
        <v/>
      </c>
      <c r="O10" s="64">
        <f>N13</f>
        <v/>
      </c>
      <c r="P10" s="64">
        <f>O13</f>
        <v/>
      </c>
      <c r="Q10" s="64">
        <f>P13</f>
        <v/>
      </c>
      <c r="R10" s="64">
        <f>Q13</f>
        <v/>
      </c>
      <c r="S10" s="64">
        <f>R13</f>
        <v/>
      </c>
      <c r="T10" s="64">
        <f>S13</f>
        <v/>
      </c>
      <c r="U10" s="64">
        <f>T13</f>
        <v/>
      </c>
      <c r="V10" s="64">
        <f>U13</f>
        <v/>
      </c>
      <c r="W10" s="64">
        <f>V13</f>
        <v/>
      </c>
      <c r="X10" s="64">
        <f>W13</f>
        <v/>
      </c>
      <c r="Y10" s="64">
        <f>X13</f>
        <v/>
      </c>
      <c r="Z10" s="64">
        <f>Y13</f>
        <v/>
      </c>
      <c r="AA10" s="64">
        <f>Z13</f>
        <v/>
      </c>
      <c r="AB10" s="64">
        <f>AA13</f>
        <v/>
      </c>
      <c r="AC10" s="64">
        <f>AB13</f>
        <v/>
      </c>
      <c r="AD10" s="64">
        <f>AC13</f>
        <v/>
      </c>
      <c r="AE10" s="64">
        <f>AD13</f>
        <v/>
      </c>
      <c r="AF10" s="64">
        <f>AE13</f>
        <v/>
      </c>
      <c r="AG10" s="64">
        <f>AF13</f>
        <v/>
      </c>
      <c r="AH10" s="64">
        <f>AG13</f>
        <v/>
      </c>
      <c r="AI10" s="64">
        <f>AH13</f>
        <v/>
      </c>
      <c r="AJ10" s="64">
        <f>AI13</f>
        <v/>
      </c>
      <c r="AK10" s="64">
        <f>AJ13</f>
        <v/>
      </c>
      <c r="AL10" s="64">
        <f>AK13</f>
        <v/>
      </c>
      <c r="AM10" s="64">
        <f>AL13</f>
        <v/>
      </c>
      <c r="AN10" s="64">
        <f>AM13</f>
        <v/>
      </c>
      <c r="AO10" s="64">
        <f>AN13</f>
        <v/>
      </c>
      <c r="AP10" s="64">
        <f>AO13</f>
        <v/>
      </c>
      <c r="AQ10" s="64">
        <f>AP13</f>
        <v/>
      </c>
      <c r="AR10" s="64">
        <f>AQ13</f>
        <v/>
      </c>
      <c r="AS10" s="64">
        <f>AR13</f>
        <v/>
      </c>
      <c r="AT10" s="64">
        <f>AS13</f>
        <v/>
      </c>
      <c r="AU10" s="64">
        <f>AT13</f>
        <v/>
      </c>
      <c r="AV10" s="64">
        <f>AU13</f>
        <v/>
      </c>
      <c r="AW10" s="64">
        <f>AV13</f>
        <v/>
      </c>
      <c r="AX10" s="64">
        <f>AW13</f>
        <v/>
      </c>
      <c r="AY10" s="64">
        <f>AX13</f>
        <v/>
      </c>
      <c r="AZ10" s="64">
        <f>AY13</f>
        <v/>
      </c>
      <c r="BA10" s="64">
        <f>AZ13</f>
        <v/>
      </c>
      <c r="BB10" s="64">
        <f>BA13</f>
        <v/>
      </c>
      <c r="BC10" s="64">
        <f>BB13</f>
        <v/>
      </c>
      <c r="BD10" s="64">
        <f>BC13</f>
        <v/>
      </c>
      <c r="BE10" s="64">
        <f>BD13</f>
        <v/>
      </c>
      <c r="BF10" s="64">
        <f>BE13</f>
        <v/>
      </c>
      <c r="BG10" s="64">
        <f>BF13</f>
        <v/>
      </c>
      <c r="BH10" s="64">
        <f>BG13</f>
        <v/>
      </c>
      <c r="BI10" s="64">
        <f>BH13</f>
        <v/>
      </c>
      <c r="BJ10" s="64">
        <f>BI13</f>
        <v/>
      </c>
      <c r="BK10" s="64">
        <f>BJ13</f>
        <v/>
      </c>
    </row>
    <row r="11">
      <c r="B11" s="61" t="inlineStr">
        <is>
          <t>New paying customers</t>
        </is>
      </c>
      <c r="C11" s="92" t="inlineStr">
        <is>
          <t>cust</t>
        </is>
      </c>
      <c r="D11" s="64">
        <f>IF(D6=1,Inputs!$D$32,0)</f>
        <v/>
      </c>
      <c r="E11" s="64">
        <f>IF(E6&lt;1,0,IF(E6=1,Inputs!$D$32,MIN(Inputs!$D$40,D11*(1+INDEX(Inputs!$D$34:$D$38,E7)*Inputs!$C$39))))</f>
        <v/>
      </c>
      <c r="F11" s="64">
        <f>IF(F6&lt;1,0,IF(F6=1,Inputs!$D$32,MIN(Inputs!$D$40,E11*(1+INDEX(Inputs!$D$34:$D$38,F7)*Inputs!$C$39))))</f>
        <v/>
      </c>
      <c r="G11" s="64">
        <f>IF(G6&lt;1,0,IF(G6=1,Inputs!$D$32,MIN(Inputs!$D$40,F11*(1+INDEX(Inputs!$D$34:$D$38,G7)*Inputs!$C$39))))</f>
        <v/>
      </c>
      <c r="H11" s="64">
        <f>IF(H6&lt;1,0,IF(H6=1,Inputs!$D$32,MIN(Inputs!$D$40,G11*(1+INDEX(Inputs!$D$34:$D$38,H7)*Inputs!$C$39))))</f>
        <v/>
      </c>
      <c r="I11" s="64">
        <f>IF(I6&lt;1,0,IF(I6=1,Inputs!$D$32,MIN(Inputs!$D$40,H11*(1+INDEX(Inputs!$D$34:$D$38,I7)*Inputs!$C$39))))</f>
        <v/>
      </c>
      <c r="J11" s="64">
        <f>IF(J6&lt;1,0,IF(J6=1,Inputs!$D$32,MIN(Inputs!$D$40,I11*(1+INDEX(Inputs!$D$34:$D$38,J7)*Inputs!$C$39))))</f>
        <v/>
      </c>
      <c r="K11" s="64">
        <f>IF(K6&lt;1,0,IF(K6=1,Inputs!$D$32,MIN(Inputs!$D$40,J11*(1+INDEX(Inputs!$D$34:$D$38,K7)*Inputs!$C$39))))</f>
        <v/>
      </c>
      <c r="L11" s="64">
        <f>IF(L6&lt;1,0,IF(L6=1,Inputs!$D$32,MIN(Inputs!$D$40,K11*(1+INDEX(Inputs!$D$34:$D$38,L7)*Inputs!$C$39))))</f>
        <v/>
      </c>
      <c r="M11" s="64">
        <f>IF(M6&lt;1,0,IF(M6=1,Inputs!$D$32,MIN(Inputs!$D$40,L11*(1+INDEX(Inputs!$D$34:$D$38,M7)*Inputs!$C$39))))</f>
        <v/>
      </c>
      <c r="N11" s="64">
        <f>IF(N6&lt;1,0,IF(N6=1,Inputs!$D$32,MIN(Inputs!$D$40,M11*(1+INDEX(Inputs!$D$34:$D$38,N7)*Inputs!$C$39))))</f>
        <v/>
      </c>
      <c r="O11" s="64">
        <f>IF(O6&lt;1,0,IF(O6=1,Inputs!$D$32,MIN(Inputs!$D$40,N11*(1+INDEX(Inputs!$D$34:$D$38,O7)*Inputs!$C$39))))</f>
        <v/>
      </c>
      <c r="P11" s="64">
        <f>IF(P6&lt;1,0,IF(P6=1,Inputs!$D$32,MIN(Inputs!$D$40,O11*(1+INDEX(Inputs!$D$34:$D$38,P7)*Inputs!$C$39))))</f>
        <v/>
      </c>
      <c r="Q11" s="64">
        <f>IF(Q6&lt;1,0,IF(Q6=1,Inputs!$D$32,MIN(Inputs!$D$40,P11*(1+INDEX(Inputs!$D$34:$D$38,Q7)*Inputs!$C$39))))</f>
        <v/>
      </c>
      <c r="R11" s="64">
        <f>IF(R6&lt;1,0,IF(R6=1,Inputs!$D$32,MIN(Inputs!$D$40,Q11*(1+INDEX(Inputs!$D$34:$D$38,R7)*Inputs!$C$39))))</f>
        <v/>
      </c>
      <c r="S11" s="64">
        <f>IF(S6&lt;1,0,IF(S6=1,Inputs!$D$32,MIN(Inputs!$D$40,R11*(1+INDEX(Inputs!$D$34:$D$38,S7)*Inputs!$C$39))))</f>
        <v/>
      </c>
      <c r="T11" s="64">
        <f>IF(T6&lt;1,0,IF(T6=1,Inputs!$D$32,MIN(Inputs!$D$40,S11*(1+INDEX(Inputs!$D$34:$D$38,T7)*Inputs!$C$39))))</f>
        <v/>
      </c>
      <c r="U11" s="64">
        <f>IF(U6&lt;1,0,IF(U6=1,Inputs!$D$32,MIN(Inputs!$D$40,T11*(1+INDEX(Inputs!$D$34:$D$38,U7)*Inputs!$C$39))))</f>
        <v/>
      </c>
      <c r="V11" s="64">
        <f>IF(V6&lt;1,0,IF(V6=1,Inputs!$D$32,MIN(Inputs!$D$40,U11*(1+INDEX(Inputs!$D$34:$D$38,V7)*Inputs!$C$39))))</f>
        <v/>
      </c>
      <c r="W11" s="64">
        <f>IF(W6&lt;1,0,IF(W6=1,Inputs!$D$32,MIN(Inputs!$D$40,V11*(1+INDEX(Inputs!$D$34:$D$38,W7)*Inputs!$C$39))))</f>
        <v/>
      </c>
      <c r="X11" s="64">
        <f>IF(X6&lt;1,0,IF(X6=1,Inputs!$D$32,MIN(Inputs!$D$40,W11*(1+INDEX(Inputs!$D$34:$D$38,X7)*Inputs!$C$39))))</f>
        <v/>
      </c>
      <c r="Y11" s="64">
        <f>IF(Y6&lt;1,0,IF(Y6=1,Inputs!$D$32,MIN(Inputs!$D$40,X11*(1+INDEX(Inputs!$D$34:$D$38,Y7)*Inputs!$C$39))))</f>
        <v/>
      </c>
      <c r="Z11" s="64">
        <f>IF(Z6&lt;1,0,IF(Z6=1,Inputs!$D$32,MIN(Inputs!$D$40,Y11*(1+INDEX(Inputs!$D$34:$D$38,Z7)*Inputs!$C$39))))</f>
        <v/>
      </c>
      <c r="AA11" s="64">
        <f>IF(AA6&lt;1,0,IF(AA6=1,Inputs!$D$32,MIN(Inputs!$D$40,Z11*(1+INDEX(Inputs!$D$34:$D$38,AA7)*Inputs!$C$39))))</f>
        <v/>
      </c>
      <c r="AB11" s="64">
        <f>IF(AB6&lt;1,0,IF(AB6=1,Inputs!$D$32,MIN(Inputs!$D$40,AA11*(1+INDEX(Inputs!$D$34:$D$38,AB7)*Inputs!$C$39))))</f>
        <v/>
      </c>
      <c r="AC11" s="64">
        <f>IF(AC6&lt;1,0,IF(AC6=1,Inputs!$D$32,MIN(Inputs!$D$40,AB11*(1+INDEX(Inputs!$D$34:$D$38,AC7)*Inputs!$C$39))))</f>
        <v/>
      </c>
      <c r="AD11" s="64">
        <f>IF(AD6&lt;1,0,IF(AD6=1,Inputs!$D$32,MIN(Inputs!$D$40,AC11*(1+INDEX(Inputs!$D$34:$D$38,AD7)*Inputs!$C$39))))</f>
        <v/>
      </c>
      <c r="AE11" s="64">
        <f>IF(AE6&lt;1,0,IF(AE6=1,Inputs!$D$32,MIN(Inputs!$D$40,AD11*(1+INDEX(Inputs!$D$34:$D$38,AE7)*Inputs!$C$39))))</f>
        <v/>
      </c>
      <c r="AF11" s="64">
        <f>IF(AF6&lt;1,0,IF(AF6=1,Inputs!$D$32,MIN(Inputs!$D$40,AE11*(1+INDEX(Inputs!$D$34:$D$38,AF7)*Inputs!$C$39))))</f>
        <v/>
      </c>
      <c r="AG11" s="64">
        <f>IF(AG6&lt;1,0,IF(AG6=1,Inputs!$D$32,MIN(Inputs!$D$40,AF11*(1+INDEX(Inputs!$D$34:$D$38,AG7)*Inputs!$C$39))))</f>
        <v/>
      </c>
      <c r="AH11" s="64">
        <f>IF(AH6&lt;1,0,IF(AH6=1,Inputs!$D$32,MIN(Inputs!$D$40,AG11*(1+INDEX(Inputs!$D$34:$D$38,AH7)*Inputs!$C$39))))</f>
        <v/>
      </c>
      <c r="AI11" s="64">
        <f>IF(AI6&lt;1,0,IF(AI6=1,Inputs!$D$32,MIN(Inputs!$D$40,AH11*(1+INDEX(Inputs!$D$34:$D$38,AI7)*Inputs!$C$39))))</f>
        <v/>
      </c>
      <c r="AJ11" s="64">
        <f>IF(AJ6&lt;1,0,IF(AJ6=1,Inputs!$D$32,MIN(Inputs!$D$40,AI11*(1+INDEX(Inputs!$D$34:$D$38,AJ7)*Inputs!$C$39))))</f>
        <v/>
      </c>
      <c r="AK11" s="64">
        <f>IF(AK6&lt;1,0,IF(AK6=1,Inputs!$D$32,MIN(Inputs!$D$40,AJ11*(1+INDEX(Inputs!$D$34:$D$38,AK7)*Inputs!$C$39))))</f>
        <v/>
      </c>
      <c r="AL11" s="64">
        <f>IF(AL6&lt;1,0,IF(AL6=1,Inputs!$D$32,MIN(Inputs!$D$40,AK11*(1+INDEX(Inputs!$D$34:$D$38,AL7)*Inputs!$C$39))))</f>
        <v/>
      </c>
      <c r="AM11" s="64">
        <f>IF(AM6&lt;1,0,IF(AM6=1,Inputs!$D$32,MIN(Inputs!$D$40,AL11*(1+INDEX(Inputs!$D$34:$D$38,AM7)*Inputs!$C$39))))</f>
        <v/>
      </c>
      <c r="AN11" s="64">
        <f>IF(AN6&lt;1,0,IF(AN6=1,Inputs!$D$32,MIN(Inputs!$D$40,AM11*(1+INDEX(Inputs!$D$34:$D$38,AN7)*Inputs!$C$39))))</f>
        <v/>
      </c>
      <c r="AO11" s="64">
        <f>IF(AO6&lt;1,0,IF(AO6=1,Inputs!$D$32,MIN(Inputs!$D$40,AN11*(1+INDEX(Inputs!$D$34:$D$38,AO7)*Inputs!$C$39))))</f>
        <v/>
      </c>
      <c r="AP11" s="64">
        <f>IF(AP6&lt;1,0,IF(AP6=1,Inputs!$D$32,MIN(Inputs!$D$40,AO11*(1+INDEX(Inputs!$D$34:$D$38,AP7)*Inputs!$C$39))))</f>
        <v/>
      </c>
      <c r="AQ11" s="64">
        <f>IF(AQ6&lt;1,0,IF(AQ6=1,Inputs!$D$32,MIN(Inputs!$D$40,AP11*(1+INDEX(Inputs!$D$34:$D$38,AQ7)*Inputs!$C$39))))</f>
        <v/>
      </c>
      <c r="AR11" s="64">
        <f>IF(AR6&lt;1,0,IF(AR6=1,Inputs!$D$32,MIN(Inputs!$D$40,AQ11*(1+INDEX(Inputs!$D$34:$D$38,AR7)*Inputs!$C$39))))</f>
        <v/>
      </c>
      <c r="AS11" s="64">
        <f>IF(AS6&lt;1,0,IF(AS6=1,Inputs!$D$32,MIN(Inputs!$D$40,AR11*(1+INDEX(Inputs!$D$34:$D$38,AS7)*Inputs!$C$39))))</f>
        <v/>
      </c>
      <c r="AT11" s="64">
        <f>IF(AT6&lt;1,0,IF(AT6=1,Inputs!$D$32,MIN(Inputs!$D$40,AS11*(1+INDEX(Inputs!$D$34:$D$38,AT7)*Inputs!$C$39))))</f>
        <v/>
      </c>
      <c r="AU11" s="64">
        <f>IF(AU6&lt;1,0,IF(AU6=1,Inputs!$D$32,MIN(Inputs!$D$40,AT11*(1+INDEX(Inputs!$D$34:$D$38,AU7)*Inputs!$C$39))))</f>
        <v/>
      </c>
      <c r="AV11" s="64">
        <f>IF(AV6&lt;1,0,IF(AV6=1,Inputs!$D$32,MIN(Inputs!$D$40,AU11*(1+INDEX(Inputs!$D$34:$D$38,AV7)*Inputs!$C$39))))</f>
        <v/>
      </c>
      <c r="AW11" s="64">
        <f>IF(AW6&lt;1,0,IF(AW6=1,Inputs!$D$32,MIN(Inputs!$D$40,AV11*(1+INDEX(Inputs!$D$34:$D$38,AW7)*Inputs!$C$39))))</f>
        <v/>
      </c>
      <c r="AX11" s="64">
        <f>IF(AX6&lt;1,0,IF(AX6=1,Inputs!$D$32,MIN(Inputs!$D$40,AW11*(1+INDEX(Inputs!$D$34:$D$38,AX7)*Inputs!$C$39))))</f>
        <v/>
      </c>
      <c r="AY11" s="64">
        <f>IF(AY6&lt;1,0,IF(AY6=1,Inputs!$D$32,MIN(Inputs!$D$40,AX11*(1+INDEX(Inputs!$D$34:$D$38,AY7)*Inputs!$C$39))))</f>
        <v/>
      </c>
      <c r="AZ11" s="64">
        <f>IF(AZ6&lt;1,0,IF(AZ6=1,Inputs!$D$32,MIN(Inputs!$D$40,AY11*(1+INDEX(Inputs!$D$34:$D$38,AZ7)*Inputs!$C$39))))</f>
        <v/>
      </c>
      <c r="BA11" s="64">
        <f>IF(BA6&lt;1,0,IF(BA6=1,Inputs!$D$32,MIN(Inputs!$D$40,AZ11*(1+INDEX(Inputs!$D$34:$D$38,BA7)*Inputs!$C$39))))</f>
        <v/>
      </c>
      <c r="BB11" s="64">
        <f>IF(BB6&lt;1,0,IF(BB6=1,Inputs!$D$32,MIN(Inputs!$D$40,BA11*(1+INDEX(Inputs!$D$34:$D$38,BB7)*Inputs!$C$39))))</f>
        <v/>
      </c>
      <c r="BC11" s="64">
        <f>IF(BC6&lt;1,0,IF(BC6=1,Inputs!$D$32,MIN(Inputs!$D$40,BB11*(1+INDEX(Inputs!$D$34:$D$38,BC7)*Inputs!$C$39))))</f>
        <v/>
      </c>
      <c r="BD11" s="64">
        <f>IF(BD6&lt;1,0,IF(BD6=1,Inputs!$D$32,MIN(Inputs!$D$40,BC11*(1+INDEX(Inputs!$D$34:$D$38,BD7)*Inputs!$C$39))))</f>
        <v/>
      </c>
      <c r="BE11" s="64">
        <f>IF(BE6&lt;1,0,IF(BE6=1,Inputs!$D$32,MIN(Inputs!$D$40,BD11*(1+INDEX(Inputs!$D$34:$D$38,BE7)*Inputs!$C$39))))</f>
        <v/>
      </c>
      <c r="BF11" s="64">
        <f>IF(BF6&lt;1,0,IF(BF6=1,Inputs!$D$32,MIN(Inputs!$D$40,BE11*(1+INDEX(Inputs!$D$34:$D$38,BF7)*Inputs!$C$39))))</f>
        <v/>
      </c>
      <c r="BG11" s="64">
        <f>IF(BG6&lt;1,0,IF(BG6=1,Inputs!$D$32,MIN(Inputs!$D$40,BF11*(1+INDEX(Inputs!$D$34:$D$38,BG7)*Inputs!$C$39))))</f>
        <v/>
      </c>
      <c r="BH11" s="64">
        <f>IF(BH6&lt;1,0,IF(BH6=1,Inputs!$D$32,MIN(Inputs!$D$40,BG11*(1+INDEX(Inputs!$D$34:$D$38,BH7)*Inputs!$C$39))))</f>
        <v/>
      </c>
      <c r="BI11" s="64">
        <f>IF(BI6&lt;1,0,IF(BI6=1,Inputs!$D$32,MIN(Inputs!$D$40,BH11*(1+INDEX(Inputs!$D$34:$D$38,BI7)*Inputs!$C$39))))</f>
        <v/>
      </c>
      <c r="BJ11" s="64">
        <f>IF(BJ6&lt;1,0,IF(BJ6=1,Inputs!$D$32,MIN(Inputs!$D$40,BI11*(1+INDEX(Inputs!$D$34:$D$38,BJ7)*Inputs!$C$39))))</f>
        <v/>
      </c>
      <c r="BK11" s="64">
        <f>IF(BK6&lt;1,0,IF(BK6=1,Inputs!$D$32,MIN(Inputs!$D$40,BJ11*(1+INDEX(Inputs!$D$34:$D$38,BK7)*Inputs!$C$39))))</f>
        <v/>
      </c>
    </row>
    <row r="12">
      <c r="B12" s="61" t="inlineStr">
        <is>
          <t>Customers lost to churn</t>
        </is>
      </c>
      <c r="C12" s="92" t="inlineStr">
        <is>
          <t>cust</t>
        </is>
      </c>
      <c r="D12" s="64">
        <f>-D10*Inputs!$D$42</f>
        <v/>
      </c>
      <c r="E12" s="64">
        <f>-E10*Inputs!$D$42</f>
        <v/>
      </c>
      <c r="F12" s="64">
        <f>-F10*Inputs!$D$42</f>
        <v/>
      </c>
      <c r="G12" s="64">
        <f>-G10*Inputs!$D$42</f>
        <v/>
      </c>
      <c r="H12" s="64">
        <f>-H10*Inputs!$D$42</f>
        <v/>
      </c>
      <c r="I12" s="64">
        <f>-I10*Inputs!$D$42</f>
        <v/>
      </c>
      <c r="J12" s="64">
        <f>-J10*Inputs!$D$42</f>
        <v/>
      </c>
      <c r="K12" s="64">
        <f>-K10*Inputs!$D$42</f>
        <v/>
      </c>
      <c r="L12" s="64">
        <f>-L10*Inputs!$D$42</f>
        <v/>
      </c>
      <c r="M12" s="64">
        <f>-M10*Inputs!$D$42</f>
        <v/>
      </c>
      <c r="N12" s="64">
        <f>-N10*Inputs!$D$42</f>
        <v/>
      </c>
      <c r="O12" s="64">
        <f>-O10*Inputs!$D$42</f>
        <v/>
      </c>
      <c r="P12" s="64">
        <f>-P10*Inputs!$D$42</f>
        <v/>
      </c>
      <c r="Q12" s="64">
        <f>-Q10*Inputs!$D$42</f>
        <v/>
      </c>
      <c r="R12" s="64">
        <f>-R10*Inputs!$D$42</f>
        <v/>
      </c>
      <c r="S12" s="64">
        <f>-S10*Inputs!$D$42</f>
        <v/>
      </c>
      <c r="T12" s="64">
        <f>-T10*Inputs!$D$42</f>
        <v/>
      </c>
      <c r="U12" s="64">
        <f>-U10*Inputs!$D$42</f>
        <v/>
      </c>
      <c r="V12" s="64">
        <f>-V10*Inputs!$D$42</f>
        <v/>
      </c>
      <c r="W12" s="64">
        <f>-W10*Inputs!$D$42</f>
        <v/>
      </c>
      <c r="X12" s="64">
        <f>-X10*Inputs!$D$42</f>
        <v/>
      </c>
      <c r="Y12" s="64">
        <f>-Y10*Inputs!$D$42</f>
        <v/>
      </c>
      <c r="Z12" s="64">
        <f>-Z10*Inputs!$D$42</f>
        <v/>
      </c>
      <c r="AA12" s="64">
        <f>-AA10*Inputs!$D$42</f>
        <v/>
      </c>
      <c r="AB12" s="64">
        <f>-AB10*Inputs!$D$42</f>
        <v/>
      </c>
      <c r="AC12" s="64">
        <f>-AC10*Inputs!$D$42</f>
        <v/>
      </c>
      <c r="AD12" s="64">
        <f>-AD10*Inputs!$D$42</f>
        <v/>
      </c>
      <c r="AE12" s="64">
        <f>-AE10*Inputs!$D$42</f>
        <v/>
      </c>
      <c r="AF12" s="64">
        <f>-AF10*Inputs!$D$42</f>
        <v/>
      </c>
      <c r="AG12" s="64">
        <f>-AG10*Inputs!$D$42</f>
        <v/>
      </c>
      <c r="AH12" s="64">
        <f>-AH10*Inputs!$D$42</f>
        <v/>
      </c>
      <c r="AI12" s="64">
        <f>-AI10*Inputs!$D$42</f>
        <v/>
      </c>
      <c r="AJ12" s="64">
        <f>-AJ10*Inputs!$D$42</f>
        <v/>
      </c>
      <c r="AK12" s="64">
        <f>-AK10*Inputs!$D$42</f>
        <v/>
      </c>
      <c r="AL12" s="64">
        <f>-AL10*Inputs!$D$42</f>
        <v/>
      </c>
      <c r="AM12" s="64">
        <f>-AM10*Inputs!$D$42</f>
        <v/>
      </c>
      <c r="AN12" s="64">
        <f>-AN10*Inputs!$D$42</f>
        <v/>
      </c>
      <c r="AO12" s="64">
        <f>-AO10*Inputs!$D$42</f>
        <v/>
      </c>
      <c r="AP12" s="64">
        <f>-AP10*Inputs!$D$42</f>
        <v/>
      </c>
      <c r="AQ12" s="64">
        <f>-AQ10*Inputs!$D$42</f>
        <v/>
      </c>
      <c r="AR12" s="64">
        <f>-AR10*Inputs!$D$42</f>
        <v/>
      </c>
      <c r="AS12" s="64">
        <f>-AS10*Inputs!$D$42</f>
        <v/>
      </c>
      <c r="AT12" s="64">
        <f>-AT10*Inputs!$D$42</f>
        <v/>
      </c>
      <c r="AU12" s="64">
        <f>-AU10*Inputs!$D$42</f>
        <v/>
      </c>
      <c r="AV12" s="64">
        <f>-AV10*Inputs!$D$42</f>
        <v/>
      </c>
      <c r="AW12" s="64">
        <f>-AW10*Inputs!$D$42</f>
        <v/>
      </c>
      <c r="AX12" s="64">
        <f>-AX10*Inputs!$D$42</f>
        <v/>
      </c>
      <c r="AY12" s="64">
        <f>-AY10*Inputs!$D$42</f>
        <v/>
      </c>
      <c r="AZ12" s="64">
        <f>-AZ10*Inputs!$D$42</f>
        <v/>
      </c>
      <c r="BA12" s="64">
        <f>-BA10*Inputs!$D$42</f>
        <v/>
      </c>
      <c r="BB12" s="64">
        <f>-BB10*Inputs!$D$42</f>
        <v/>
      </c>
      <c r="BC12" s="64">
        <f>-BC10*Inputs!$D$42</f>
        <v/>
      </c>
      <c r="BD12" s="64">
        <f>-BD10*Inputs!$D$42</f>
        <v/>
      </c>
      <c r="BE12" s="64">
        <f>-BE10*Inputs!$D$42</f>
        <v/>
      </c>
      <c r="BF12" s="64">
        <f>-BF10*Inputs!$D$42</f>
        <v/>
      </c>
      <c r="BG12" s="64">
        <f>-BG10*Inputs!$D$42</f>
        <v/>
      </c>
      <c r="BH12" s="64">
        <f>-BH10*Inputs!$D$42</f>
        <v/>
      </c>
      <c r="BI12" s="64">
        <f>-BI10*Inputs!$D$42</f>
        <v/>
      </c>
      <c r="BJ12" s="64">
        <f>-BJ10*Inputs!$D$42</f>
        <v/>
      </c>
      <c r="BK12" s="64">
        <f>-BK10*Inputs!$D$42</f>
        <v/>
      </c>
    </row>
    <row r="13">
      <c r="B13" s="65" t="inlineStr">
        <is>
          <t>Closing active customers</t>
        </is>
      </c>
      <c r="C13" s="92" t="inlineStr">
        <is>
          <t>cust</t>
        </is>
      </c>
      <c r="D13" s="66">
        <f>D10+D11+D12</f>
        <v/>
      </c>
      <c r="E13" s="66">
        <f>E10+E11+E12</f>
        <v/>
      </c>
      <c r="F13" s="66">
        <f>F10+F11+F12</f>
        <v/>
      </c>
      <c r="G13" s="66">
        <f>G10+G11+G12</f>
        <v/>
      </c>
      <c r="H13" s="66">
        <f>H10+H11+H12</f>
        <v/>
      </c>
      <c r="I13" s="66">
        <f>I10+I11+I12</f>
        <v/>
      </c>
      <c r="J13" s="66">
        <f>J10+J11+J12</f>
        <v/>
      </c>
      <c r="K13" s="66">
        <f>K10+K11+K12</f>
        <v/>
      </c>
      <c r="L13" s="66">
        <f>L10+L11+L12</f>
        <v/>
      </c>
      <c r="M13" s="66">
        <f>M10+M11+M12</f>
        <v/>
      </c>
      <c r="N13" s="66">
        <f>N10+N11+N12</f>
        <v/>
      </c>
      <c r="O13" s="66">
        <f>O10+O11+O12</f>
        <v/>
      </c>
      <c r="P13" s="66">
        <f>P10+P11+P12</f>
        <v/>
      </c>
      <c r="Q13" s="66">
        <f>Q10+Q11+Q12</f>
        <v/>
      </c>
      <c r="R13" s="66">
        <f>R10+R11+R12</f>
        <v/>
      </c>
      <c r="S13" s="66">
        <f>S10+S11+S12</f>
        <v/>
      </c>
      <c r="T13" s="66">
        <f>T10+T11+T12</f>
        <v/>
      </c>
      <c r="U13" s="66">
        <f>U10+U11+U12</f>
        <v/>
      </c>
      <c r="V13" s="66">
        <f>V10+V11+V12</f>
        <v/>
      </c>
      <c r="W13" s="66">
        <f>W10+W11+W12</f>
        <v/>
      </c>
      <c r="X13" s="66">
        <f>X10+X11+X12</f>
        <v/>
      </c>
      <c r="Y13" s="66">
        <f>Y10+Y11+Y12</f>
        <v/>
      </c>
      <c r="Z13" s="66">
        <f>Z10+Z11+Z12</f>
        <v/>
      </c>
      <c r="AA13" s="66">
        <f>AA10+AA11+AA12</f>
        <v/>
      </c>
      <c r="AB13" s="66">
        <f>AB10+AB11+AB12</f>
        <v/>
      </c>
      <c r="AC13" s="66">
        <f>AC10+AC11+AC12</f>
        <v/>
      </c>
      <c r="AD13" s="66">
        <f>AD10+AD11+AD12</f>
        <v/>
      </c>
      <c r="AE13" s="66">
        <f>AE10+AE11+AE12</f>
        <v/>
      </c>
      <c r="AF13" s="66">
        <f>AF10+AF11+AF12</f>
        <v/>
      </c>
      <c r="AG13" s="66">
        <f>AG10+AG11+AG12</f>
        <v/>
      </c>
      <c r="AH13" s="66">
        <f>AH10+AH11+AH12</f>
        <v/>
      </c>
      <c r="AI13" s="66">
        <f>AI10+AI11+AI12</f>
        <v/>
      </c>
      <c r="AJ13" s="66">
        <f>AJ10+AJ11+AJ12</f>
        <v/>
      </c>
      <c r="AK13" s="66">
        <f>AK10+AK11+AK12</f>
        <v/>
      </c>
      <c r="AL13" s="66">
        <f>AL10+AL11+AL12</f>
        <v/>
      </c>
      <c r="AM13" s="66">
        <f>AM10+AM11+AM12</f>
        <v/>
      </c>
      <c r="AN13" s="66">
        <f>AN10+AN11+AN12</f>
        <v/>
      </c>
      <c r="AO13" s="66">
        <f>AO10+AO11+AO12</f>
        <v/>
      </c>
      <c r="AP13" s="66">
        <f>AP10+AP11+AP12</f>
        <v/>
      </c>
      <c r="AQ13" s="66">
        <f>AQ10+AQ11+AQ12</f>
        <v/>
      </c>
      <c r="AR13" s="66">
        <f>AR10+AR11+AR12</f>
        <v/>
      </c>
      <c r="AS13" s="66">
        <f>AS10+AS11+AS12</f>
        <v/>
      </c>
      <c r="AT13" s="66">
        <f>AT10+AT11+AT12</f>
        <v/>
      </c>
      <c r="AU13" s="66">
        <f>AU10+AU11+AU12</f>
        <v/>
      </c>
      <c r="AV13" s="66">
        <f>AV10+AV11+AV12</f>
        <v/>
      </c>
      <c r="AW13" s="66">
        <f>AW10+AW11+AW12</f>
        <v/>
      </c>
      <c r="AX13" s="66">
        <f>AX10+AX11+AX12</f>
        <v/>
      </c>
      <c r="AY13" s="66">
        <f>AY10+AY11+AY12</f>
        <v/>
      </c>
      <c r="AZ13" s="66">
        <f>AZ10+AZ11+AZ12</f>
        <v/>
      </c>
      <c r="BA13" s="66">
        <f>BA10+BA11+BA12</f>
        <v/>
      </c>
      <c r="BB13" s="66">
        <f>BB10+BB11+BB12</f>
        <v/>
      </c>
      <c r="BC13" s="66">
        <f>BC10+BC11+BC12</f>
        <v/>
      </c>
      <c r="BD13" s="66">
        <f>BD10+BD11+BD12</f>
        <v/>
      </c>
      <c r="BE13" s="66">
        <f>BE10+BE11+BE12</f>
        <v/>
      </c>
      <c r="BF13" s="66">
        <f>BF10+BF11+BF12</f>
        <v/>
      </c>
      <c r="BG13" s="66">
        <f>BG10+BG11+BG12</f>
        <v/>
      </c>
      <c r="BH13" s="66">
        <f>BH10+BH11+BH12</f>
        <v/>
      </c>
      <c r="BI13" s="66">
        <f>BI10+BI11+BI12</f>
        <v/>
      </c>
      <c r="BJ13" s="66">
        <f>BJ10+BJ11+BJ12</f>
        <v/>
      </c>
      <c r="BK13" s="66">
        <f>BK10+BK11+BK12</f>
        <v/>
      </c>
    </row>
    <row r="14">
      <c r="B14" s="61" t="inlineStr">
        <is>
          <t>Average active customers</t>
        </is>
      </c>
      <c r="C14" s="92" t="inlineStr">
        <is>
          <t>cust</t>
        </is>
      </c>
      <c r="D14" s="64">
        <f>(D10+D13)/2</f>
        <v/>
      </c>
      <c r="E14" s="64">
        <f>(E10+E13)/2</f>
        <v/>
      </c>
      <c r="F14" s="64">
        <f>(F10+F13)/2</f>
        <v/>
      </c>
      <c r="G14" s="64">
        <f>(G10+G13)/2</f>
        <v/>
      </c>
      <c r="H14" s="64">
        <f>(H10+H13)/2</f>
        <v/>
      </c>
      <c r="I14" s="64">
        <f>(I10+I13)/2</f>
        <v/>
      </c>
      <c r="J14" s="64">
        <f>(J10+J13)/2</f>
        <v/>
      </c>
      <c r="K14" s="64">
        <f>(K10+K13)/2</f>
        <v/>
      </c>
      <c r="L14" s="64">
        <f>(L10+L13)/2</f>
        <v/>
      </c>
      <c r="M14" s="64">
        <f>(M10+M13)/2</f>
        <v/>
      </c>
      <c r="N14" s="64">
        <f>(N10+N13)/2</f>
        <v/>
      </c>
      <c r="O14" s="64">
        <f>(O10+O13)/2</f>
        <v/>
      </c>
      <c r="P14" s="64">
        <f>(P10+P13)/2</f>
        <v/>
      </c>
      <c r="Q14" s="64">
        <f>(Q10+Q13)/2</f>
        <v/>
      </c>
      <c r="R14" s="64">
        <f>(R10+R13)/2</f>
        <v/>
      </c>
      <c r="S14" s="64">
        <f>(S10+S13)/2</f>
        <v/>
      </c>
      <c r="T14" s="64">
        <f>(T10+T13)/2</f>
        <v/>
      </c>
      <c r="U14" s="64">
        <f>(U10+U13)/2</f>
        <v/>
      </c>
      <c r="V14" s="64">
        <f>(V10+V13)/2</f>
        <v/>
      </c>
      <c r="W14" s="64">
        <f>(W10+W13)/2</f>
        <v/>
      </c>
      <c r="X14" s="64">
        <f>(X10+X13)/2</f>
        <v/>
      </c>
      <c r="Y14" s="64">
        <f>(Y10+Y13)/2</f>
        <v/>
      </c>
      <c r="Z14" s="64">
        <f>(Z10+Z13)/2</f>
        <v/>
      </c>
      <c r="AA14" s="64">
        <f>(AA10+AA13)/2</f>
        <v/>
      </c>
      <c r="AB14" s="64">
        <f>(AB10+AB13)/2</f>
        <v/>
      </c>
      <c r="AC14" s="64">
        <f>(AC10+AC13)/2</f>
        <v/>
      </c>
      <c r="AD14" s="64">
        <f>(AD10+AD13)/2</f>
        <v/>
      </c>
      <c r="AE14" s="64">
        <f>(AE10+AE13)/2</f>
        <v/>
      </c>
      <c r="AF14" s="64">
        <f>(AF10+AF13)/2</f>
        <v/>
      </c>
      <c r="AG14" s="64">
        <f>(AG10+AG13)/2</f>
        <v/>
      </c>
      <c r="AH14" s="64">
        <f>(AH10+AH13)/2</f>
        <v/>
      </c>
      <c r="AI14" s="64">
        <f>(AI10+AI13)/2</f>
        <v/>
      </c>
      <c r="AJ14" s="64">
        <f>(AJ10+AJ13)/2</f>
        <v/>
      </c>
      <c r="AK14" s="64">
        <f>(AK10+AK13)/2</f>
        <v/>
      </c>
      <c r="AL14" s="64">
        <f>(AL10+AL13)/2</f>
        <v/>
      </c>
      <c r="AM14" s="64">
        <f>(AM10+AM13)/2</f>
        <v/>
      </c>
      <c r="AN14" s="64">
        <f>(AN10+AN13)/2</f>
        <v/>
      </c>
      <c r="AO14" s="64">
        <f>(AO10+AO13)/2</f>
        <v/>
      </c>
      <c r="AP14" s="64">
        <f>(AP10+AP13)/2</f>
        <v/>
      </c>
      <c r="AQ14" s="64">
        <f>(AQ10+AQ13)/2</f>
        <v/>
      </c>
      <c r="AR14" s="64">
        <f>(AR10+AR13)/2</f>
        <v/>
      </c>
      <c r="AS14" s="64">
        <f>(AS10+AS13)/2</f>
        <v/>
      </c>
      <c r="AT14" s="64">
        <f>(AT10+AT13)/2</f>
        <v/>
      </c>
      <c r="AU14" s="64">
        <f>(AU10+AU13)/2</f>
        <v/>
      </c>
      <c r="AV14" s="64">
        <f>(AV10+AV13)/2</f>
        <v/>
      </c>
      <c r="AW14" s="64">
        <f>(AW10+AW13)/2</f>
        <v/>
      </c>
      <c r="AX14" s="64">
        <f>(AX10+AX13)/2</f>
        <v/>
      </c>
      <c r="AY14" s="64">
        <f>(AY10+AY13)/2</f>
        <v/>
      </c>
      <c r="AZ14" s="64">
        <f>(AZ10+AZ13)/2</f>
        <v/>
      </c>
      <c r="BA14" s="64">
        <f>(BA10+BA13)/2</f>
        <v/>
      </c>
      <c r="BB14" s="64">
        <f>(BB10+BB13)/2</f>
        <v/>
      </c>
      <c r="BC14" s="64">
        <f>(BC10+BC13)/2</f>
        <v/>
      </c>
      <c r="BD14" s="64">
        <f>(BD10+BD13)/2</f>
        <v/>
      </c>
      <c r="BE14" s="64">
        <f>(BE10+BE13)/2</f>
        <v/>
      </c>
      <c r="BF14" s="64">
        <f>(BF10+BF13)/2</f>
        <v/>
      </c>
      <c r="BG14" s="64">
        <f>(BG10+BG13)/2</f>
        <v/>
      </c>
      <c r="BH14" s="64">
        <f>(BH10+BH13)/2</f>
        <v/>
      </c>
      <c r="BI14" s="64">
        <f>(BI10+BI13)/2</f>
        <v/>
      </c>
      <c r="BJ14" s="64">
        <f>(BJ10+BJ13)/2</f>
        <v/>
      </c>
      <c r="BK14" s="64">
        <f>(BK10+BK13)/2</f>
        <v/>
      </c>
    </row>
    <row r="15">
      <c r="B15" s="61" t="inlineStr">
        <is>
          <t>Free trials started</t>
        </is>
      </c>
      <c r="C15" s="92" t="inlineStr">
        <is>
          <t>trials</t>
        </is>
      </c>
      <c r="D15" s="64">
        <f>IFERROR(D11/Inputs!$D$45,0)</f>
        <v/>
      </c>
      <c r="E15" s="64">
        <f>IFERROR(E11/Inputs!$D$45,0)</f>
        <v/>
      </c>
      <c r="F15" s="64">
        <f>IFERROR(F11/Inputs!$D$45,0)</f>
        <v/>
      </c>
      <c r="G15" s="64">
        <f>IFERROR(G11/Inputs!$D$45,0)</f>
        <v/>
      </c>
      <c r="H15" s="64">
        <f>IFERROR(H11/Inputs!$D$45,0)</f>
        <v/>
      </c>
      <c r="I15" s="64">
        <f>IFERROR(I11/Inputs!$D$45,0)</f>
        <v/>
      </c>
      <c r="J15" s="64">
        <f>IFERROR(J11/Inputs!$D$45,0)</f>
        <v/>
      </c>
      <c r="K15" s="64">
        <f>IFERROR(K11/Inputs!$D$45,0)</f>
        <v/>
      </c>
      <c r="L15" s="64">
        <f>IFERROR(L11/Inputs!$D$45,0)</f>
        <v/>
      </c>
      <c r="M15" s="64">
        <f>IFERROR(M11/Inputs!$D$45,0)</f>
        <v/>
      </c>
      <c r="N15" s="64">
        <f>IFERROR(N11/Inputs!$D$45,0)</f>
        <v/>
      </c>
      <c r="O15" s="64">
        <f>IFERROR(O11/Inputs!$D$45,0)</f>
        <v/>
      </c>
      <c r="P15" s="64">
        <f>IFERROR(P11/Inputs!$D$45,0)</f>
        <v/>
      </c>
      <c r="Q15" s="64">
        <f>IFERROR(Q11/Inputs!$D$45,0)</f>
        <v/>
      </c>
      <c r="R15" s="64">
        <f>IFERROR(R11/Inputs!$D$45,0)</f>
        <v/>
      </c>
      <c r="S15" s="64">
        <f>IFERROR(S11/Inputs!$D$45,0)</f>
        <v/>
      </c>
      <c r="T15" s="64">
        <f>IFERROR(T11/Inputs!$D$45,0)</f>
        <v/>
      </c>
      <c r="U15" s="64">
        <f>IFERROR(U11/Inputs!$D$45,0)</f>
        <v/>
      </c>
      <c r="V15" s="64">
        <f>IFERROR(V11/Inputs!$D$45,0)</f>
        <v/>
      </c>
      <c r="W15" s="64">
        <f>IFERROR(W11/Inputs!$D$45,0)</f>
        <v/>
      </c>
      <c r="X15" s="64">
        <f>IFERROR(X11/Inputs!$D$45,0)</f>
        <v/>
      </c>
      <c r="Y15" s="64">
        <f>IFERROR(Y11/Inputs!$D$45,0)</f>
        <v/>
      </c>
      <c r="Z15" s="64">
        <f>IFERROR(Z11/Inputs!$D$45,0)</f>
        <v/>
      </c>
      <c r="AA15" s="64">
        <f>IFERROR(AA11/Inputs!$D$45,0)</f>
        <v/>
      </c>
      <c r="AB15" s="64">
        <f>IFERROR(AB11/Inputs!$D$45,0)</f>
        <v/>
      </c>
      <c r="AC15" s="64">
        <f>IFERROR(AC11/Inputs!$D$45,0)</f>
        <v/>
      </c>
      <c r="AD15" s="64">
        <f>IFERROR(AD11/Inputs!$D$45,0)</f>
        <v/>
      </c>
      <c r="AE15" s="64">
        <f>IFERROR(AE11/Inputs!$D$45,0)</f>
        <v/>
      </c>
      <c r="AF15" s="64">
        <f>IFERROR(AF11/Inputs!$D$45,0)</f>
        <v/>
      </c>
      <c r="AG15" s="64">
        <f>IFERROR(AG11/Inputs!$D$45,0)</f>
        <v/>
      </c>
      <c r="AH15" s="64">
        <f>IFERROR(AH11/Inputs!$D$45,0)</f>
        <v/>
      </c>
      <c r="AI15" s="64">
        <f>IFERROR(AI11/Inputs!$D$45,0)</f>
        <v/>
      </c>
      <c r="AJ15" s="64">
        <f>IFERROR(AJ11/Inputs!$D$45,0)</f>
        <v/>
      </c>
      <c r="AK15" s="64">
        <f>IFERROR(AK11/Inputs!$D$45,0)</f>
        <v/>
      </c>
      <c r="AL15" s="64">
        <f>IFERROR(AL11/Inputs!$D$45,0)</f>
        <v/>
      </c>
      <c r="AM15" s="64">
        <f>IFERROR(AM11/Inputs!$D$45,0)</f>
        <v/>
      </c>
      <c r="AN15" s="64">
        <f>IFERROR(AN11/Inputs!$D$45,0)</f>
        <v/>
      </c>
      <c r="AO15" s="64">
        <f>IFERROR(AO11/Inputs!$D$45,0)</f>
        <v/>
      </c>
      <c r="AP15" s="64">
        <f>IFERROR(AP11/Inputs!$D$45,0)</f>
        <v/>
      </c>
      <c r="AQ15" s="64">
        <f>IFERROR(AQ11/Inputs!$D$45,0)</f>
        <v/>
      </c>
      <c r="AR15" s="64">
        <f>IFERROR(AR11/Inputs!$D$45,0)</f>
        <v/>
      </c>
      <c r="AS15" s="64">
        <f>IFERROR(AS11/Inputs!$D$45,0)</f>
        <v/>
      </c>
      <c r="AT15" s="64">
        <f>IFERROR(AT11/Inputs!$D$45,0)</f>
        <v/>
      </c>
      <c r="AU15" s="64">
        <f>IFERROR(AU11/Inputs!$D$45,0)</f>
        <v/>
      </c>
      <c r="AV15" s="64">
        <f>IFERROR(AV11/Inputs!$D$45,0)</f>
        <v/>
      </c>
      <c r="AW15" s="64">
        <f>IFERROR(AW11/Inputs!$D$45,0)</f>
        <v/>
      </c>
      <c r="AX15" s="64">
        <f>IFERROR(AX11/Inputs!$D$45,0)</f>
        <v/>
      </c>
      <c r="AY15" s="64">
        <f>IFERROR(AY11/Inputs!$D$45,0)</f>
        <v/>
      </c>
      <c r="AZ15" s="64">
        <f>IFERROR(AZ11/Inputs!$D$45,0)</f>
        <v/>
      </c>
      <c r="BA15" s="64">
        <f>IFERROR(BA11/Inputs!$D$45,0)</f>
        <v/>
      </c>
      <c r="BB15" s="64">
        <f>IFERROR(BB11/Inputs!$D$45,0)</f>
        <v/>
      </c>
      <c r="BC15" s="64">
        <f>IFERROR(BC11/Inputs!$D$45,0)</f>
        <v/>
      </c>
      <c r="BD15" s="64">
        <f>IFERROR(BD11/Inputs!$D$45,0)</f>
        <v/>
      </c>
      <c r="BE15" s="64">
        <f>IFERROR(BE11/Inputs!$D$45,0)</f>
        <v/>
      </c>
      <c r="BF15" s="64">
        <f>IFERROR(BF11/Inputs!$D$45,0)</f>
        <v/>
      </c>
      <c r="BG15" s="64">
        <f>IFERROR(BG11/Inputs!$D$45,0)</f>
        <v/>
      </c>
      <c r="BH15" s="64">
        <f>IFERROR(BH11/Inputs!$D$45,0)</f>
        <v/>
      </c>
      <c r="BI15" s="64">
        <f>IFERROR(BI11/Inputs!$D$45,0)</f>
        <v/>
      </c>
      <c r="BJ15" s="64">
        <f>IFERROR(BJ11/Inputs!$D$45,0)</f>
        <v/>
      </c>
      <c r="BK15" s="64">
        <f>IFERROR(BK11/Inputs!$D$45,0)</f>
        <v/>
      </c>
    </row>
    <row r="17">
      <c r="B17" s="23" t="inlineStr">
        <is>
          <t>REVENUE  (EUR)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</row>
    <row r="18">
      <c r="B18" s="61" t="inlineStr">
        <is>
          <t>Voice Care price (indexed)</t>
        </is>
      </c>
      <c r="C18" s="92" t="inlineStr">
        <is>
          <t>EUR</t>
        </is>
      </c>
      <c r="D18" s="67">
        <f>Inputs!$D$20*(1+Inputs!$D$24)^(D5-1)</f>
        <v/>
      </c>
      <c r="E18" s="67">
        <f>Inputs!$D$20*(1+Inputs!$D$24)^(E5-1)</f>
        <v/>
      </c>
      <c r="F18" s="67">
        <f>Inputs!$D$20*(1+Inputs!$D$24)^(F5-1)</f>
        <v/>
      </c>
      <c r="G18" s="67">
        <f>Inputs!$D$20*(1+Inputs!$D$24)^(G5-1)</f>
        <v/>
      </c>
      <c r="H18" s="67">
        <f>Inputs!$D$20*(1+Inputs!$D$24)^(H5-1)</f>
        <v/>
      </c>
      <c r="I18" s="67">
        <f>Inputs!$D$20*(1+Inputs!$D$24)^(I5-1)</f>
        <v/>
      </c>
      <c r="J18" s="67">
        <f>Inputs!$D$20*(1+Inputs!$D$24)^(J5-1)</f>
        <v/>
      </c>
      <c r="K18" s="67">
        <f>Inputs!$D$20*(1+Inputs!$D$24)^(K5-1)</f>
        <v/>
      </c>
      <c r="L18" s="67">
        <f>Inputs!$D$20*(1+Inputs!$D$24)^(L5-1)</f>
        <v/>
      </c>
      <c r="M18" s="67">
        <f>Inputs!$D$20*(1+Inputs!$D$24)^(M5-1)</f>
        <v/>
      </c>
      <c r="N18" s="67">
        <f>Inputs!$D$20*(1+Inputs!$D$24)^(N5-1)</f>
        <v/>
      </c>
      <c r="O18" s="67">
        <f>Inputs!$D$20*(1+Inputs!$D$24)^(O5-1)</f>
        <v/>
      </c>
      <c r="P18" s="67">
        <f>Inputs!$D$20*(1+Inputs!$D$24)^(P5-1)</f>
        <v/>
      </c>
      <c r="Q18" s="67">
        <f>Inputs!$D$20*(1+Inputs!$D$24)^(Q5-1)</f>
        <v/>
      </c>
      <c r="R18" s="67">
        <f>Inputs!$D$20*(1+Inputs!$D$24)^(R5-1)</f>
        <v/>
      </c>
      <c r="S18" s="67">
        <f>Inputs!$D$20*(1+Inputs!$D$24)^(S5-1)</f>
        <v/>
      </c>
      <c r="T18" s="67">
        <f>Inputs!$D$20*(1+Inputs!$D$24)^(T5-1)</f>
        <v/>
      </c>
      <c r="U18" s="67">
        <f>Inputs!$D$20*(1+Inputs!$D$24)^(U5-1)</f>
        <v/>
      </c>
      <c r="V18" s="67">
        <f>Inputs!$D$20*(1+Inputs!$D$24)^(V5-1)</f>
        <v/>
      </c>
      <c r="W18" s="67">
        <f>Inputs!$D$20*(1+Inputs!$D$24)^(W5-1)</f>
        <v/>
      </c>
      <c r="X18" s="67">
        <f>Inputs!$D$20*(1+Inputs!$D$24)^(X5-1)</f>
        <v/>
      </c>
      <c r="Y18" s="67">
        <f>Inputs!$D$20*(1+Inputs!$D$24)^(Y5-1)</f>
        <v/>
      </c>
      <c r="Z18" s="67">
        <f>Inputs!$D$20*(1+Inputs!$D$24)^(Z5-1)</f>
        <v/>
      </c>
      <c r="AA18" s="67">
        <f>Inputs!$D$20*(1+Inputs!$D$24)^(AA5-1)</f>
        <v/>
      </c>
      <c r="AB18" s="67">
        <f>Inputs!$D$20*(1+Inputs!$D$24)^(AB5-1)</f>
        <v/>
      </c>
      <c r="AC18" s="67">
        <f>Inputs!$D$20*(1+Inputs!$D$24)^(AC5-1)</f>
        <v/>
      </c>
      <c r="AD18" s="67">
        <f>Inputs!$D$20*(1+Inputs!$D$24)^(AD5-1)</f>
        <v/>
      </c>
      <c r="AE18" s="67">
        <f>Inputs!$D$20*(1+Inputs!$D$24)^(AE5-1)</f>
        <v/>
      </c>
      <c r="AF18" s="67">
        <f>Inputs!$D$20*(1+Inputs!$D$24)^(AF5-1)</f>
        <v/>
      </c>
      <c r="AG18" s="67">
        <f>Inputs!$D$20*(1+Inputs!$D$24)^(AG5-1)</f>
        <v/>
      </c>
      <c r="AH18" s="67">
        <f>Inputs!$D$20*(1+Inputs!$D$24)^(AH5-1)</f>
        <v/>
      </c>
      <c r="AI18" s="67">
        <f>Inputs!$D$20*(1+Inputs!$D$24)^(AI5-1)</f>
        <v/>
      </c>
      <c r="AJ18" s="67">
        <f>Inputs!$D$20*(1+Inputs!$D$24)^(AJ5-1)</f>
        <v/>
      </c>
      <c r="AK18" s="67">
        <f>Inputs!$D$20*(1+Inputs!$D$24)^(AK5-1)</f>
        <v/>
      </c>
      <c r="AL18" s="67">
        <f>Inputs!$D$20*(1+Inputs!$D$24)^(AL5-1)</f>
        <v/>
      </c>
      <c r="AM18" s="67">
        <f>Inputs!$D$20*(1+Inputs!$D$24)^(AM5-1)</f>
        <v/>
      </c>
      <c r="AN18" s="67">
        <f>Inputs!$D$20*(1+Inputs!$D$24)^(AN5-1)</f>
        <v/>
      </c>
      <c r="AO18" s="67">
        <f>Inputs!$D$20*(1+Inputs!$D$24)^(AO5-1)</f>
        <v/>
      </c>
      <c r="AP18" s="67">
        <f>Inputs!$D$20*(1+Inputs!$D$24)^(AP5-1)</f>
        <v/>
      </c>
      <c r="AQ18" s="67">
        <f>Inputs!$D$20*(1+Inputs!$D$24)^(AQ5-1)</f>
        <v/>
      </c>
      <c r="AR18" s="67">
        <f>Inputs!$D$20*(1+Inputs!$D$24)^(AR5-1)</f>
        <v/>
      </c>
      <c r="AS18" s="67">
        <f>Inputs!$D$20*(1+Inputs!$D$24)^(AS5-1)</f>
        <v/>
      </c>
      <c r="AT18" s="67">
        <f>Inputs!$D$20*(1+Inputs!$D$24)^(AT5-1)</f>
        <v/>
      </c>
      <c r="AU18" s="67">
        <f>Inputs!$D$20*(1+Inputs!$D$24)^(AU5-1)</f>
        <v/>
      </c>
      <c r="AV18" s="67">
        <f>Inputs!$D$20*(1+Inputs!$D$24)^(AV5-1)</f>
        <v/>
      </c>
      <c r="AW18" s="67">
        <f>Inputs!$D$20*(1+Inputs!$D$24)^(AW5-1)</f>
        <v/>
      </c>
      <c r="AX18" s="67">
        <f>Inputs!$D$20*(1+Inputs!$D$24)^(AX5-1)</f>
        <v/>
      </c>
      <c r="AY18" s="67">
        <f>Inputs!$D$20*(1+Inputs!$D$24)^(AY5-1)</f>
        <v/>
      </c>
      <c r="AZ18" s="67">
        <f>Inputs!$D$20*(1+Inputs!$D$24)^(AZ5-1)</f>
        <v/>
      </c>
      <c r="BA18" s="67">
        <f>Inputs!$D$20*(1+Inputs!$D$24)^(BA5-1)</f>
        <v/>
      </c>
      <c r="BB18" s="67">
        <f>Inputs!$D$20*(1+Inputs!$D$24)^(BB5-1)</f>
        <v/>
      </c>
      <c r="BC18" s="67">
        <f>Inputs!$D$20*(1+Inputs!$D$24)^(BC5-1)</f>
        <v/>
      </c>
      <c r="BD18" s="67">
        <f>Inputs!$D$20*(1+Inputs!$D$24)^(BD5-1)</f>
        <v/>
      </c>
      <c r="BE18" s="67">
        <f>Inputs!$D$20*(1+Inputs!$D$24)^(BE5-1)</f>
        <v/>
      </c>
      <c r="BF18" s="67">
        <f>Inputs!$D$20*(1+Inputs!$D$24)^(BF5-1)</f>
        <v/>
      </c>
      <c r="BG18" s="67">
        <f>Inputs!$D$20*(1+Inputs!$D$24)^(BG5-1)</f>
        <v/>
      </c>
      <c r="BH18" s="67">
        <f>Inputs!$D$20*(1+Inputs!$D$24)^(BH5-1)</f>
        <v/>
      </c>
      <c r="BI18" s="67">
        <f>Inputs!$D$20*(1+Inputs!$D$24)^(BI5-1)</f>
        <v/>
      </c>
      <c r="BJ18" s="67">
        <f>Inputs!$D$20*(1+Inputs!$D$24)^(BJ5-1)</f>
        <v/>
      </c>
      <c r="BK18" s="67">
        <f>Inputs!$D$20*(1+Inputs!$D$24)^(BK5-1)</f>
        <v/>
      </c>
    </row>
    <row r="19">
      <c r="B19" s="61" t="inlineStr">
        <is>
          <t>Preventive Care price (indexed)</t>
        </is>
      </c>
      <c r="C19" s="92" t="inlineStr">
        <is>
          <t>EUR</t>
        </is>
      </c>
      <c r="D19" s="67">
        <f>Inputs!$D$21*(1+Inputs!$D$24)^(D5-1)</f>
        <v/>
      </c>
      <c r="E19" s="67">
        <f>Inputs!$D$21*(1+Inputs!$D$24)^(E5-1)</f>
        <v/>
      </c>
      <c r="F19" s="67">
        <f>Inputs!$D$21*(1+Inputs!$D$24)^(F5-1)</f>
        <v/>
      </c>
      <c r="G19" s="67">
        <f>Inputs!$D$21*(1+Inputs!$D$24)^(G5-1)</f>
        <v/>
      </c>
      <c r="H19" s="67">
        <f>Inputs!$D$21*(1+Inputs!$D$24)^(H5-1)</f>
        <v/>
      </c>
      <c r="I19" s="67">
        <f>Inputs!$D$21*(1+Inputs!$D$24)^(I5-1)</f>
        <v/>
      </c>
      <c r="J19" s="67">
        <f>Inputs!$D$21*(1+Inputs!$D$24)^(J5-1)</f>
        <v/>
      </c>
      <c r="K19" s="67">
        <f>Inputs!$D$21*(1+Inputs!$D$24)^(K5-1)</f>
        <v/>
      </c>
      <c r="L19" s="67">
        <f>Inputs!$D$21*(1+Inputs!$D$24)^(L5-1)</f>
        <v/>
      </c>
      <c r="M19" s="67">
        <f>Inputs!$D$21*(1+Inputs!$D$24)^(M5-1)</f>
        <v/>
      </c>
      <c r="N19" s="67">
        <f>Inputs!$D$21*(1+Inputs!$D$24)^(N5-1)</f>
        <v/>
      </c>
      <c r="O19" s="67">
        <f>Inputs!$D$21*(1+Inputs!$D$24)^(O5-1)</f>
        <v/>
      </c>
      <c r="P19" s="67">
        <f>Inputs!$D$21*(1+Inputs!$D$24)^(P5-1)</f>
        <v/>
      </c>
      <c r="Q19" s="67">
        <f>Inputs!$D$21*(1+Inputs!$D$24)^(Q5-1)</f>
        <v/>
      </c>
      <c r="R19" s="67">
        <f>Inputs!$D$21*(1+Inputs!$D$24)^(R5-1)</f>
        <v/>
      </c>
      <c r="S19" s="67">
        <f>Inputs!$D$21*(1+Inputs!$D$24)^(S5-1)</f>
        <v/>
      </c>
      <c r="T19" s="67">
        <f>Inputs!$D$21*(1+Inputs!$D$24)^(T5-1)</f>
        <v/>
      </c>
      <c r="U19" s="67">
        <f>Inputs!$D$21*(1+Inputs!$D$24)^(U5-1)</f>
        <v/>
      </c>
      <c r="V19" s="67">
        <f>Inputs!$D$21*(1+Inputs!$D$24)^(V5-1)</f>
        <v/>
      </c>
      <c r="W19" s="67">
        <f>Inputs!$D$21*(1+Inputs!$D$24)^(W5-1)</f>
        <v/>
      </c>
      <c r="X19" s="67">
        <f>Inputs!$D$21*(1+Inputs!$D$24)^(X5-1)</f>
        <v/>
      </c>
      <c r="Y19" s="67">
        <f>Inputs!$D$21*(1+Inputs!$D$24)^(Y5-1)</f>
        <v/>
      </c>
      <c r="Z19" s="67">
        <f>Inputs!$D$21*(1+Inputs!$D$24)^(Z5-1)</f>
        <v/>
      </c>
      <c r="AA19" s="67">
        <f>Inputs!$D$21*(1+Inputs!$D$24)^(AA5-1)</f>
        <v/>
      </c>
      <c r="AB19" s="67">
        <f>Inputs!$D$21*(1+Inputs!$D$24)^(AB5-1)</f>
        <v/>
      </c>
      <c r="AC19" s="67">
        <f>Inputs!$D$21*(1+Inputs!$D$24)^(AC5-1)</f>
        <v/>
      </c>
      <c r="AD19" s="67">
        <f>Inputs!$D$21*(1+Inputs!$D$24)^(AD5-1)</f>
        <v/>
      </c>
      <c r="AE19" s="67">
        <f>Inputs!$D$21*(1+Inputs!$D$24)^(AE5-1)</f>
        <v/>
      </c>
      <c r="AF19" s="67">
        <f>Inputs!$D$21*(1+Inputs!$D$24)^(AF5-1)</f>
        <v/>
      </c>
      <c r="AG19" s="67">
        <f>Inputs!$D$21*(1+Inputs!$D$24)^(AG5-1)</f>
        <v/>
      </c>
      <c r="AH19" s="67">
        <f>Inputs!$D$21*(1+Inputs!$D$24)^(AH5-1)</f>
        <v/>
      </c>
      <c r="AI19" s="67">
        <f>Inputs!$D$21*(1+Inputs!$D$24)^(AI5-1)</f>
        <v/>
      </c>
      <c r="AJ19" s="67">
        <f>Inputs!$D$21*(1+Inputs!$D$24)^(AJ5-1)</f>
        <v/>
      </c>
      <c r="AK19" s="67">
        <f>Inputs!$D$21*(1+Inputs!$D$24)^(AK5-1)</f>
        <v/>
      </c>
      <c r="AL19" s="67">
        <f>Inputs!$D$21*(1+Inputs!$D$24)^(AL5-1)</f>
        <v/>
      </c>
      <c r="AM19" s="67">
        <f>Inputs!$D$21*(1+Inputs!$D$24)^(AM5-1)</f>
        <v/>
      </c>
      <c r="AN19" s="67">
        <f>Inputs!$D$21*(1+Inputs!$D$24)^(AN5-1)</f>
        <v/>
      </c>
      <c r="AO19" s="67">
        <f>Inputs!$D$21*(1+Inputs!$D$24)^(AO5-1)</f>
        <v/>
      </c>
      <c r="AP19" s="67">
        <f>Inputs!$D$21*(1+Inputs!$D$24)^(AP5-1)</f>
        <v/>
      </c>
      <c r="AQ19" s="67">
        <f>Inputs!$D$21*(1+Inputs!$D$24)^(AQ5-1)</f>
        <v/>
      </c>
      <c r="AR19" s="67">
        <f>Inputs!$D$21*(1+Inputs!$D$24)^(AR5-1)</f>
        <v/>
      </c>
      <c r="AS19" s="67">
        <f>Inputs!$D$21*(1+Inputs!$D$24)^(AS5-1)</f>
        <v/>
      </c>
      <c r="AT19" s="67">
        <f>Inputs!$D$21*(1+Inputs!$D$24)^(AT5-1)</f>
        <v/>
      </c>
      <c r="AU19" s="67">
        <f>Inputs!$D$21*(1+Inputs!$D$24)^(AU5-1)</f>
        <v/>
      </c>
      <c r="AV19" s="67">
        <f>Inputs!$D$21*(1+Inputs!$D$24)^(AV5-1)</f>
        <v/>
      </c>
      <c r="AW19" s="67">
        <f>Inputs!$D$21*(1+Inputs!$D$24)^(AW5-1)</f>
        <v/>
      </c>
      <c r="AX19" s="67">
        <f>Inputs!$D$21*(1+Inputs!$D$24)^(AX5-1)</f>
        <v/>
      </c>
      <c r="AY19" s="67">
        <f>Inputs!$D$21*(1+Inputs!$D$24)^(AY5-1)</f>
        <v/>
      </c>
      <c r="AZ19" s="67">
        <f>Inputs!$D$21*(1+Inputs!$D$24)^(AZ5-1)</f>
        <v/>
      </c>
      <c r="BA19" s="67">
        <f>Inputs!$D$21*(1+Inputs!$D$24)^(BA5-1)</f>
        <v/>
      </c>
      <c r="BB19" s="67">
        <f>Inputs!$D$21*(1+Inputs!$D$24)^(BB5-1)</f>
        <v/>
      </c>
      <c r="BC19" s="67">
        <f>Inputs!$D$21*(1+Inputs!$D$24)^(BC5-1)</f>
        <v/>
      </c>
      <c r="BD19" s="67">
        <f>Inputs!$D$21*(1+Inputs!$D$24)^(BD5-1)</f>
        <v/>
      </c>
      <c r="BE19" s="67">
        <f>Inputs!$D$21*(1+Inputs!$D$24)^(BE5-1)</f>
        <v/>
      </c>
      <c r="BF19" s="67">
        <f>Inputs!$D$21*(1+Inputs!$D$24)^(BF5-1)</f>
        <v/>
      </c>
      <c r="BG19" s="67">
        <f>Inputs!$D$21*(1+Inputs!$D$24)^(BG5-1)</f>
        <v/>
      </c>
      <c r="BH19" s="67">
        <f>Inputs!$D$21*(1+Inputs!$D$24)^(BH5-1)</f>
        <v/>
      </c>
      <c r="BI19" s="67">
        <f>Inputs!$D$21*(1+Inputs!$D$24)^(BI5-1)</f>
        <v/>
      </c>
      <c r="BJ19" s="67">
        <f>Inputs!$D$21*(1+Inputs!$D$24)^(BJ5-1)</f>
        <v/>
      </c>
      <c r="BK19" s="67">
        <f>Inputs!$D$21*(1+Inputs!$D$24)^(BK5-1)</f>
        <v/>
      </c>
    </row>
    <row r="20">
      <c r="B20" s="61" t="inlineStr">
        <is>
          <t>Preventive Care attach rate</t>
        </is>
      </c>
      <c r="C20" s="92" t="inlineStr">
        <is>
          <t>%</t>
        </is>
      </c>
      <c r="D20" s="68">
        <f>IF(OR(D7=0,D4&lt;Inputs!$C$15),0,INDEX(Inputs!$C$50:$G$50,1,D7)*Inputs!$C$51)</f>
        <v/>
      </c>
      <c r="E20" s="68">
        <f>IF(OR(E7=0,E4&lt;Inputs!$C$15),0,INDEX(Inputs!$C$50:$G$50,1,E7)*Inputs!$C$51)</f>
        <v/>
      </c>
      <c r="F20" s="68">
        <f>IF(OR(F7=0,F4&lt;Inputs!$C$15),0,INDEX(Inputs!$C$50:$G$50,1,F7)*Inputs!$C$51)</f>
        <v/>
      </c>
      <c r="G20" s="68">
        <f>IF(OR(G7=0,G4&lt;Inputs!$C$15),0,INDEX(Inputs!$C$50:$G$50,1,G7)*Inputs!$C$51)</f>
        <v/>
      </c>
      <c r="H20" s="68">
        <f>IF(OR(H7=0,H4&lt;Inputs!$C$15),0,INDEX(Inputs!$C$50:$G$50,1,H7)*Inputs!$C$51)</f>
        <v/>
      </c>
      <c r="I20" s="68">
        <f>IF(OR(I7=0,I4&lt;Inputs!$C$15),0,INDEX(Inputs!$C$50:$G$50,1,I7)*Inputs!$C$51)</f>
        <v/>
      </c>
      <c r="J20" s="68">
        <f>IF(OR(J7=0,J4&lt;Inputs!$C$15),0,INDEX(Inputs!$C$50:$G$50,1,J7)*Inputs!$C$51)</f>
        <v/>
      </c>
      <c r="K20" s="68">
        <f>IF(OR(K7=0,K4&lt;Inputs!$C$15),0,INDEX(Inputs!$C$50:$G$50,1,K7)*Inputs!$C$51)</f>
        <v/>
      </c>
      <c r="L20" s="68">
        <f>IF(OR(L7=0,L4&lt;Inputs!$C$15),0,INDEX(Inputs!$C$50:$G$50,1,L7)*Inputs!$C$51)</f>
        <v/>
      </c>
      <c r="M20" s="68">
        <f>IF(OR(M7=0,M4&lt;Inputs!$C$15),0,INDEX(Inputs!$C$50:$G$50,1,M7)*Inputs!$C$51)</f>
        <v/>
      </c>
      <c r="N20" s="68">
        <f>IF(OR(N7=0,N4&lt;Inputs!$C$15),0,INDEX(Inputs!$C$50:$G$50,1,N7)*Inputs!$C$51)</f>
        <v/>
      </c>
      <c r="O20" s="68">
        <f>IF(OR(O7=0,O4&lt;Inputs!$C$15),0,INDEX(Inputs!$C$50:$G$50,1,O7)*Inputs!$C$51)</f>
        <v/>
      </c>
      <c r="P20" s="68">
        <f>IF(OR(P7=0,P4&lt;Inputs!$C$15),0,INDEX(Inputs!$C$50:$G$50,1,P7)*Inputs!$C$51)</f>
        <v/>
      </c>
      <c r="Q20" s="68">
        <f>IF(OR(Q7=0,Q4&lt;Inputs!$C$15),0,INDEX(Inputs!$C$50:$G$50,1,Q7)*Inputs!$C$51)</f>
        <v/>
      </c>
      <c r="R20" s="68">
        <f>IF(OR(R7=0,R4&lt;Inputs!$C$15),0,INDEX(Inputs!$C$50:$G$50,1,R7)*Inputs!$C$51)</f>
        <v/>
      </c>
      <c r="S20" s="68">
        <f>IF(OR(S7=0,S4&lt;Inputs!$C$15),0,INDEX(Inputs!$C$50:$G$50,1,S7)*Inputs!$C$51)</f>
        <v/>
      </c>
      <c r="T20" s="68">
        <f>IF(OR(T7=0,T4&lt;Inputs!$C$15),0,INDEX(Inputs!$C$50:$G$50,1,T7)*Inputs!$C$51)</f>
        <v/>
      </c>
      <c r="U20" s="68">
        <f>IF(OR(U7=0,U4&lt;Inputs!$C$15),0,INDEX(Inputs!$C$50:$G$50,1,U7)*Inputs!$C$51)</f>
        <v/>
      </c>
      <c r="V20" s="68">
        <f>IF(OR(V7=0,V4&lt;Inputs!$C$15),0,INDEX(Inputs!$C$50:$G$50,1,V7)*Inputs!$C$51)</f>
        <v/>
      </c>
      <c r="W20" s="68">
        <f>IF(OR(W7=0,W4&lt;Inputs!$C$15),0,INDEX(Inputs!$C$50:$G$50,1,W7)*Inputs!$C$51)</f>
        <v/>
      </c>
      <c r="X20" s="68">
        <f>IF(OR(X7=0,X4&lt;Inputs!$C$15),0,INDEX(Inputs!$C$50:$G$50,1,X7)*Inputs!$C$51)</f>
        <v/>
      </c>
      <c r="Y20" s="68">
        <f>IF(OR(Y7=0,Y4&lt;Inputs!$C$15),0,INDEX(Inputs!$C$50:$G$50,1,Y7)*Inputs!$C$51)</f>
        <v/>
      </c>
      <c r="Z20" s="68">
        <f>IF(OR(Z7=0,Z4&lt;Inputs!$C$15),0,INDEX(Inputs!$C$50:$G$50,1,Z7)*Inputs!$C$51)</f>
        <v/>
      </c>
      <c r="AA20" s="68">
        <f>IF(OR(AA7=0,AA4&lt;Inputs!$C$15),0,INDEX(Inputs!$C$50:$G$50,1,AA7)*Inputs!$C$51)</f>
        <v/>
      </c>
      <c r="AB20" s="68">
        <f>IF(OR(AB7=0,AB4&lt;Inputs!$C$15),0,INDEX(Inputs!$C$50:$G$50,1,AB7)*Inputs!$C$51)</f>
        <v/>
      </c>
      <c r="AC20" s="68">
        <f>IF(OR(AC7=0,AC4&lt;Inputs!$C$15),0,INDEX(Inputs!$C$50:$G$50,1,AC7)*Inputs!$C$51)</f>
        <v/>
      </c>
      <c r="AD20" s="68">
        <f>IF(OR(AD7=0,AD4&lt;Inputs!$C$15),0,INDEX(Inputs!$C$50:$G$50,1,AD7)*Inputs!$C$51)</f>
        <v/>
      </c>
      <c r="AE20" s="68">
        <f>IF(OR(AE7=0,AE4&lt;Inputs!$C$15),0,INDEX(Inputs!$C$50:$G$50,1,AE7)*Inputs!$C$51)</f>
        <v/>
      </c>
      <c r="AF20" s="68">
        <f>IF(OR(AF7=0,AF4&lt;Inputs!$C$15),0,INDEX(Inputs!$C$50:$G$50,1,AF7)*Inputs!$C$51)</f>
        <v/>
      </c>
      <c r="AG20" s="68">
        <f>IF(OR(AG7=0,AG4&lt;Inputs!$C$15),0,INDEX(Inputs!$C$50:$G$50,1,AG7)*Inputs!$C$51)</f>
        <v/>
      </c>
      <c r="AH20" s="68">
        <f>IF(OR(AH7=0,AH4&lt;Inputs!$C$15),0,INDEX(Inputs!$C$50:$G$50,1,AH7)*Inputs!$C$51)</f>
        <v/>
      </c>
      <c r="AI20" s="68">
        <f>IF(OR(AI7=0,AI4&lt;Inputs!$C$15),0,INDEX(Inputs!$C$50:$G$50,1,AI7)*Inputs!$C$51)</f>
        <v/>
      </c>
      <c r="AJ20" s="68">
        <f>IF(OR(AJ7=0,AJ4&lt;Inputs!$C$15),0,INDEX(Inputs!$C$50:$G$50,1,AJ7)*Inputs!$C$51)</f>
        <v/>
      </c>
      <c r="AK20" s="68">
        <f>IF(OR(AK7=0,AK4&lt;Inputs!$C$15),0,INDEX(Inputs!$C$50:$G$50,1,AK7)*Inputs!$C$51)</f>
        <v/>
      </c>
      <c r="AL20" s="68">
        <f>IF(OR(AL7=0,AL4&lt;Inputs!$C$15),0,INDEX(Inputs!$C$50:$G$50,1,AL7)*Inputs!$C$51)</f>
        <v/>
      </c>
      <c r="AM20" s="68">
        <f>IF(OR(AM7=0,AM4&lt;Inputs!$C$15),0,INDEX(Inputs!$C$50:$G$50,1,AM7)*Inputs!$C$51)</f>
        <v/>
      </c>
      <c r="AN20" s="68">
        <f>IF(OR(AN7=0,AN4&lt;Inputs!$C$15),0,INDEX(Inputs!$C$50:$G$50,1,AN7)*Inputs!$C$51)</f>
        <v/>
      </c>
      <c r="AO20" s="68">
        <f>IF(OR(AO7=0,AO4&lt;Inputs!$C$15),0,INDEX(Inputs!$C$50:$G$50,1,AO7)*Inputs!$C$51)</f>
        <v/>
      </c>
      <c r="AP20" s="68">
        <f>IF(OR(AP7=0,AP4&lt;Inputs!$C$15),0,INDEX(Inputs!$C$50:$G$50,1,AP7)*Inputs!$C$51)</f>
        <v/>
      </c>
      <c r="AQ20" s="68">
        <f>IF(OR(AQ7=0,AQ4&lt;Inputs!$C$15),0,INDEX(Inputs!$C$50:$G$50,1,AQ7)*Inputs!$C$51)</f>
        <v/>
      </c>
      <c r="AR20" s="68">
        <f>IF(OR(AR7=0,AR4&lt;Inputs!$C$15),0,INDEX(Inputs!$C$50:$G$50,1,AR7)*Inputs!$C$51)</f>
        <v/>
      </c>
      <c r="AS20" s="68">
        <f>IF(OR(AS7=0,AS4&lt;Inputs!$C$15),0,INDEX(Inputs!$C$50:$G$50,1,AS7)*Inputs!$C$51)</f>
        <v/>
      </c>
      <c r="AT20" s="68">
        <f>IF(OR(AT7=0,AT4&lt;Inputs!$C$15),0,INDEX(Inputs!$C$50:$G$50,1,AT7)*Inputs!$C$51)</f>
        <v/>
      </c>
      <c r="AU20" s="68">
        <f>IF(OR(AU7=0,AU4&lt;Inputs!$C$15),0,INDEX(Inputs!$C$50:$G$50,1,AU7)*Inputs!$C$51)</f>
        <v/>
      </c>
      <c r="AV20" s="68">
        <f>IF(OR(AV7=0,AV4&lt;Inputs!$C$15),0,INDEX(Inputs!$C$50:$G$50,1,AV7)*Inputs!$C$51)</f>
        <v/>
      </c>
      <c r="AW20" s="68">
        <f>IF(OR(AW7=0,AW4&lt;Inputs!$C$15),0,INDEX(Inputs!$C$50:$G$50,1,AW7)*Inputs!$C$51)</f>
        <v/>
      </c>
      <c r="AX20" s="68">
        <f>IF(OR(AX7=0,AX4&lt;Inputs!$C$15),0,INDEX(Inputs!$C$50:$G$50,1,AX7)*Inputs!$C$51)</f>
        <v/>
      </c>
      <c r="AY20" s="68">
        <f>IF(OR(AY7=0,AY4&lt;Inputs!$C$15),0,INDEX(Inputs!$C$50:$G$50,1,AY7)*Inputs!$C$51)</f>
        <v/>
      </c>
      <c r="AZ20" s="68">
        <f>IF(OR(AZ7=0,AZ4&lt;Inputs!$C$15),0,INDEX(Inputs!$C$50:$G$50,1,AZ7)*Inputs!$C$51)</f>
        <v/>
      </c>
      <c r="BA20" s="68">
        <f>IF(OR(BA7=0,BA4&lt;Inputs!$C$15),0,INDEX(Inputs!$C$50:$G$50,1,BA7)*Inputs!$C$51)</f>
        <v/>
      </c>
      <c r="BB20" s="68">
        <f>IF(OR(BB7=0,BB4&lt;Inputs!$C$15),0,INDEX(Inputs!$C$50:$G$50,1,BB7)*Inputs!$C$51)</f>
        <v/>
      </c>
      <c r="BC20" s="68">
        <f>IF(OR(BC7=0,BC4&lt;Inputs!$C$15),0,INDEX(Inputs!$C$50:$G$50,1,BC7)*Inputs!$C$51)</f>
        <v/>
      </c>
      <c r="BD20" s="68">
        <f>IF(OR(BD7=0,BD4&lt;Inputs!$C$15),0,INDEX(Inputs!$C$50:$G$50,1,BD7)*Inputs!$C$51)</f>
        <v/>
      </c>
      <c r="BE20" s="68">
        <f>IF(OR(BE7=0,BE4&lt;Inputs!$C$15),0,INDEX(Inputs!$C$50:$G$50,1,BE7)*Inputs!$C$51)</f>
        <v/>
      </c>
      <c r="BF20" s="68">
        <f>IF(OR(BF7=0,BF4&lt;Inputs!$C$15),0,INDEX(Inputs!$C$50:$G$50,1,BF7)*Inputs!$C$51)</f>
        <v/>
      </c>
      <c r="BG20" s="68">
        <f>IF(OR(BG7=0,BG4&lt;Inputs!$C$15),0,INDEX(Inputs!$C$50:$G$50,1,BG7)*Inputs!$C$51)</f>
        <v/>
      </c>
      <c r="BH20" s="68">
        <f>IF(OR(BH7=0,BH4&lt;Inputs!$C$15),0,INDEX(Inputs!$C$50:$G$50,1,BH7)*Inputs!$C$51)</f>
        <v/>
      </c>
      <c r="BI20" s="68">
        <f>IF(OR(BI7=0,BI4&lt;Inputs!$C$15),0,INDEX(Inputs!$C$50:$G$50,1,BI7)*Inputs!$C$51)</f>
        <v/>
      </c>
      <c r="BJ20" s="68">
        <f>IF(OR(BJ7=0,BJ4&lt;Inputs!$C$15),0,INDEX(Inputs!$C$50:$G$50,1,BJ7)*Inputs!$C$51)</f>
        <v/>
      </c>
      <c r="BK20" s="68">
        <f>IF(OR(BK7=0,BK4&lt;Inputs!$C$15),0,INDEX(Inputs!$C$50:$G$50,1,BK7)*Inputs!$C$51)</f>
        <v/>
      </c>
    </row>
    <row r="21">
      <c r="B21" s="61" t="inlineStr">
        <is>
          <t xml:space="preserve">   Gross billings — Voice Care</t>
        </is>
      </c>
      <c r="C21" s="92" t="inlineStr">
        <is>
          <t>EUR</t>
        </is>
      </c>
      <c r="D21" s="64">
        <f>D14*D18</f>
        <v/>
      </c>
      <c r="E21" s="64">
        <f>E14*E18</f>
        <v/>
      </c>
      <c r="F21" s="64">
        <f>F14*F18</f>
        <v/>
      </c>
      <c r="G21" s="64">
        <f>G14*G18</f>
        <v/>
      </c>
      <c r="H21" s="64">
        <f>H14*H18</f>
        <v/>
      </c>
      <c r="I21" s="64">
        <f>I14*I18</f>
        <v/>
      </c>
      <c r="J21" s="64">
        <f>J14*J18</f>
        <v/>
      </c>
      <c r="K21" s="64">
        <f>K14*K18</f>
        <v/>
      </c>
      <c r="L21" s="64">
        <f>L14*L18</f>
        <v/>
      </c>
      <c r="M21" s="64">
        <f>M14*M18</f>
        <v/>
      </c>
      <c r="N21" s="64">
        <f>N14*N18</f>
        <v/>
      </c>
      <c r="O21" s="64">
        <f>O14*O18</f>
        <v/>
      </c>
      <c r="P21" s="64">
        <f>P14*P18</f>
        <v/>
      </c>
      <c r="Q21" s="64">
        <f>Q14*Q18</f>
        <v/>
      </c>
      <c r="R21" s="64">
        <f>R14*R18</f>
        <v/>
      </c>
      <c r="S21" s="64">
        <f>S14*S18</f>
        <v/>
      </c>
      <c r="T21" s="64">
        <f>T14*T18</f>
        <v/>
      </c>
      <c r="U21" s="64">
        <f>U14*U18</f>
        <v/>
      </c>
      <c r="V21" s="64">
        <f>V14*V18</f>
        <v/>
      </c>
      <c r="W21" s="64">
        <f>W14*W18</f>
        <v/>
      </c>
      <c r="X21" s="64">
        <f>X14*X18</f>
        <v/>
      </c>
      <c r="Y21" s="64">
        <f>Y14*Y18</f>
        <v/>
      </c>
      <c r="Z21" s="64">
        <f>Z14*Z18</f>
        <v/>
      </c>
      <c r="AA21" s="64">
        <f>AA14*AA18</f>
        <v/>
      </c>
      <c r="AB21" s="64">
        <f>AB14*AB18</f>
        <v/>
      </c>
      <c r="AC21" s="64">
        <f>AC14*AC18</f>
        <v/>
      </c>
      <c r="AD21" s="64">
        <f>AD14*AD18</f>
        <v/>
      </c>
      <c r="AE21" s="64">
        <f>AE14*AE18</f>
        <v/>
      </c>
      <c r="AF21" s="64">
        <f>AF14*AF18</f>
        <v/>
      </c>
      <c r="AG21" s="64">
        <f>AG14*AG18</f>
        <v/>
      </c>
      <c r="AH21" s="64">
        <f>AH14*AH18</f>
        <v/>
      </c>
      <c r="AI21" s="64">
        <f>AI14*AI18</f>
        <v/>
      </c>
      <c r="AJ21" s="64">
        <f>AJ14*AJ18</f>
        <v/>
      </c>
      <c r="AK21" s="64">
        <f>AK14*AK18</f>
        <v/>
      </c>
      <c r="AL21" s="64">
        <f>AL14*AL18</f>
        <v/>
      </c>
      <c r="AM21" s="64">
        <f>AM14*AM18</f>
        <v/>
      </c>
      <c r="AN21" s="64">
        <f>AN14*AN18</f>
        <v/>
      </c>
      <c r="AO21" s="64">
        <f>AO14*AO18</f>
        <v/>
      </c>
      <c r="AP21" s="64">
        <f>AP14*AP18</f>
        <v/>
      </c>
      <c r="AQ21" s="64">
        <f>AQ14*AQ18</f>
        <v/>
      </c>
      <c r="AR21" s="64">
        <f>AR14*AR18</f>
        <v/>
      </c>
      <c r="AS21" s="64">
        <f>AS14*AS18</f>
        <v/>
      </c>
      <c r="AT21" s="64">
        <f>AT14*AT18</f>
        <v/>
      </c>
      <c r="AU21" s="64">
        <f>AU14*AU18</f>
        <v/>
      </c>
      <c r="AV21" s="64">
        <f>AV14*AV18</f>
        <v/>
      </c>
      <c r="AW21" s="64">
        <f>AW14*AW18</f>
        <v/>
      </c>
      <c r="AX21" s="64">
        <f>AX14*AX18</f>
        <v/>
      </c>
      <c r="AY21" s="64">
        <f>AY14*AY18</f>
        <v/>
      </c>
      <c r="AZ21" s="64">
        <f>AZ14*AZ18</f>
        <v/>
      </c>
      <c r="BA21" s="64">
        <f>BA14*BA18</f>
        <v/>
      </c>
      <c r="BB21" s="64">
        <f>BB14*BB18</f>
        <v/>
      </c>
      <c r="BC21" s="64">
        <f>BC14*BC18</f>
        <v/>
      </c>
      <c r="BD21" s="64">
        <f>BD14*BD18</f>
        <v/>
      </c>
      <c r="BE21" s="64">
        <f>BE14*BE18</f>
        <v/>
      </c>
      <c r="BF21" s="64">
        <f>BF14*BF18</f>
        <v/>
      </c>
      <c r="BG21" s="64">
        <f>BG14*BG18</f>
        <v/>
      </c>
      <c r="BH21" s="64">
        <f>BH14*BH18</f>
        <v/>
      </c>
      <c r="BI21" s="64">
        <f>BI14*BI18</f>
        <v/>
      </c>
      <c r="BJ21" s="64">
        <f>BJ14*BJ18</f>
        <v/>
      </c>
      <c r="BK21" s="64">
        <f>BK14*BK18</f>
        <v/>
      </c>
    </row>
    <row r="22">
      <c r="B22" s="61" t="inlineStr">
        <is>
          <t xml:space="preserve">   Gross billings — Preventive Care</t>
        </is>
      </c>
      <c r="C22" s="92" t="inlineStr">
        <is>
          <t>EUR</t>
        </is>
      </c>
      <c r="D22" s="64">
        <f>D14*D20*D19</f>
        <v/>
      </c>
      <c r="E22" s="64">
        <f>E14*E20*E19</f>
        <v/>
      </c>
      <c r="F22" s="64">
        <f>F14*F20*F19</f>
        <v/>
      </c>
      <c r="G22" s="64">
        <f>G14*G20*G19</f>
        <v/>
      </c>
      <c r="H22" s="64">
        <f>H14*H20*H19</f>
        <v/>
      </c>
      <c r="I22" s="64">
        <f>I14*I20*I19</f>
        <v/>
      </c>
      <c r="J22" s="64">
        <f>J14*J20*J19</f>
        <v/>
      </c>
      <c r="K22" s="64">
        <f>K14*K20*K19</f>
        <v/>
      </c>
      <c r="L22" s="64">
        <f>L14*L20*L19</f>
        <v/>
      </c>
      <c r="M22" s="64">
        <f>M14*M20*M19</f>
        <v/>
      </c>
      <c r="N22" s="64">
        <f>N14*N20*N19</f>
        <v/>
      </c>
      <c r="O22" s="64">
        <f>O14*O20*O19</f>
        <v/>
      </c>
      <c r="P22" s="64">
        <f>P14*P20*P19</f>
        <v/>
      </c>
      <c r="Q22" s="64">
        <f>Q14*Q20*Q19</f>
        <v/>
      </c>
      <c r="R22" s="64">
        <f>R14*R20*R19</f>
        <v/>
      </c>
      <c r="S22" s="64">
        <f>S14*S20*S19</f>
        <v/>
      </c>
      <c r="T22" s="64">
        <f>T14*T20*T19</f>
        <v/>
      </c>
      <c r="U22" s="64">
        <f>U14*U20*U19</f>
        <v/>
      </c>
      <c r="V22" s="64">
        <f>V14*V20*V19</f>
        <v/>
      </c>
      <c r="W22" s="64">
        <f>W14*W20*W19</f>
        <v/>
      </c>
      <c r="X22" s="64">
        <f>X14*X20*X19</f>
        <v/>
      </c>
      <c r="Y22" s="64">
        <f>Y14*Y20*Y19</f>
        <v/>
      </c>
      <c r="Z22" s="64">
        <f>Z14*Z20*Z19</f>
        <v/>
      </c>
      <c r="AA22" s="64">
        <f>AA14*AA20*AA19</f>
        <v/>
      </c>
      <c r="AB22" s="64">
        <f>AB14*AB20*AB19</f>
        <v/>
      </c>
      <c r="AC22" s="64">
        <f>AC14*AC20*AC19</f>
        <v/>
      </c>
      <c r="AD22" s="64">
        <f>AD14*AD20*AD19</f>
        <v/>
      </c>
      <c r="AE22" s="64">
        <f>AE14*AE20*AE19</f>
        <v/>
      </c>
      <c r="AF22" s="64">
        <f>AF14*AF20*AF19</f>
        <v/>
      </c>
      <c r="AG22" s="64">
        <f>AG14*AG20*AG19</f>
        <v/>
      </c>
      <c r="AH22" s="64">
        <f>AH14*AH20*AH19</f>
        <v/>
      </c>
      <c r="AI22" s="64">
        <f>AI14*AI20*AI19</f>
        <v/>
      </c>
      <c r="AJ22" s="64">
        <f>AJ14*AJ20*AJ19</f>
        <v/>
      </c>
      <c r="AK22" s="64">
        <f>AK14*AK20*AK19</f>
        <v/>
      </c>
      <c r="AL22" s="64">
        <f>AL14*AL20*AL19</f>
        <v/>
      </c>
      <c r="AM22" s="64">
        <f>AM14*AM20*AM19</f>
        <v/>
      </c>
      <c r="AN22" s="64">
        <f>AN14*AN20*AN19</f>
        <v/>
      </c>
      <c r="AO22" s="64">
        <f>AO14*AO20*AO19</f>
        <v/>
      </c>
      <c r="AP22" s="64">
        <f>AP14*AP20*AP19</f>
        <v/>
      </c>
      <c r="AQ22" s="64">
        <f>AQ14*AQ20*AQ19</f>
        <v/>
      </c>
      <c r="AR22" s="64">
        <f>AR14*AR20*AR19</f>
        <v/>
      </c>
      <c r="AS22" s="64">
        <f>AS14*AS20*AS19</f>
        <v/>
      </c>
      <c r="AT22" s="64">
        <f>AT14*AT20*AT19</f>
        <v/>
      </c>
      <c r="AU22" s="64">
        <f>AU14*AU20*AU19</f>
        <v/>
      </c>
      <c r="AV22" s="64">
        <f>AV14*AV20*AV19</f>
        <v/>
      </c>
      <c r="AW22" s="64">
        <f>AW14*AW20*AW19</f>
        <v/>
      </c>
      <c r="AX22" s="64">
        <f>AX14*AX20*AX19</f>
        <v/>
      </c>
      <c r="AY22" s="64">
        <f>AY14*AY20*AY19</f>
        <v/>
      </c>
      <c r="AZ22" s="64">
        <f>AZ14*AZ20*AZ19</f>
        <v/>
      </c>
      <c r="BA22" s="64">
        <f>BA14*BA20*BA19</f>
        <v/>
      </c>
      <c r="BB22" s="64">
        <f>BB14*BB20*BB19</f>
        <v/>
      </c>
      <c r="BC22" s="64">
        <f>BC14*BC20*BC19</f>
        <v/>
      </c>
      <c r="BD22" s="64">
        <f>BD14*BD20*BD19</f>
        <v/>
      </c>
      <c r="BE22" s="64">
        <f>BE14*BE20*BE19</f>
        <v/>
      </c>
      <c r="BF22" s="64">
        <f>BF14*BF20*BF19</f>
        <v/>
      </c>
      <c r="BG22" s="64">
        <f>BG14*BG20*BG19</f>
        <v/>
      </c>
      <c r="BH22" s="64">
        <f>BH14*BH20*BH19</f>
        <v/>
      </c>
      <c r="BI22" s="64">
        <f>BI14*BI20*BI19</f>
        <v/>
      </c>
      <c r="BJ22" s="64">
        <f>BJ14*BJ20*BJ19</f>
        <v/>
      </c>
      <c r="BK22" s="64">
        <f>BK14*BK20*BK19</f>
        <v/>
      </c>
    </row>
    <row r="23">
      <c r="B23" s="61" t="inlineStr">
        <is>
          <t>Total gross billings (what customers pay)</t>
        </is>
      </c>
      <c r="C23" s="92" t="inlineStr">
        <is>
          <t>EUR</t>
        </is>
      </c>
      <c r="D23" s="64">
        <f>D21+D22</f>
        <v/>
      </c>
      <c r="E23" s="64">
        <f>E21+E22</f>
        <v/>
      </c>
      <c r="F23" s="64">
        <f>F21+F22</f>
        <v/>
      </c>
      <c r="G23" s="64">
        <f>G21+G22</f>
        <v/>
      </c>
      <c r="H23" s="64">
        <f>H21+H22</f>
        <v/>
      </c>
      <c r="I23" s="64">
        <f>I21+I22</f>
        <v/>
      </c>
      <c r="J23" s="64">
        <f>J21+J22</f>
        <v/>
      </c>
      <c r="K23" s="64">
        <f>K21+K22</f>
        <v/>
      </c>
      <c r="L23" s="64">
        <f>L21+L22</f>
        <v/>
      </c>
      <c r="M23" s="64">
        <f>M21+M22</f>
        <v/>
      </c>
      <c r="N23" s="64">
        <f>N21+N22</f>
        <v/>
      </c>
      <c r="O23" s="64">
        <f>O21+O22</f>
        <v/>
      </c>
      <c r="P23" s="64">
        <f>P21+P22</f>
        <v/>
      </c>
      <c r="Q23" s="64">
        <f>Q21+Q22</f>
        <v/>
      </c>
      <c r="R23" s="64">
        <f>R21+R22</f>
        <v/>
      </c>
      <c r="S23" s="64">
        <f>S21+S22</f>
        <v/>
      </c>
      <c r="T23" s="64">
        <f>T21+T22</f>
        <v/>
      </c>
      <c r="U23" s="64">
        <f>U21+U22</f>
        <v/>
      </c>
      <c r="V23" s="64">
        <f>V21+V22</f>
        <v/>
      </c>
      <c r="W23" s="64">
        <f>W21+W22</f>
        <v/>
      </c>
      <c r="X23" s="64">
        <f>X21+X22</f>
        <v/>
      </c>
      <c r="Y23" s="64">
        <f>Y21+Y22</f>
        <v/>
      </c>
      <c r="Z23" s="64">
        <f>Z21+Z22</f>
        <v/>
      </c>
      <c r="AA23" s="64">
        <f>AA21+AA22</f>
        <v/>
      </c>
      <c r="AB23" s="64">
        <f>AB21+AB22</f>
        <v/>
      </c>
      <c r="AC23" s="64">
        <f>AC21+AC22</f>
        <v/>
      </c>
      <c r="AD23" s="64">
        <f>AD21+AD22</f>
        <v/>
      </c>
      <c r="AE23" s="64">
        <f>AE21+AE22</f>
        <v/>
      </c>
      <c r="AF23" s="64">
        <f>AF21+AF22</f>
        <v/>
      </c>
      <c r="AG23" s="64">
        <f>AG21+AG22</f>
        <v/>
      </c>
      <c r="AH23" s="64">
        <f>AH21+AH22</f>
        <v/>
      </c>
      <c r="AI23" s="64">
        <f>AI21+AI22</f>
        <v/>
      </c>
      <c r="AJ23" s="64">
        <f>AJ21+AJ22</f>
        <v/>
      </c>
      <c r="AK23" s="64">
        <f>AK21+AK22</f>
        <v/>
      </c>
      <c r="AL23" s="64">
        <f>AL21+AL22</f>
        <v/>
      </c>
      <c r="AM23" s="64">
        <f>AM21+AM22</f>
        <v/>
      </c>
      <c r="AN23" s="64">
        <f>AN21+AN22</f>
        <v/>
      </c>
      <c r="AO23" s="64">
        <f>AO21+AO22</f>
        <v/>
      </c>
      <c r="AP23" s="64">
        <f>AP21+AP22</f>
        <v/>
      </c>
      <c r="AQ23" s="64">
        <f>AQ21+AQ22</f>
        <v/>
      </c>
      <c r="AR23" s="64">
        <f>AR21+AR22</f>
        <v/>
      </c>
      <c r="AS23" s="64">
        <f>AS21+AS22</f>
        <v/>
      </c>
      <c r="AT23" s="64">
        <f>AT21+AT22</f>
        <v/>
      </c>
      <c r="AU23" s="64">
        <f>AU21+AU22</f>
        <v/>
      </c>
      <c r="AV23" s="64">
        <f>AV21+AV22</f>
        <v/>
      </c>
      <c r="AW23" s="64">
        <f>AW21+AW22</f>
        <v/>
      </c>
      <c r="AX23" s="64">
        <f>AX21+AX22</f>
        <v/>
      </c>
      <c r="AY23" s="64">
        <f>AY21+AY22</f>
        <v/>
      </c>
      <c r="AZ23" s="64">
        <f>AZ21+AZ22</f>
        <v/>
      </c>
      <c r="BA23" s="64">
        <f>BA21+BA22</f>
        <v/>
      </c>
      <c r="BB23" s="64">
        <f>BB21+BB22</f>
        <v/>
      </c>
      <c r="BC23" s="64">
        <f>BC21+BC22</f>
        <v/>
      </c>
      <c r="BD23" s="64">
        <f>BD21+BD22</f>
        <v/>
      </c>
      <c r="BE23" s="64">
        <f>BE21+BE22</f>
        <v/>
      </c>
      <c r="BF23" s="64">
        <f>BF21+BF22</f>
        <v/>
      </c>
      <c r="BG23" s="64">
        <f>BG21+BG22</f>
        <v/>
      </c>
      <c r="BH23" s="64">
        <f>BH21+BH22</f>
        <v/>
      </c>
      <c r="BI23" s="64">
        <f>BI21+BI22</f>
        <v/>
      </c>
      <c r="BJ23" s="64">
        <f>BJ21+BJ22</f>
        <v/>
      </c>
      <c r="BK23" s="64">
        <f>BK21+BK22</f>
        <v/>
      </c>
    </row>
    <row r="24">
      <c r="B24" s="61" t="inlineStr">
        <is>
          <t xml:space="preserve">   Net revenue — Voice Care</t>
        </is>
      </c>
      <c r="C24" s="92" t="inlineStr">
        <is>
          <t>EUR</t>
        </is>
      </c>
      <c r="D24" s="64">
        <f>D21*Inputs!$D$27</f>
        <v/>
      </c>
      <c r="E24" s="64">
        <f>E21*Inputs!$D$27</f>
        <v/>
      </c>
      <c r="F24" s="64">
        <f>F21*Inputs!$D$27</f>
        <v/>
      </c>
      <c r="G24" s="64">
        <f>G21*Inputs!$D$27</f>
        <v/>
      </c>
      <c r="H24" s="64">
        <f>H21*Inputs!$D$27</f>
        <v/>
      </c>
      <c r="I24" s="64">
        <f>I21*Inputs!$D$27</f>
        <v/>
      </c>
      <c r="J24" s="64">
        <f>J21*Inputs!$D$27</f>
        <v/>
      </c>
      <c r="K24" s="64">
        <f>K21*Inputs!$D$27</f>
        <v/>
      </c>
      <c r="L24" s="64">
        <f>L21*Inputs!$D$27</f>
        <v/>
      </c>
      <c r="M24" s="64">
        <f>M21*Inputs!$D$27</f>
        <v/>
      </c>
      <c r="N24" s="64">
        <f>N21*Inputs!$D$27</f>
        <v/>
      </c>
      <c r="O24" s="64">
        <f>O21*Inputs!$D$27</f>
        <v/>
      </c>
      <c r="P24" s="64">
        <f>P21*Inputs!$D$27</f>
        <v/>
      </c>
      <c r="Q24" s="64">
        <f>Q21*Inputs!$D$27</f>
        <v/>
      </c>
      <c r="R24" s="64">
        <f>R21*Inputs!$D$27</f>
        <v/>
      </c>
      <c r="S24" s="64">
        <f>S21*Inputs!$D$27</f>
        <v/>
      </c>
      <c r="T24" s="64">
        <f>T21*Inputs!$D$27</f>
        <v/>
      </c>
      <c r="U24" s="64">
        <f>U21*Inputs!$D$27</f>
        <v/>
      </c>
      <c r="V24" s="64">
        <f>V21*Inputs!$D$27</f>
        <v/>
      </c>
      <c r="W24" s="64">
        <f>W21*Inputs!$D$27</f>
        <v/>
      </c>
      <c r="X24" s="64">
        <f>X21*Inputs!$D$27</f>
        <v/>
      </c>
      <c r="Y24" s="64">
        <f>Y21*Inputs!$D$27</f>
        <v/>
      </c>
      <c r="Z24" s="64">
        <f>Z21*Inputs!$D$27</f>
        <v/>
      </c>
      <c r="AA24" s="64">
        <f>AA21*Inputs!$D$27</f>
        <v/>
      </c>
      <c r="AB24" s="64">
        <f>AB21*Inputs!$D$27</f>
        <v/>
      </c>
      <c r="AC24" s="64">
        <f>AC21*Inputs!$D$27</f>
        <v/>
      </c>
      <c r="AD24" s="64">
        <f>AD21*Inputs!$D$27</f>
        <v/>
      </c>
      <c r="AE24" s="64">
        <f>AE21*Inputs!$D$27</f>
        <v/>
      </c>
      <c r="AF24" s="64">
        <f>AF21*Inputs!$D$27</f>
        <v/>
      </c>
      <c r="AG24" s="64">
        <f>AG21*Inputs!$D$27</f>
        <v/>
      </c>
      <c r="AH24" s="64">
        <f>AH21*Inputs!$D$27</f>
        <v/>
      </c>
      <c r="AI24" s="64">
        <f>AI21*Inputs!$D$27</f>
        <v/>
      </c>
      <c r="AJ24" s="64">
        <f>AJ21*Inputs!$D$27</f>
        <v/>
      </c>
      <c r="AK24" s="64">
        <f>AK21*Inputs!$D$27</f>
        <v/>
      </c>
      <c r="AL24" s="64">
        <f>AL21*Inputs!$D$27</f>
        <v/>
      </c>
      <c r="AM24" s="64">
        <f>AM21*Inputs!$D$27</f>
        <v/>
      </c>
      <c r="AN24" s="64">
        <f>AN21*Inputs!$D$27</f>
        <v/>
      </c>
      <c r="AO24" s="64">
        <f>AO21*Inputs!$D$27</f>
        <v/>
      </c>
      <c r="AP24" s="64">
        <f>AP21*Inputs!$D$27</f>
        <v/>
      </c>
      <c r="AQ24" s="64">
        <f>AQ21*Inputs!$D$27</f>
        <v/>
      </c>
      <c r="AR24" s="64">
        <f>AR21*Inputs!$D$27</f>
        <v/>
      </c>
      <c r="AS24" s="64">
        <f>AS21*Inputs!$D$27</f>
        <v/>
      </c>
      <c r="AT24" s="64">
        <f>AT21*Inputs!$D$27</f>
        <v/>
      </c>
      <c r="AU24" s="64">
        <f>AU21*Inputs!$D$27</f>
        <v/>
      </c>
      <c r="AV24" s="64">
        <f>AV21*Inputs!$D$27</f>
        <v/>
      </c>
      <c r="AW24" s="64">
        <f>AW21*Inputs!$D$27</f>
        <v/>
      </c>
      <c r="AX24" s="64">
        <f>AX21*Inputs!$D$27</f>
        <v/>
      </c>
      <c r="AY24" s="64">
        <f>AY21*Inputs!$D$27</f>
        <v/>
      </c>
      <c r="AZ24" s="64">
        <f>AZ21*Inputs!$D$27</f>
        <v/>
      </c>
      <c r="BA24" s="64">
        <f>BA21*Inputs!$D$27</f>
        <v/>
      </c>
      <c r="BB24" s="64">
        <f>BB21*Inputs!$D$27</f>
        <v/>
      </c>
      <c r="BC24" s="64">
        <f>BC21*Inputs!$D$27</f>
        <v/>
      </c>
      <c r="BD24" s="64">
        <f>BD21*Inputs!$D$27</f>
        <v/>
      </c>
      <c r="BE24" s="64">
        <f>BE21*Inputs!$D$27</f>
        <v/>
      </c>
      <c r="BF24" s="64">
        <f>BF21*Inputs!$D$27</f>
        <v/>
      </c>
      <c r="BG24" s="64">
        <f>BG21*Inputs!$D$27</f>
        <v/>
      </c>
      <c r="BH24" s="64">
        <f>BH21*Inputs!$D$27</f>
        <v/>
      </c>
      <c r="BI24" s="64">
        <f>BI21*Inputs!$D$27</f>
        <v/>
      </c>
      <c r="BJ24" s="64">
        <f>BJ21*Inputs!$D$27</f>
        <v/>
      </c>
      <c r="BK24" s="64">
        <f>BK21*Inputs!$D$27</f>
        <v/>
      </c>
    </row>
    <row r="25">
      <c r="B25" s="61" t="inlineStr">
        <is>
          <t xml:space="preserve">   Net revenue — Preventive Care</t>
        </is>
      </c>
      <c r="C25" s="92" t="inlineStr">
        <is>
          <t>EUR</t>
        </is>
      </c>
      <c r="D25" s="64">
        <f>D22*Inputs!$D$27</f>
        <v/>
      </c>
      <c r="E25" s="64">
        <f>E22*Inputs!$D$27</f>
        <v/>
      </c>
      <c r="F25" s="64">
        <f>F22*Inputs!$D$27</f>
        <v/>
      </c>
      <c r="G25" s="64">
        <f>G22*Inputs!$D$27</f>
        <v/>
      </c>
      <c r="H25" s="64">
        <f>H22*Inputs!$D$27</f>
        <v/>
      </c>
      <c r="I25" s="64">
        <f>I22*Inputs!$D$27</f>
        <v/>
      </c>
      <c r="J25" s="64">
        <f>J22*Inputs!$D$27</f>
        <v/>
      </c>
      <c r="K25" s="64">
        <f>K22*Inputs!$D$27</f>
        <v/>
      </c>
      <c r="L25" s="64">
        <f>L22*Inputs!$D$27</f>
        <v/>
      </c>
      <c r="M25" s="64">
        <f>M22*Inputs!$D$27</f>
        <v/>
      </c>
      <c r="N25" s="64">
        <f>N22*Inputs!$D$27</f>
        <v/>
      </c>
      <c r="O25" s="64">
        <f>O22*Inputs!$D$27</f>
        <v/>
      </c>
      <c r="P25" s="64">
        <f>P22*Inputs!$D$27</f>
        <v/>
      </c>
      <c r="Q25" s="64">
        <f>Q22*Inputs!$D$27</f>
        <v/>
      </c>
      <c r="R25" s="64">
        <f>R22*Inputs!$D$27</f>
        <v/>
      </c>
      <c r="S25" s="64">
        <f>S22*Inputs!$D$27</f>
        <v/>
      </c>
      <c r="T25" s="64">
        <f>T22*Inputs!$D$27</f>
        <v/>
      </c>
      <c r="U25" s="64">
        <f>U22*Inputs!$D$27</f>
        <v/>
      </c>
      <c r="V25" s="64">
        <f>V22*Inputs!$D$27</f>
        <v/>
      </c>
      <c r="W25" s="64">
        <f>W22*Inputs!$D$27</f>
        <v/>
      </c>
      <c r="X25" s="64">
        <f>X22*Inputs!$D$27</f>
        <v/>
      </c>
      <c r="Y25" s="64">
        <f>Y22*Inputs!$D$27</f>
        <v/>
      </c>
      <c r="Z25" s="64">
        <f>Z22*Inputs!$D$27</f>
        <v/>
      </c>
      <c r="AA25" s="64">
        <f>AA22*Inputs!$D$27</f>
        <v/>
      </c>
      <c r="AB25" s="64">
        <f>AB22*Inputs!$D$27</f>
        <v/>
      </c>
      <c r="AC25" s="64">
        <f>AC22*Inputs!$D$27</f>
        <v/>
      </c>
      <c r="AD25" s="64">
        <f>AD22*Inputs!$D$27</f>
        <v/>
      </c>
      <c r="AE25" s="64">
        <f>AE22*Inputs!$D$27</f>
        <v/>
      </c>
      <c r="AF25" s="64">
        <f>AF22*Inputs!$D$27</f>
        <v/>
      </c>
      <c r="AG25" s="64">
        <f>AG22*Inputs!$D$27</f>
        <v/>
      </c>
      <c r="AH25" s="64">
        <f>AH22*Inputs!$D$27</f>
        <v/>
      </c>
      <c r="AI25" s="64">
        <f>AI22*Inputs!$D$27</f>
        <v/>
      </c>
      <c r="AJ25" s="64">
        <f>AJ22*Inputs!$D$27</f>
        <v/>
      </c>
      <c r="AK25" s="64">
        <f>AK22*Inputs!$D$27</f>
        <v/>
      </c>
      <c r="AL25" s="64">
        <f>AL22*Inputs!$D$27</f>
        <v/>
      </c>
      <c r="AM25" s="64">
        <f>AM22*Inputs!$D$27</f>
        <v/>
      </c>
      <c r="AN25" s="64">
        <f>AN22*Inputs!$D$27</f>
        <v/>
      </c>
      <c r="AO25" s="64">
        <f>AO22*Inputs!$D$27</f>
        <v/>
      </c>
      <c r="AP25" s="64">
        <f>AP22*Inputs!$D$27</f>
        <v/>
      </c>
      <c r="AQ25" s="64">
        <f>AQ22*Inputs!$D$27</f>
        <v/>
      </c>
      <c r="AR25" s="64">
        <f>AR22*Inputs!$D$27</f>
        <v/>
      </c>
      <c r="AS25" s="64">
        <f>AS22*Inputs!$D$27</f>
        <v/>
      </c>
      <c r="AT25" s="64">
        <f>AT22*Inputs!$D$27</f>
        <v/>
      </c>
      <c r="AU25" s="64">
        <f>AU22*Inputs!$D$27</f>
        <v/>
      </c>
      <c r="AV25" s="64">
        <f>AV22*Inputs!$D$27</f>
        <v/>
      </c>
      <c r="AW25" s="64">
        <f>AW22*Inputs!$D$27</f>
        <v/>
      </c>
      <c r="AX25" s="64">
        <f>AX22*Inputs!$D$27</f>
        <v/>
      </c>
      <c r="AY25" s="64">
        <f>AY22*Inputs!$D$27</f>
        <v/>
      </c>
      <c r="AZ25" s="64">
        <f>AZ22*Inputs!$D$27</f>
        <v/>
      </c>
      <c r="BA25" s="64">
        <f>BA22*Inputs!$D$27</f>
        <v/>
      </c>
      <c r="BB25" s="64">
        <f>BB22*Inputs!$D$27</f>
        <v/>
      </c>
      <c r="BC25" s="64">
        <f>BC22*Inputs!$D$27</f>
        <v/>
      </c>
      <c r="BD25" s="64">
        <f>BD22*Inputs!$D$27</f>
        <v/>
      </c>
      <c r="BE25" s="64">
        <f>BE22*Inputs!$D$27</f>
        <v/>
      </c>
      <c r="BF25" s="64">
        <f>BF22*Inputs!$D$27</f>
        <v/>
      </c>
      <c r="BG25" s="64">
        <f>BG22*Inputs!$D$27</f>
        <v/>
      </c>
      <c r="BH25" s="64">
        <f>BH22*Inputs!$D$27</f>
        <v/>
      </c>
      <c r="BI25" s="64">
        <f>BI22*Inputs!$D$27</f>
        <v/>
      </c>
      <c r="BJ25" s="64">
        <f>BJ22*Inputs!$D$27</f>
        <v/>
      </c>
      <c r="BK25" s="64">
        <f>BK22*Inputs!$D$27</f>
        <v/>
      </c>
    </row>
    <row r="26">
      <c r="B26" s="69" t="inlineStr">
        <is>
          <t>Total net revenue</t>
        </is>
      </c>
      <c r="C26" s="98" t="inlineStr">
        <is>
          <t>EUR</t>
        </is>
      </c>
      <c r="D26" s="71">
        <f>D24+D25</f>
        <v/>
      </c>
      <c r="E26" s="71">
        <f>E24+E25</f>
        <v/>
      </c>
      <c r="F26" s="71">
        <f>F24+F25</f>
        <v/>
      </c>
      <c r="G26" s="71">
        <f>G24+G25</f>
        <v/>
      </c>
      <c r="H26" s="71">
        <f>H24+H25</f>
        <v/>
      </c>
      <c r="I26" s="71">
        <f>I24+I25</f>
        <v/>
      </c>
      <c r="J26" s="71">
        <f>J24+J25</f>
        <v/>
      </c>
      <c r="K26" s="71">
        <f>K24+K25</f>
        <v/>
      </c>
      <c r="L26" s="71">
        <f>L24+L25</f>
        <v/>
      </c>
      <c r="M26" s="71">
        <f>M24+M25</f>
        <v/>
      </c>
      <c r="N26" s="71">
        <f>N24+N25</f>
        <v/>
      </c>
      <c r="O26" s="71">
        <f>O24+O25</f>
        <v/>
      </c>
      <c r="P26" s="71">
        <f>P24+P25</f>
        <v/>
      </c>
      <c r="Q26" s="71">
        <f>Q24+Q25</f>
        <v/>
      </c>
      <c r="R26" s="71">
        <f>R24+R25</f>
        <v/>
      </c>
      <c r="S26" s="71">
        <f>S24+S25</f>
        <v/>
      </c>
      <c r="T26" s="71">
        <f>T24+T25</f>
        <v/>
      </c>
      <c r="U26" s="71">
        <f>U24+U25</f>
        <v/>
      </c>
      <c r="V26" s="71">
        <f>V24+V25</f>
        <v/>
      </c>
      <c r="W26" s="71">
        <f>W24+W25</f>
        <v/>
      </c>
      <c r="X26" s="71">
        <f>X24+X25</f>
        <v/>
      </c>
      <c r="Y26" s="71">
        <f>Y24+Y25</f>
        <v/>
      </c>
      <c r="Z26" s="71">
        <f>Z24+Z25</f>
        <v/>
      </c>
      <c r="AA26" s="71">
        <f>AA24+AA25</f>
        <v/>
      </c>
      <c r="AB26" s="71">
        <f>AB24+AB25</f>
        <v/>
      </c>
      <c r="AC26" s="71">
        <f>AC24+AC25</f>
        <v/>
      </c>
      <c r="AD26" s="71">
        <f>AD24+AD25</f>
        <v/>
      </c>
      <c r="AE26" s="71">
        <f>AE24+AE25</f>
        <v/>
      </c>
      <c r="AF26" s="71">
        <f>AF24+AF25</f>
        <v/>
      </c>
      <c r="AG26" s="71">
        <f>AG24+AG25</f>
        <v/>
      </c>
      <c r="AH26" s="71">
        <f>AH24+AH25</f>
        <v/>
      </c>
      <c r="AI26" s="71">
        <f>AI24+AI25</f>
        <v/>
      </c>
      <c r="AJ26" s="71">
        <f>AJ24+AJ25</f>
        <v/>
      </c>
      <c r="AK26" s="71">
        <f>AK24+AK25</f>
        <v/>
      </c>
      <c r="AL26" s="71">
        <f>AL24+AL25</f>
        <v/>
      </c>
      <c r="AM26" s="71">
        <f>AM24+AM25</f>
        <v/>
      </c>
      <c r="AN26" s="71">
        <f>AN24+AN25</f>
        <v/>
      </c>
      <c r="AO26" s="71">
        <f>AO24+AO25</f>
        <v/>
      </c>
      <c r="AP26" s="71">
        <f>AP24+AP25</f>
        <v/>
      </c>
      <c r="AQ26" s="71">
        <f>AQ24+AQ25</f>
        <v/>
      </c>
      <c r="AR26" s="71">
        <f>AR24+AR25</f>
        <v/>
      </c>
      <c r="AS26" s="71">
        <f>AS24+AS25</f>
        <v/>
      </c>
      <c r="AT26" s="71">
        <f>AT24+AT25</f>
        <v/>
      </c>
      <c r="AU26" s="71">
        <f>AU24+AU25</f>
        <v/>
      </c>
      <c r="AV26" s="71">
        <f>AV24+AV25</f>
        <v/>
      </c>
      <c r="AW26" s="71">
        <f>AW24+AW25</f>
        <v/>
      </c>
      <c r="AX26" s="71">
        <f>AX24+AX25</f>
        <v/>
      </c>
      <c r="AY26" s="71">
        <f>AY24+AY25</f>
        <v/>
      </c>
      <c r="AZ26" s="71">
        <f>AZ24+AZ25</f>
        <v/>
      </c>
      <c r="BA26" s="71">
        <f>BA24+BA25</f>
        <v/>
      </c>
      <c r="BB26" s="71">
        <f>BB24+BB25</f>
        <v/>
      </c>
      <c r="BC26" s="71">
        <f>BC24+BC25</f>
        <v/>
      </c>
      <c r="BD26" s="71">
        <f>BD24+BD25</f>
        <v/>
      </c>
      <c r="BE26" s="71">
        <f>BE24+BE25</f>
        <v/>
      </c>
      <c r="BF26" s="71">
        <f>BF24+BF25</f>
        <v/>
      </c>
      <c r="BG26" s="71">
        <f>BG24+BG25</f>
        <v/>
      </c>
      <c r="BH26" s="71">
        <f>BH24+BH25</f>
        <v/>
      </c>
      <c r="BI26" s="71">
        <f>BI24+BI25</f>
        <v/>
      </c>
      <c r="BJ26" s="71">
        <f>BJ24+BJ25</f>
        <v/>
      </c>
      <c r="BK26" s="71">
        <f>BK24+BK25</f>
        <v/>
      </c>
    </row>
    <row r="28">
      <c r="B28" s="23" t="inlineStr">
        <is>
          <t>COST OF SERVICE  (EUR)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</row>
    <row r="29">
      <c r="B29" s="61" t="inlineStr">
        <is>
          <t>Cost per voice minute</t>
        </is>
      </c>
      <c r="C29" s="92" t="inlineStr">
        <is>
          <t>EUR</t>
        </is>
      </c>
      <c r="D29" s="72">
        <f>INDEX(Inputs!$C$61:$G$61,1,D5)</f>
        <v/>
      </c>
      <c r="E29" s="72">
        <f>INDEX(Inputs!$C$61:$G$61,1,E5)</f>
        <v/>
      </c>
      <c r="F29" s="72">
        <f>INDEX(Inputs!$C$61:$G$61,1,F5)</f>
        <v/>
      </c>
      <c r="G29" s="72">
        <f>INDEX(Inputs!$C$61:$G$61,1,G5)</f>
        <v/>
      </c>
      <c r="H29" s="72">
        <f>INDEX(Inputs!$C$61:$G$61,1,H5)</f>
        <v/>
      </c>
      <c r="I29" s="72">
        <f>INDEX(Inputs!$C$61:$G$61,1,I5)</f>
        <v/>
      </c>
      <c r="J29" s="72">
        <f>INDEX(Inputs!$C$61:$G$61,1,J5)</f>
        <v/>
      </c>
      <c r="K29" s="72">
        <f>INDEX(Inputs!$C$61:$G$61,1,K5)</f>
        <v/>
      </c>
      <c r="L29" s="72">
        <f>INDEX(Inputs!$C$61:$G$61,1,L5)</f>
        <v/>
      </c>
      <c r="M29" s="72">
        <f>INDEX(Inputs!$C$61:$G$61,1,M5)</f>
        <v/>
      </c>
      <c r="N29" s="72">
        <f>INDEX(Inputs!$C$61:$G$61,1,N5)</f>
        <v/>
      </c>
      <c r="O29" s="72">
        <f>INDEX(Inputs!$C$61:$G$61,1,O5)</f>
        <v/>
      </c>
      <c r="P29" s="72">
        <f>INDEX(Inputs!$C$61:$G$61,1,P5)</f>
        <v/>
      </c>
      <c r="Q29" s="72">
        <f>INDEX(Inputs!$C$61:$G$61,1,Q5)</f>
        <v/>
      </c>
      <c r="R29" s="72">
        <f>INDEX(Inputs!$C$61:$G$61,1,R5)</f>
        <v/>
      </c>
      <c r="S29" s="72">
        <f>INDEX(Inputs!$C$61:$G$61,1,S5)</f>
        <v/>
      </c>
      <c r="T29" s="72">
        <f>INDEX(Inputs!$C$61:$G$61,1,T5)</f>
        <v/>
      </c>
      <c r="U29" s="72">
        <f>INDEX(Inputs!$C$61:$G$61,1,U5)</f>
        <v/>
      </c>
      <c r="V29" s="72">
        <f>INDEX(Inputs!$C$61:$G$61,1,V5)</f>
        <v/>
      </c>
      <c r="W29" s="72">
        <f>INDEX(Inputs!$C$61:$G$61,1,W5)</f>
        <v/>
      </c>
      <c r="X29" s="72">
        <f>INDEX(Inputs!$C$61:$G$61,1,X5)</f>
        <v/>
      </c>
      <c r="Y29" s="72">
        <f>INDEX(Inputs!$C$61:$G$61,1,Y5)</f>
        <v/>
      </c>
      <c r="Z29" s="72">
        <f>INDEX(Inputs!$C$61:$G$61,1,Z5)</f>
        <v/>
      </c>
      <c r="AA29" s="72">
        <f>INDEX(Inputs!$C$61:$G$61,1,AA5)</f>
        <v/>
      </c>
      <c r="AB29" s="72">
        <f>INDEX(Inputs!$C$61:$G$61,1,AB5)</f>
        <v/>
      </c>
      <c r="AC29" s="72">
        <f>INDEX(Inputs!$C$61:$G$61,1,AC5)</f>
        <v/>
      </c>
      <c r="AD29" s="72">
        <f>INDEX(Inputs!$C$61:$G$61,1,AD5)</f>
        <v/>
      </c>
      <c r="AE29" s="72">
        <f>INDEX(Inputs!$C$61:$G$61,1,AE5)</f>
        <v/>
      </c>
      <c r="AF29" s="72">
        <f>INDEX(Inputs!$C$61:$G$61,1,AF5)</f>
        <v/>
      </c>
      <c r="AG29" s="72">
        <f>INDEX(Inputs!$C$61:$G$61,1,AG5)</f>
        <v/>
      </c>
      <c r="AH29" s="72">
        <f>INDEX(Inputs!$C$61:$G$61,1,AH5)</f>
        <v/>
      </c>
      <c r="AI29" s="72">
        <f>INDEX(Inputs!$C$61:$G$61,1,AI5)</f>
        <v/>
      </c>
      <c r="AJ29" s="72">
        <f>INDEX(Inputs!$C$61:$G$61,1,AJ5)</f>
        <v/>
      </c>
      <c r="AK29" s="72">
        <f>INDEX(Inputs!$C$61:$G$61,1,AK5)</f>
        <v/>
      </c>
      <c r="AL29" s="72">
        <f>INDEX(Inputs!$C$61:$G$61,1,AL5)</f>
        <v/>
      </c>
      <c r="AM29" s="72">
        <f>INDEX(Inputs!$C$61:$G$61,1,AM5)</f>
        <v/>
      </c>
      <c r="AN29" s="72">
        <f>INDEX(Inputs!$C$61:$G$61,1,AN5)</f>
        <v/>
      </c>
      <c r="AO29" s="72">
        <f>INDEX(Inputs!$C$61:$G$61,1,AO5)</f>
        <v/>
      </c>
      <c r="AP29" s="72">
        <f>INDEX(Inputs!$C$61:$G$61,1,AP5)</f>
        <v/>
      </c>
      <c r="AQ29" s="72">
        <f>INDEX(Inputs!$C$61:$G$61,1,AQ5)</f>
        <v/>
      </c>
      <c r="AR29" s="72">
        <f>INDEX(Inputs!$C$61:$G$61,1,AR5)</f>
        <v/>
      </c>
      <c r="AS29" s="72">
        <f>INDEX(Inputs!$C$61:$G$61,1,AS5)</f>
        <v/>
      </c>
      <c r="AT29" s="72">
        <f>INDEX(Inputs!$C$61:$G$61,1,AT5)</f>
        <v/>
      </c>
      <c r="AU29" s="72">
        <f>INDEX(Inputs!$C$61:$G$61,1,AU5)</f>
        <v/>
      </c>
      <c r="AV29" s="72">
        <f>INDEX(Inputs!$C$61:$G$61,1,AV5)</f>
        <v/>
      </c>
      <c r="AW29" s="72">
        <f>INDEX(Inputs!$C$61:$G$61,1,AW5)</f>
        <v/>
      </c>
      <c r="AX29" s="72">
        <f>INDEX(Inputs!$C$61:$G$61,1,AX5)</f>
        <v/>
      </c>
      <c r="AY29" s="72">
        <f>INDEX(Inputs!$C$61:$G$61,1,AY5)</f>
        <v/>
      </c>
      <c r="AZ29" s="72">
        <f>INDEX(Inputs!$C$61:$G$61,1,AZ5)</f>
        <v/>
      </c>
      <c r="BA29" s="72">
        <f>INDEX(Inputs!$C$61:$G$61,1,BA5)</f>
        <v/>
      </c>
      <c r="BB29" s="72">
        <f>INDEX(Inputs!$C$61:$G$61,1,BB5)</f>
        <v/>
      </c>
      <c r="BC29" s="72">
        <f>INDEX(Inputs!$C$61:$G$61,1,BC5)</f>
        <v/>
      </c>
      <c r="BD29" s="72">
        <f>INDEX(Inputs!$C$61:$G$61,1,BD5)</f>
        <v/>
      </c>
      <c r="BE29" s="72">
        <f>INDEX(Inputs!$C$61:$G$61,1,BE5)</f>
        <v/>
      </c>
      <c r="BF29" s="72">
        <f>INDEX(Inputs!$C$61:$G$61,1,BF5)</f>
        <v/>
      </c>
      <c r="BG29" s="72">
        <f>INDEX(Inputs!$C$61:$G$61,1,BG5)</f>
        <v/>
      </c>
      <c r="BH29" s="72">
        <f>INDEX(Inputs!$C$61:$G$61,1,BH5)</f>
        <v/>
      </c>
      <c r="BI29" s="72">
        <f>INDEX(Inputs!$C$61:$G$61,1,BI5)</f>
        <v/>
      </c>
      <c r="BJ29" s="72">
        <f>INDEX(Inputs!$C$61:$G$61,1,BJ5)</f>
        <v/>
      </c>
      <c r="BK29" s="72">
        <f>INDEX(Inputs!$C$61:$G$61,1,BK5)</f>
        <v/>
      </c>
    </row>
    <row r="30">
      <c r="B30" s="61" t="inlineStr">
        <is>
          <t xml:space="preserve">   AI voice — paying customers</t>
        </is>
      </c>
      <c r="C30" s="92" t="inlineStr">
        <is>
          <t>EUR</t>
        </is>
      </c>
      <c r="D30" s="64">
        <f>D14*Inputs!$C$57*D29</f>
        <v/>
      </c>
      <c r="E30" s="64">
        <f>E14*Inputs!$C$57*E29</f>
        <v/>
      </c>
      <c r="F30" s="64">
        <f>F14*Inputs!$C$57*F29</f>
        <v/>
      </c>
      <c r="G30" s="64">
        <f>G14*Inputs!$C$57*G29</f>
        <v/>
      </c>
      <c r="H30" s="64">
        <f>H14*Inputs!$C$57*H29</f>
        <v/>
      </c>
      <c r="I30" s="64">
        <f>I14*Inputs!$C$57*I29</f>
        <v/>
      </c>
      <c r="J30" s="64">
        <f>J14*Inputs!$C$57*J29</f>
        <v/>
      </c>
      <c r="K30" s="64">
        <f>K14*Inputs!$C$57*K29</f>
        <v/>
      </c>
      <c r="L30" s="64">
        <f>L14*Inputs!$C$57*L29</f>
        <v/>
      </c>
      <c r="M30" s="64">
        <f>M14*Inputs!$C$57*M29</f>
        <v/>
      </c>
      <c r="N30" s="64">
        <f>N14*Inputs!$C$57*N29</f>
        <v/>
      </c>
      <c r="O30" s="64">
        <f>O14*Inputs!$C$57*O29</f>
        <v/>
      </c>
      <c r="P30" s="64">
        <f>P14*Inputs!$C$57*P29</f>
        <v/>
      </c>
      <c r="Q30" s="64">
        <f>Q14*Inputs!$C$57*Q29</f>
        <v/>
      </c>
      <c r="R30" s="64">
        <f>R14*Inputs!$C$57*R29</f>
        <v/>
      </c>
      <c r="S30" s="64">
        <f>S14*Inputs!$C$57*S29</f>
        <v/>
      </c>
      <c r="T30" s="64">
        <f>T14*Inputs!$C$57*T29</f>
        <v/>
      </c>
      <c r="U30" s="64">
        <f>U14*Inputs!$C$57*U29</f>
        <v/>
      </c>
      <c r="V30" s="64">
        <f>V14*Inputs!$C$57*V29</f>
        <v/>
      </c>
      <c r="W30" s="64">
        <f>W14*Inputs!$C$57*W29</f>
        <v/>
      </c>
      <c r="X30" s="64">
        <f>X14*Inputs!$C$57*X29</f>
        <v/>
      </c>
      <c r="Y30" s="64">
        <f>Y14*Inputs!$C$57*Y29</f>
        <v/>
      </c>
      <c r="Z30" s="64">
        <f>Z14*Inputs!$C$57*Z29</f>
        <v/>
      </c>
      <c r="AA30" s="64">
        <f>AA14*Inputs!$C$57*AA29</f>
        <v/>
      </c>
      <c r="AB30" s="64">
        <f>AB14*Inputs!$C$57*AB29</f>
        <v/>
      </c>
      <c r="AC30" s="64">
        <f>AC14*Inputs!$C$57*AC29</f>
        <v/>
      </c>
      <c r="AD30" s="64">
        <f>AD14*Inputs!$C$57*AD29</f>
        <v/>
      </c>
      <c r="AE30" s="64">
        <f>AE14*Inputs!$C$57*AE29</f>
        <v/>
      </c>
      <c r="AF30" s="64">
        <f>AF14*Inputs!$C$57*AF29</f>
        <v/>
      </c>
      <c r="AG30" s="64">
        <f>AG14*Inputs!$C$57*AG29</f>
        <v/>
      </c>
      <c r="AH30" s="64">
        <f>AH14*Inputs!$C$57*AH29</f>
        <v/>
      </c>
      <c r="AI30" s="64">
        <f>AI14*Inputs!$C$57*AI29</f>
        <v/>
      </c>
      <c r="AJ30" s="64">
        <f>AJ14*Inputs!$C$57*AJ29</f>
        <v/>
      </c>
      <c r="AK30" s="64">
        <f>AK14*Inputs!$C$57*AK29</f>
        <v/>
      </c>
      <c r="AL30" s="64">
        <f>AL14*Inputs!$C$57*AL29</f>
        <v/>
      </c>
      <c r="AM30" s="64">
        <f>AM14*Inputs!$C$57*AM29</f>
        <v/>
      </c>
      <c r="AN30" s="64">
        <f>AN14*Inputs!$C$57*AN29</f>
        <v/>
      </c>
      <c r="AO30" s="64">
        <f>AO14*Inputs!$C$57*AO29</f>
        <v/>
      </c>
      <c r="AP30" s="64">
        <f>AP14*Inputs!$C$57*AP29</f>
        <v/>
      </c>
      <c r="AQ30" s="64">
        <f>AQ14*Inputs!$C$57*AQ29</f>
        <v/>
      </c>
      <c r="AR30" s="64">
        <f>AR14*Inputs!$C$57*AR29</f>
        <v/>
      </c>
      <c r="AS30" s="64">
        <f>AS14*Inputs!$C$57*AS29</f>
        <v/>
      </c>
      <c r="AT30" s="64">
        <f>AT14*Inputs!$C$57*AT29</f>
        <v/>
      </c>
      <c r="AU30" s="64">
        <f>AU14*Inputs!$C$57*AU29</f>
        <v/>
      </c>
      <c r="AV30" s="64">
        <f>AV14*Inputs!$C$57*AV29</f>
        <v/>
      </c>
      <c r="AW30" s="64">
        <f>AW14*Inputs!$C$57*AW29</f>
        <v/>
      </c>
      <c r="AX30" s="64">
        <f>AX14*Inputs!$C$57*AX29</f>
        <v/>
      </c>
      <c r="AY30" s="64">
        <f>AY14*Inputs!$C$57*AY29</f>
        <v/>
      </c>
      <c r="AZ30" s="64">
        <f>AZ14*Inputs!$C$57*AZ29</f>
        <v/>
      </c>
      <c r="BA30" s="64">
        <f>BA14*Inputs!$C$57*BA29</f>
        <v/>
      </c>
      <c r="BB30" s="64">
        <f>BB14*Inputs!$C$57*BB29</f>
        <v/>
      </c>
      <c r="BC30" s="64">
        <f>BC14*Inputs!$C$57*BC29</f>
        <v/>
      </c>
      <c r="BD30" s="64">
        <f>BD14*Inputs!$C$57*BD29</f>
        <v/>
      </c>
      <c r="BE30" s="64">
        <f>BE14*Inputs!$C$57*BE29</f>
        <v/>
      </c>
      <c r="BF30" s="64">
        <f>BF14*Inputs!$C$57*BF29</f>
        <v/>
      </c>
      <c r="BG30" s="64">
        <f>BG14*Inputs!$C$57*BG29</f>
        <v/>
      </c>
      <c r="BH30" s="64">
        <f>BH14*Inputs!$C$57*BH29</f>
        <v/>
      </c>
      <c r="BI30" s="64">
        <f>BI14*Inputs!$C$57*BI29</f>
        <v/>
      </c>
      <c r="BJ30" s="64">
        <f>BJ14*Inputs!$C$57*BJ29</f>
        <v/>
      </c>
      <c r="BK30" s="64">
        <f>BK14*Inputs!$C$57*BK29</f>
        <v/>
      </c>
    </row>
    <row r="31">
      <c r="B31" s="61" t="inlineStr">
        <is>
          <t xml:space="preserve">   AI voice — free trials</t>
        </is>
      </c>
      <c r="C31" s="92" t="inlineStr">
        <is>
          <t>EUR</t>
        </is>
      </c>
      <c r="D31" s="64">
        <f>D15*Inputs!$D$44*Inputs!$C$55*Inputs!$C$56*D29</f>
        <v/>
      </c>
      <c r="E31" s="64">
        <f>E15*Inputs!$D$44*Inputs!$C$55*Inputs!$C$56*E29</f>
        <v/>
      </c>
      <c r="F31" s="64">
        <f>F15*Inputs!$D$44*Inputs!$C$55*Inputs!$C$56*F29</f>
        <v/>
      </c>
      <c r="G31" s="64">
        <f>G15*Inputs!$D$44*Inputs!$C$55*Inputs!$C$56*G29</f>
        <v/>
      </c>
      <c r="H31" s="64">
        <f>H15*Inputs!$D$44*Inputs!$C$55*Inputs!$C$56*H29</f>
        <v/>
      </c>
      <c r="I31" s="64">
        <f>I15*Inputs!$D$44*Inputs!$C$55*Inputs!$C$56*I29</f>
        <v/>
      </c>
      <c r="J31" s="64">
        <f>J15*Inputs!$D$44*Inputs!$C$55*Inputs!$C$56*J29</f>
        <v/>
      </c>
      <c r="K31" s="64">
        <f>K15*Inputs!$D$44*Inputs!$C$55*Inputs!$C$56*K29</f>
        <v/>
      </c>
      <c r="L31" s="64">
        <f>L15*Inputs!$D$44*Inputs!$C$55*Inputs!$C$56*L29</f>
        <v/>
      </c>
      <c r="M31" s="64">
        <f>M15*Inputs!$D$44*Inputs!$C$55*Inputs!$C$56*M29</f>
        <v/>
      </c>
      <c r="N31" s="64">
        <f>N15*Inputs!$D$44*Inputs!$C$55*Inputs!$C$56*N29</f>
        <v/>
      </c>
      <c r="O31" s="64">
        <f>O15*Inputs!$D$44*Inputs!$C$55*Inputs!$C$56*O29</f>
        <v/>
      </c>
      <c r="P31" s="64">
        <f>P15*Inputs!$D$44*Inputs!$C$55*Inputs!$C$56*P29</f>
        <v/>
      </c>
      <c r="Q31" s="64">
        <f>Q15*Inputs!$D$44*Inputs!$C$55*Inputs!$C$56*Q29</f>
        <v/>
      </c>
      <c r="R31" s="64">
        <f>R15*Inputs!$D$44*Inputs!$C$55*Inputs!$C$56*R29</f>
        <v/>
      </c>
      <c r="S31" s="64">
        <f>S15*Inputs!$D$44*Inputs!$C$55*Inputs!$C$56*S29</f>
        <v/>
      </c>
      <c r="T31" s="64">
        <f>T15*Inputs!$D$44*Inputs!$C$55*Inputs!$C$56*T29</f>
        <v/>
      </c>
      <c r="U31" s="64">
        <f>U15*Inputs!$D$44*Inputs!$C$55*Inputs!$C$56*U29</f>
        <v/>
      </c>
      <c r="V31" s="64">
        <f>V15*Inputs!$D$44*Inputs!$C$55*Inputs!$C$56*V29</f>
        <v/>
      </c>
      <c r="W31" s="64">
        <f>W15*Inputs!$D$44*Inputs!$C$55*Inputs!$C$56*W29</f>
        <v/>
      </c>
      <c r="X31" s="64">
        <f>X15*Inputs!$D$44*Inputs!$C$55*Inputs!$C$56*X29</f>
        <v/>
      </c>
      <c r="Y31" s="64">
        <f>Y15*Inputs!$D$44*Inputs!$C$55*Inputs!$C$56*Y29</f>
        <v/>
      </c>
      <c r="Z31" s="64">
        <f>Z15*Inputs!$D$44*Inputs!$C$55*Inputs!$C$56*Z29</f>
        <v/>
      </c>
      <c r="AA31" s="64">
        <f>AA15*Inputs!$D$44*Inputs!$C$55*Inputs!$C$56*AA29</f>
        <v/>
      </c>
      <c r="AB31" s="64">
        <f>AB15*Inputs!$D$44*Inputs!$C$55*Inputs!$C$56*AB29</f>
        <v/>
      </c>
      <c r="AC31" s="64">
        <f>AC15*Inputs!$D$44*Inputs!$C$55*Inputs!$C$56*AC29</f>
        <v/>
      </c>
      <c r="AD31" s="64">
        <f>AD15*Inputs!$D$44*Inputs!$C$55*Inputs!$C$56*AD29</f>
        <v/>
      </c>
      <c r="AE31" s="64">
        <f>AE15*Inputs!$D$44*Inputs!$C$55*Inputs!$C$56*AE29</f>
        <v/>
      </c>
      <c r="AF31" s="64">
        <f>AF15*Inputs!$D$44*Inputs!$C$55*Inputs!$C$56*AF29</f>
        <v/>
      </c>
      <c r="AG31" s="64">
        <f>AG15*Inputs!$D$44*Inputs!$C$55*Inputs!$C$56*AG29</f>
        <v/>
      </c>
      <c r="AH31" s="64">
        <f>AH15*Inputs!$D$44*Inputs!$C$55*Inputs!$C$56*AH29</f>
        <v/>
      </c>
      <c r="AI31" s="64">
        <f>AI15*Inputs!$D$44*Inputs!$C$55*Inputs!$C$56*AI29</f>
        <v/>
      </c>
      <c r="AJ31" s="64">
        <f>AJ15*Inputs!$D$44*Inputs!$C$55*Inputs!$C$56*AJ29</f>
        <v/>
      </c>
      <c r="AK31" s="64">
        <f>AK15*Inputs!$D$44*Inputs!$C$55*Inputs!$C$56*AK29</f>
        <v/>
      </c>
      <c r="AL31" s="64">
        <f>AL15*Inputs!$D$44*Inputs!$C$55*Inputs!$C$56*AL29</f>
        <v/>
      </c>
      <c r="AM31" s="64">
        <f>AM15*Inputs!$D$44*Inputs!$C$55*Inputs!$C$56*AM29</f>
        <v/>
      </c>
      <c r="AN31" s="64">
        <f>AN15*Inputs!$D$44*Inputs!$C$55*Inputs!$C$56*AN29</f>
        <v/>
      </c>
      <c r="AO31" s="64">
        <f>AO15*Inputs!$D$44*Inputs!$C$55*Inputs!$C$56*AO29</f>
        <v/>
      </c>
      <c r="AP31" s="64">
        <f>AP15*Inputs!$D$44*Inputs!$C$55*Inputs!$C$56*AP29</f>
        <v/>
      </c>
      <c r="AQ31" s="64">
        <f>AQ15*Inputs!$D$44*Inputs!$C$55*Inputs!$C$56*AQ29</f>
        <v/>
      </c>
      <c r="AR31" s="64">
        <f>AR15*Inputs!$D$44*Inputs!$C$55*Inputs!$C$56*AR29</f>
        <v/>
      </c>
      <c r="AS31" s="64">
        <f>AS15*Inputs!$D$44*Inputs!$C$55*Inputs!$C$56*AS29</f>
        <v/>
      </c>
      <c r="AT31" s="64">
        <f>AT15*Inputs!$D$44*Inputs!$C$55*Inputs!$C$56*AT29</f>
        <v/>
      </c>
      <c r="AU31" s="64">
        <f>AU15*Inputs!$D$44*Inputs!$C$55*Inputs!$C$56*AU29</f>
        <v/>
      </c>
      <c r="AV31" s="64">
        <f>AV15*Inputs!$D$44*Inputs!$C$55*Inputs!$C$56*AV29</f>
        <v/>
      </c>
      <c r="AW31" s="64">
        <f>AW15*Inputs!$D$44*Inputs!$C$55*Inputs!$C$56*AW29</f>
        <v/>
      </c>
      <c r="AX31" s="64">
        <f>AX15*Inputs!$D$44*Inputs!$C$55*Inputs!$C$56*AX29</f>
        <v/>
      </c>
      <c r="AY31" s="64">
        <f>AY15*Inputs!$D$44*Inputs!$C$55*Inputs!$C$56*AY29</f>
        <v/>
      </c>
      <c r="AZ31" s="64">
        <f>AZ15*Inputs!$D$44*Inputs!$C$55*Inputs!$C$56*AZ29</f>
        <v/>
      </c>
      <c r="BA31" s="64">
        <f>BA15*Inputs!$D$44*Inputs!$C$55*Inputs!$C$56*BA29</f>
        <v/>
      </c>
      <c r="BB31" s="64">
        <f>BB15*Inputs!$D$44*Inputs!$C$55*Inputs!$C$56*BB29</f>
        <v/>
      </c>
      <c r="BC31" s="64">
        <f>BC15*Inputs!$D$44*Inputs!$C$55*Inputs!$C$56*BC29</f>
        <v/>
      </c>
      <c r="BD31" s="64">
        <f>BD15*Inputs!$D$44*Inputs!$C$55*Inputs!$C$56*BD29</f>
        <v/>
      </c>
      <c r="BE31" s="64">
        <f>BE15*Inputs!$D$44*Inputs!$C$55*Inputs!$C$56*BE29</f>
        <v/>
      </c>
      <c r="BF31" s="64">
        <f>BF15*Inputs!$D$44*Inputs!$C$55*Inputs!$C$56*BF29</f>
        <v/>
      </c>
      <c r="BG31" s="64">
        <f>BG15*Inputs!$D$44*Inputs!$C$55*Inputs!$C$56*BG29</f>
        <v/>
      </c>
      <c r="BH31" s="64">
        <f>BH15*Inputs!$D$44*Inputs!$C$55*Inputs!$C$56*BH29</f>
        <v/>
      </c>
      <c r="BI31" s="64">
        <f>BI15*Inputs!$D$44*Inputs!$C$55*Inputs!$C$56*BI29</f>
        <v/>
      </c>
      <c r="BJ31" s="64">
        <f>BJ15*Inputs!$D$44*Inputs!$C$55*Inputs!$C$56*BJ29</f>
        <v/>
      </c>
      <c r="BK31" s="64">
        <f>BK15*Inputs!$D$44*Inputs!$C$55*Inputs!$C$56*BK29</f>
        <v/>
      </c>
    </row>
    <row r="32">
      <c r="B32" s="61" t="inlineStr">
        <is>
          <t xml:space="preserve">   Data &amp; storage</t>
        </is>
      </c>
      <c r="C32" s="92" t="inlineStr">
        <is>
          <t>EUR</t>
        </is>
      </c>
      <c r="D32" s="64">
        <f>D14*Inputs!$C$62</f>
        <v/>
      </c>
      <c r="E32" s="64">
        <f>E14*Inputs!$C$62</f>
        <v/>
      </c>
      <c r="F32" s="64">
        <f>F14*Inputs!$C$62</f>
        <v/>
      </c>
      <c r="G32" s="64">
        <f>G14*Inputs!$C$62</f>
        <v/>
      </c>
      <c r="H32" s="64">
        <f>H14*Inputs!$C$62</f>
        <v/>
      </c>
      <c r="I32" s="64">
        <f>I14*Inputs!$C$62</f>
        <v/>
      </c>
      <c r="J32" s="64">
        <f>J14*Inputs!$C$62</f>
        <v/>
      </c>
      <c r="K32" s="64">
        <f>K14*Inputs!$C$62</f>
        <v/>
      </c>
      <c r="L32" s="64">
        <f>L14*Inputs!$C$62</f>
        <v/>
      </c>
      <c r="M32" s="64">
        <f>M14*Inputs!$C$62</f>
        <v/>
      </c>
      <c r="N32" s="64">
        <f>N14*Inputs!$C$62</f>
        <v/>
      </c>
      <c r="O32" s="64">
        <f>O14*Inputs!$C$62</f>
        <v/>
      </c>
      <c r="P32" s="64">
        <f>P14*Inputs!$C$62</f>
        <v/>
      </c>
      <c r="Q32" s="64">
        <f>Q14*Inputs!$C$62</f>
        <v/>
      </c>
      <c r="R32" s="64">
        <f>R14*Inputs!$C$62</f>
        <v/>
      </c>
      <c r="S32" s="64">
        <f>S14*Inputs!$C$62</f>
        <v/>
      </c>
      <c r="T32" s="64">
        <f>T14*Inputs!$C$62</f>
        <v/>
      </c>
      <c r="U32" s="64">
        <f>U14*Inputs!$C$62</f>
        <v/>
      </c>
      <c r="V32" s="64">
        <f>V14*Inputs!$C$62</f>
        <v/>
      </c>
      <c r="W32" s="64">
        <f>W14*Inputs!$C$62</f>
        <v/>
      </c>
      <c r="X32" s="64">
        <f>X14*Inputs!$C$62</f>
        <v/>
      </c>
      <c r="Y32" s="64">
        <f>Y14*Inputs!$C$62</f>
        <v/>
      </c>
      <c r="Z32" s="64">
        <f>Z14*Inputs!$C$62</f>
        <v/>
      </c>
      <c r="AA32" s="64">
        <f>AA14*Inputs!$C$62</f>
        <v/>
      </c>
      <c r="AB32" s="64">
        <f>AB14*Inputs!$C$62</f>
        <v/>
      </c>
      <c r="AC32" s="64">
        <f>AC14*Inputs!$C$62</f>
        <v/>
      </c>
      <c r="AD32" s="64">
        <f>AD14*Inputs!$C$62</f>
        <v/>
      </c>
      <c r="AE32" s="64">
        <f>AE14*Inputs!$C$62</f>
        <v/>
      </c>
      <c r="AF32" s="64">
        <f>AF14*Inputs!$C$62</f>
        <v/>
      </c>
      <c r="AG32" s="64">
        <f>AG14*Inputs!$C$62</f>
        <v/>
      </c>
      <c r="AH32" s="64">
        <f>AH14*Inputs!$C$62</f>
        <v/>
      </c>
      <c r="AI32" s="64">
        <f>AI14*Inputs!$C$62</f>
        <v/>
      </c>
      <c r="AJ32" s="64">
        <f>AJ14*Inputs!$C$62</f>
        <v/>
      </c>
      <c r="AK32" s="64">
        <f>AK14*Inputs!$C$62</f>
        <v/>
      </c>
      <c r="AL32" s="64">
        <f>AL14*Inputs!$C$62</f>
        <v/>
      </c>
      <c r="AM32" s="64">
        <f>AM14*Inputs!$C$62</f>
        <v/>
      </c>
      <c r="AN32" s="64">
        <f>AN14*Inputs!$C$62</f>
        <v/>
      </c>
      <c r="AO32" s="64">
        <f>AO14*Inputs!$C$62</f>
        <v/>
      </c>
      <c r="AP32" s="64">
        <f>AP14*Inputs!$C$62</f>
        <v/>
      </c>
      <c r="AQ32" s="64">
        <f>AQ14*Inputs!$C$62</f>
        <v/>
      </c>
      <c r="AR32" s="64">
        <f>AR14*Inputs!$C$62</f>
        <v/>
      </c>
      <c r="AS32" s="64">
        <f>AS14*Inputs!$C$62</f>
        <v/>
      </c>
      <c r="AT32" s="64">
        <f>AT14*Inputs!$C$62</f>
        <v/>
      </c>
      <c r="AU32" s="64">
        <f>AU14*Inputs!$C$62</f>
        <v/>
      </c>
      <c r="AV32" s="64">
        <f>AV14*Inputs!$C$62</f>
        <v/>
      </c>
      <c r="AW32" s="64">
        <f>AW14*Inputs!$C$62</f>
        <v/>
      </c>
      <c r="AX32" s="64">
        <f>AX14*Inputs!$C$62</f>
        <v/>
      </c>
      <c r="AY32" s="64">
        <f>AY14*Inputs!$C$62</f>
        <v/>
      </c>
      <c r="AZ32" s="64">
        <f>AZ14*Inputs!$C$62</f>
        <v/>
      </c>
      <c r="BA32" s="64">
        <f>BA14*Inputs!$C$62</f>
        <v/>
      </c>
      <c r="BB32" s="64">
        <f>BB14*Inputs!$C$62</f>
        <v/>
      </c>
      <c r="BC32" s="64">
        <f>BC14*Inputs!$C$62</f>
        <v/>
      </c>
      <c r="BD32" s="64">
        <f>BD14*Inputs!$C$62</f>
        <v/>
      </c>
      <c r="BE32" s="64">
        <f>BE14*Inputs!$C$62</f>
        <v/>
      </c>
      <c r="BF32" s="64">
        <f>BF14*Inputs!$C$62</f>
        <v/>
      </c>
      <c r="BG32" s="64">
        <f>BG14*Inputs!$C$62</f>
        <v/>
      </c>
      <c r="BH32" s="64">
        <f>BH14*Inputs!$C$62</f>
        <v/>
      </c>
      <c r="BI32" s="64">
        <f>BI14*Inputs!$C$62</f>
        <v/>
      </c>
      <c r="BJ32" s="64">
        <f>BJ14*Inputs!$C$62</f>
        <v/>
      </c>
      <c r="BK32" s="64">
        <f>BK14*Inputs!$C$62</f>
        <v/>
      </c>
    </row>
    <row r="33">
      <c r="B33" s="61" t="inlineStr">
        <is>
          <t xml:space="preserve">   Preventive Care variable cost</t>
        </is>
      </c>
      <c r="C33" s="92" t="inlineStr">
        <is>
          <t>EUR</t>
        </is>
      </c>
      <c r="D33" s="64">
        <f>D14*D20*Inputs!$C$52</f>
        <v/>
      </c>
      <c r="E33" s="64">
        <f>E14*E20*Inputs!$C$52</f>
        <v/>
      </c>
      <c r="F33" s="64">
        <f>F14*F20*Inputs!$C$52</f>
        <v/>
      </c>
      <c r="G33" s="64">
        <f>G14*G20*Inputs!$C$52</f>
        <v/>
      </c>
      <c r="H33" s="64">
        <f>H14*H20*Inputs!$C$52</f>
        <v/>
      </c>
      <c r="I33" s="64">
        <f>I14*I20*Inputs!$C$52</f>
        <v/>
      </c>
      <c r="J33" s="64">
        <f>J14*J20*Inputs!$C$52</f>
        <v/>
      </c>
      <c r="K33" s="64">
        <f>K14*K20*Inputs!$C$52</f>
        <v/>
      </c>
      <c r="L33" s="64">
        <f>L14*L20*Inputs!$C$52</f>
        <v/>
      </c>
      <c r="M33" s="64">
        <f>M14*M20*Inputs!$C$52</f>
        <v/>
      </c>
      <c r="N33" s="64">
        <f>N14*N20*Inputs!$C$52</f>
        <v/>
      </c>
      <c r="O33" s="64">
        <f>O14*O20*Inputs!$C$52</f>
        <v/>
      </c>
      <c r="P33" s="64">
        <f>P14*P20*Inputs!$C$52</f>
        <v/>
      </c>
      <c r="Q33" s="64">
        <f>Q14*Q20*Inputs!$C$52</f>
        <v/>
      </c>
      <c r="R33" s="64">
        <f>R14*R20*Inputs!$C$52</f>
        <v/>
      </c>
      <c r="S33" s="64">
        <f>S14*S20*Inputs!$C$52</f>
        <v/>
      </c>
      <c r="T33" s="64">
        <f>T14*T20*Inputs!$C$52</f>
        <v/>
      </c>
      <c r="U33" s="64">
        <f>U14*U20*Inputs!$C$52</f>
        <v/>
      </c>
      <c r="V33" s="64">
        <f>V14*V20*Inputs!$C$52</f>
        <v/>
      </c>
      <c r="W33" s="64">
        <f>W14*W20*Inputs!$C$52</f>
        <v/>
      </c>
      <c r="X33" s="64">
        <f>X14*X20*Inputs!$C$52</f>
        <v/>
      </c>
      <c r="Y33" s="64">
        <f>Y14*Y20*Inputs!$C$52</f>
        <v/>
      </c>
      <c r="Z33" s="64">
        <f>Z14*Z20*Inputs!$C$52</f>
        <v/>
      </c>
      <c r="AA33" s="64">
        <f>AA14*AA20*Inputs!$C$52</f>
        <v/>
      </c>
      <c r="AB33" s="64">
        <f>AB14*AB20*Inputs!$C$52</f>
        <v/>
      </c>
      <c r="AC33" s="64">
        <f>AC14*AC20*Inputs!$C$52</f>
        <v/>
      </c>
      <c r="AD33" s="64">
        <f>AD14*AD20*Inputs!$C$52</f>
        <v/>
      </c>
      <c r="AE33" s="64">
        <f>AE14*AE20*Inputs!$C$52</f>
        <v/>
      </c>
      <c r="AF33" s="64">
        <f>AF14*AF20*Inputs!$C$52</f>
        <v/>
      </c>
      <c r="AG33" s="64">
        <f>AG14*AG20*Inputs!$C$52</f>
        <v/>
      </c>
      <c r="AH33" s="64">
        <f>AH14*AH20*Inputs!$C$52</f>
        <v/>
      </c>
      <c r="AI33" s="64">
        <f>AI14*AI20*Inputs!$C$52</f>
        <v/>
      </c>
      <c r="AJ33" s="64">
        <f>AJ14*AJ20*Inputs!$C$52</f>
        <v/>
      </c>
      <c r="AK33" s="64">
        <f>AK14*AK20*Inputs!$C$52</f>
        <v/>
      </c>
      <c r="AL33" s="64">
        <f>AL14*AL20*Inputs!$C$52</f>
        <v/>
      </c>
      <c r="AM33" s="64">
        <f>AM14*AM20*Inputs!$C$52</f>
        <v/>
      </c>
      <c r="AN33" s="64">
        <f>AN14*AN20*Inputs!$C$52</f>
        <v/>
      </c>
      <c r="AO33" s="64">
        <f>AO14*AO20*Inputs!$C$52</f>
        <v/>
      </c>
      <c r="AP33" s="64">
        <f>AP14*AP20*Inputs!$C$52</f>
        <v/>
      </c>
      <c r="AQ33" s="64">
        <f>AQ14*AQ20*Inputs!$C$52</f>
        <v/>
      </c>
      <c r="AR33" s="64">
        <f>AR14*AR20*Inputs!$C$52</f>
        <v/>
      </c>
      <c r="AS33" s="64">
        <f>AS14*AS20*Inputs!$C$52</f>
        <v/>
      </c>
      <c r="AT33" s="64">
        <f>AT14*AT20*Inputs!$C$52</f>
        <v/>
      </c>
      <c r="AU33" s="64">
        <f>AU14*AU20*Inputs!$C$52</f>
        <v/>
      </c>
      <c r="AV33" s="64">
        <f>AV14*AV20*Inputs!$C$52</f>
        <v/>
      </c>
      <c r="AW33" s="64">
        <f>AW14*AW20*Inputs!$C$52</f>
        <v/>
      </c>
      <c r="AX33" s="64">
        <f>AX14*AX20*Inputs!$C$52</f>
        <v/>
      </c>
      <c r="AY33" s="64">
        <f>AY14*AY20*Inputs!$C$52</f>
        <v/>
      </c>
      <c r="AZ33" s="64">
        <f>AZ14*AZ20*Inputs!$C$52</f>
        <v/>
      </c>
      <c r="BA33" s="64">
        <f>BA14*BA20*Inputs!$C$52</f>
        <v/>
      </c>
      <c r="BB33" s="64">
        <f>BB14*BB20*Inputs!$C$52</f>
        <v/>
      </c>
      <c r="BC33" s="64">
        <f>BC14*BC20*Inputs!$C$52</f>
        <v/>
      </c>
      <c r="BD33" s="64">
        <f>BD14*BD20*Inputs!$C$52</f>
        <v/>
      </c>
      <c r="BE33" s="64">
        <f>BE14*BE20*Inputs!$C$52</f>
        <v/>
      </c>
      <c r="BF33" s="64">
        <f>BF14*BF20*Inputs!$C$52</f>
        <v/>
      </c>
      <c r="BG33" s="64">
        <f>BG14*BG20*Inputs!$C$52</f>
        <v/>
      </c>
      <c r="BH33" s="64">
        <f>BH14*BH20*Inputs!$C$52</f>
        <v/>
      </c>
      <c r="BI33" s="64">
        <f>BI14*BI20*Inputs!$C$52</f>
        <v/>
      </c>
      <c r="BJ33" s="64">
        <f>BJ14*BJ20*Inputs!$C$52</f>
        <v/>
      </c>
      <c r="BK33" s="64">
        <f>BK14*BK20*Inputs!$C$52</f>
        <v/>
      </c>
    </row>
    <row r="34">
      <c r="B34" s="65" t="inlineStr">
        <is>
          <t>Total cost of service</t>
        </is>
      </c>
      <c r="C34" s="92" t="inlineStr">
        <is>
          <t>EUR</t>
        </is>
      </c>
      <c r="D34" s="66">
        <f>SUM(D30:D33)</f>
        <v/>
      </c>
      <c r="E34" s="66">
        <f>SUM(E30:E33)</f>
        <v/>
      </c>
      <c r="F34" s="66">
        <f>SUM(F30:F33)</f>
        <v/>
      </c>
      <c r="G34" s="66">
        <f>SUM(G30:G33)</f>
        <v/>
      </c>
      <c r="H34" s="66">
        <f>SUM(H30:H33)</f>
        <v/>
      </c>
      <c r="I34" s="66">
        <f>SUM(I30:I33)</f>
        <v/>
      </c>
      <c r="J34" s="66">
        <f>SUM(J30:J33)</f>
        <v/>
      </c>
      <c r="K34" s="66">
        <f>SUM(K30:K33)</f>
        <v/>
      </c>
      <c r="L34" s="66">
        <f>SUM(L30:L33)</f>
        <v/>
      </c>
      <c r="M34" s="66">
        <f>SUM(M30:M33)</f>
        <v/>
      </c>
      <c r="N34" s="66">
        <f>SUM(N30:N33)</f>
        <v/>
      </c>
      <c r="O34" s="66">
        <f>SUM(O30:O33)</f>
        <v/>
      </c>
      <c r="P34" s="66">
        <f>SUM(P30:P33)</f>
        <v/>
      </c>
      <c r="Q34" s="66">
        <f>SUM(Q30:Q33)</f>
        <v/>
      </c>
      <c r="R34" s="66">
        <f>SUM(R30:R33)</f>
        <v/>
      </c>
      <c r="S34" s="66">
        <f>SUM(S30:S33)</f>
        <v/>
      </c>
      <c r="T34" s="66">
        <f>SUM(T30:T33)</f>
        <v/>
      </c>
      <c r="U34" s="66">
        <f>SUM(U30:U33)</f>
        <v/>
      </c>
      <c r="V34" s="66">
        <f>SUM(V30:V33)</f>
        <v/>
      </c>
      <c r="W34" s="66">
        <f>SUM(W30:W33)</f>
        <v/>
      </c>
      <c r="X34" s="66">
        <f>SUM(X30:X33)</f>
        <v/>
      </c>
      <c r="Y34" s="66">
        <f>SUM(Y30:Y33)</f>
        <v/>
      </c>
      <c r="Z34" s="66">
        <f>SUM(Z30:Z33)</f>
        <v/>
      </c>
      <c r="AA34" s="66">
        <f>SUM(AA30:AA33)</f>
        <v/>
      </c>
      <c r="AB34" s="66">
        <f>SUM(AB30:AB33)</f>
        <v/>
      </c>
      <c r="AC34" s="66">
        <f>SUM(AC30:AC33)</f>
        <v/>
      </c>
      <c r="AD34" s="66">
        <f>SUM(AD30:AD33)</f>
        <v/>
      </c>
      <c r="AE34" s="66">
        <f>SUM(AE30:AE33)</f>
        <v/>
      </c>
      <c r="AF34" s="66">
        <f>SUM(AF30:AF33)</f>
        <v/>
      </c>
      <c r="AG34" s="66">
        <f>SUM(AG30:AG33)</f>
        <v/>
      </c>
      <c r="AH34" s="66">
        <f>SUM(AH30:AH33)</f>
        <v/>
      </c>
      <c r="AI34" s="66">
        <f>SUM(AI30:AI33)</f>
        <v/>
      </c>
      <c r="AJ34" s="66">
        <f>SUM(AJ30:AJ33)</f>
        <v/>
      </c>
      <c r="AK34" s="66">
        <f>SUM(AK30:AK33)</f>
        <v/>
      </c>
      <c r="AL34" s="66">
        <f>SUM(AL30:AL33)</f>
        <v/>
      </c>
      <c r="AM34" s="66">
        <f>SUM(AM30:AM33)</f>
        <v/>
      </c>
      <c r="AN34" s="66">
        <f>SUM(AN30:AN33)</f>
        <v/>
      </c>
      <c r="AO34" s="66">
        <f>SUM(AO30:AO33)</f>
        <v/>
      </c>
      <c r="AP34" s="66">
        <f>SUM(AP30:AP33)</f>
        <v/>
      </c>
      <c r="AQ34" s="66">
        <f>SUM(AQ30:AQ33)</f>
        <v/>
      </c>
      <c r="AR34" s="66">
        <f>SUM(AR30:AR33)</f>
        <v/>
      </c>
      <c r="AS34" s="66">
        <f>SUM(AS30:AS33)</f>
        <v/>
      </c>
      <c r="AT34" s="66">
        <f>SUM(AT30:AT33)</f>
        <v/>
      </c>
      <c r="AU34" s="66">
        <f>SUM(AU30:AU33)</f>
        <v/>
      </c>
      <c r="AV34" s="66">
        <f>SUM(AV30:AV33)</f>
        <v/>
      </c>
      <c r="AW34" s="66">
        <f>SUM(AW30:AW33)</f>
        <v/>
      </c>
      <c r="AX34" s="66">
        <f>SUM(AX30:AX33)</f>
        <v/>
      </c>
      <c r="AY34" s="66">
        <f>SUM(AY30:AY33)</f>
        <v/>
      </c>
      <c r="AZ34" s="66">
        <f>SUM(AZ30:AZ33)</f>
        <v/>
      </c>
      <c r="BA34" s="66">
        <f>SUM(BA30:BA33)</f>
        <v/>
      </c>
      <c r="BB34" s="66">
        <f>SUM(BB30:BB33)</f>
        <v/>
      </c>
      <c r="BC34" s="66">
        <f>SUM(BC30:BC33)</f>
        <v/>
      </c>
      <c r="BD34" s="66">
        <f>SUM(BD30:BD33)</f>
        <v/>
      </c>
      <c r="BE34" s="66">
        <f>SUM(BE30:BE33)</f>
        <v/>
      </c>
      <c r="BF34" s="66">
        <f>SUM(BF30:BF33)</f>
        <v/>
      </c>
      <c r="BG34" s="66">
        <f>SUM(BG30:BG33)</f>
        <v/>
      </c>
      <c r="BH34" s="66">
        <f>SUM(BH30:BH33)</f>
        <v/>
      </c>
      <c r="BI34" s="66">
        <f>SUM(BI30:BI33)</f>
        <v/>
      </c>
      <c r="BJ34" s="66">
        <f>SUM(BJ30:BJ33)</f>
        <v/>
      </c>
      <c r="BK34" s="66">
        <f>SUM(BK30:BK33)</f>
        <v/>
      </c>
    </row>
    <row r="35">
      <c r="B35" s="69" t="inlineStr">
        <is>
          <t>Gross profit</t>
        </is>
      </c>
      <c r="C35" s="98" t="inlineStr">
        <is>
          <t>EUR</t>
        </is>
      </c>
      <c r="D35" s="71">
        <f>D26-D34</f>
        <v/>
      </c>
      <c r="E35" s="71">
        <f>E26-E34</f>
        <v/>
      </c>
      <c r="F35" s="71">
        <f>F26-F34</f>
        <v/>
      </c>
      <c r="G35" s="71">
        <f>G26-G34</f>
        <v/>
      </c>
      <c r="H35" s="71">
        <f>H26-H34</f>
        <v/>
      </c>
      <c r="I35" s="71">
        <f>I26-I34</f>
        <v/>
      </c>
      <c r="J35" s="71">
        <f>J26-J34</f>
        <v/>
      </c>
      <c r="K35" s="71">
        <f>K26-K34</f>
        <v/>
      </c>
      <c r="L35" s="71">
        <f>L26-L34</f>
        <v/>
      </c>
      <c r="M35" s="71">
        <f>M26-M34</f>
        <v/>
      </c>
      <c r="N35" s="71">
        <f>N26-N34</f>
        <v/>
      </c>
      <c r="O35" s="71">
        <f>O26-O34</f>
        <v/>
      </c>
      <c r="P35" s="71">
        <f>P26-P34</f>
        <v/>
      </c>
      <c r="Q35" s="71">
        <f>Q26-Q34</f>
        <v/>
      </c>
      <c r="R35" s="71">
        <f>R26-R34</f>
        <v/>
      </c>
      <c r="S35" s="71">
        <f>S26-S34</f>
        <v/>
      </c>
      <c r="T35" s="71">
        <f>T26-T34</f>
        <v/>
      </c>
      <c r="U35" s="71">
        <f>U26-U34</f>
        <v/>
      </c>
      <c r="V35" s="71">
        <f>V26-V34</f>
        <v/>
      </c>
      <c r="W35" s="71">
        <f>W26-W34</f>
        <v/>
      </c>
      <c r="X35" s="71">
        <f>X26-X34</f>
        <v/>
      </c>
      <c r="Y35" s="71">
        <f>Y26-Y34</f>
        <v/>
      </c>
      <c r="Z35" s="71">
        <f>Z26-Z34</f>
        <v/>
      </c>
      <c r="AA35" s="71">
        <f>AA26-AA34</f>
        <v/>
      </c>
      <c r="AB35" s="71">
        <f>AB26-AB34</f>
        <v/>
      </c>
      <c r="AC35" s="71">
        <f>AC26-AC34</f>
        <v/>
      </c>
      <c r="AD35" s="71">
        <f>AD26-AD34</f>
        <v/>
      </c>
      <c r="AE35" s="71">
        <f>AE26-AE34</f>
        <v/>
      </c>
      <c r="AF35" s="71">
        <f>AF26-AF34</f>
        <v/>
      </c>
      <c r="AG35" s="71">
        <f>AG26-AG34</f>
        <v/>
      </c>
      <c r="AH35" s="71">
        <f>AH26-AH34</f>
        <v/>
      </c>
      <c r="AI35" s="71">
        <f>AI26-AI34</f>
        <v/>
      </c>
      <c r="AJ35" s="71">
        <f>AJ26-AJ34</f>
        <v/>
      </c>
      <c r="AK35" s="71">
        <f>AK26-AK34</f>
        <v/>
      </c>
      <c r="AL35" s="71">
        <f>AL26-AL34</f>
        <v/>
      </c>
      <c r="AM35" s="71">
        <f>AM26-AM34</f>
        <v/>
      </c>
      <c r="AN35" s="71">
        <f>AN26-AN34</f>
        <v/>
      </c>
      <c r="AO35" s="71">
        <f>AO26-AO34</f>
        <v/>
      </c>
      <c r="AP35" s="71">
        <f>AP26-AP34</f>
        <v/>
      </c>
      <c r="AQ35" s="71">
        <f>AQ26-AQ34</f>
        <v/>
      </c>
      <c r="AR35" s="71">
        <f>AR26-AR34</f>
        <v/>
      </c>
      <c r="AS35" s="71">
        <f>AS26-AS34</f>
        <v/>
      </c>
      <c r="AT35" s="71">
        <f>AT26-AT34</f>
        <v/>
      </c>
      <c r="AU35" s="71">
        <f>AU26-AU34</f>
        <v/>
      </c>
      <c r="AV35" s="71">
        <f>AV26-AV34</f>
        <v/>
      </c>
      <c r="AW35" s="71">
        <f>AW26-AW34</f>
        <v/>
      </c>
      <c r="AX35" s="71">
        <f>AX26-AX34</f>
        <v/>
      </c>
      <c r="AY35" s="71">
        <f>AY26-AY34</f>
        <v/>
      </c>
      <c r="AZ35" s="71">
        <f>AZ26-AZ34</f>
        <v/>
      </c>
      <c r="BA35" s="71">
        <f>BA26-BA34</f>
        <v/>
      </c>
      <c r="BB35" s="71">
        <f>BB26-BB34</f>
        <v/>
      </c>
      <c r="BC35" s="71">
        <f>BC26-BC34</f>
        <v/>
      </c>
      <c r="BD35" s="71">
        <f>BD26-BD34</f>
        <v/>
      </c>
      <c r="BE35" s="71">
        <f>BE26-BE34</f>
        <v/>
      </c>
      <c r="BF35" s="71">
        <f>BF26-BF34</f>
        <v/>
      </c>
      <c r="BG35" s="71">
        <f>BG26-BG34</f>
        <v/>
      </c>
      <c r="BH35" s="71">
        <f>BH26-BH34</f>
        <v/>
      </c>
      <c r="BI35" s="71">
        <f>BI26-BI34</f>
        <v/>
      </c>
      <c r="BJ35" s="71">
        <f>BJ26-BJ34</f>
        <v/>
      </c>
      <c r="BK35" s="71">
        <f>BK26-BK34</f>
        <v/>
      </c>
    </row>
    <row r="36">
      <c r="B36" s="61" t="inlineStr">
        <is>
          <t>Gross margin</t>
        </is>
      </c>
      <c r="C36" s="92" t="inlineStr">
        <is>
          <t>%</t>
        </is>
      </c>
      <c r="D36" s="68">
        <f>IFERROR(D35/D26,0)</f>
        <v/>
      </c>
      <c r="E36" s="68">
        <f>IFERROR(E35/E26,0)</f>
        <v/>
      </c>
      <c r="F36" s="68">
        <f>IFERROR(F35/F26,0)</f>
        <v/>
      </c>
      <c r="G36" s="68">
        <f>IFERROR(G35/G26,0)</f>
        <v/>
      </c>
      <c r="H36" s="68">
        <f>IFERROR(H35/H26,0)</f>
        <v/>
      </c>
      <c r="I36" s="68">
        <f>IFERROR(I35/I26,0)</f>
        <v/>
      </c>
      <c r="J36" s="68">
        <f>IFERROR(J35/J26,0)</f>
        <v/>
      </c>
      <c r="K36" s="68">
        <f>IFERROR(K35/K26,0)</f>
        <v/>
      </c>
      <c r="L36" s="68">
        <f>IFERROR(L35/L26,0)</f>
        <v/>
      </c>
      <c r="M36" s="68">
        <f>IFERROR(M35/M26,0)</f>
        <v/>
      </c>
      <c r="N36" s="68">
        <f>IFERROR(N35/N26,0)</f>
        <v/>
      </c>
      <c r="O36" s="68">
        <f>IFERROR(O35/O26,0)</f>
        <v/>
      </c>
      <c r="P36" s="68">
        <f>IFERROR(P35/P26,0)</f>
        <v/>
      </c>
      <c r="Q36" s="68">
        <f>IFERROR(Q35/Q26,0)</f>
        <v/>
      </c>
      <c r="R36" s="68">
        <f>IFERROR(R35/R26,0)</f>
        <v/>
      </c>
      <c r="S36" s="68">
        <f>IFERROR(S35/S26,0)</f>
        <v/>
      </c>
      <c r="T36" s="68">
        <f>IFERROR(T35/T26,0)</f>
        <v/>
      </c>
      <c r="U36" s="68">
        <f>IFERROR(U35/U26,0)</f>
        <v/>
      </c>
      <c r="V36" s="68">
        <f>IFERROR(V35/V26,0)</f>
        <v/>
      </c>
      <c r="W36" s="68">
        <f>IFERROR(W35/W26,0)</f>
        <v/>
      </c>
      <c r="X36" s="68">
        <f>IFERROR(X35/X26,0)</f>
        <v/>
      </c>
      <c r="Y36" s="68">
        <f>IFERROR(Y35/Y26,0)</f>
        <v/>
      </c>
      <c r="Z36" s="68">
        <f>IFERROR(Z35/Z26,0)</f>
        <v/>
      </c>
      <c r="AA36" s="68">
        <f>IFERROR(AA35/AA26,0)</f>
        <v/>
      </c>
      <c r="AB36" s="68">
        <f>IFERROR(AB35/AB26,0)</f>
        <v/>
      </c>
      <c r="AC36" s="68">
        <f>IFERROR(AC35/AC26,0)</f>
        <v/>
      </c>
      <c r="AD36" s="68">
        <f>IFERROR(AD35/AD26,0)</f>
        <v/>
      </c>
      <c r="AE36" s="68">
        <f>IFERROR(AE35/AE26,0)</f>
        <v/>
      </c>
      <c r="AF36" s="68">
        <f>IFERROR(AF35/AF26,0)</f>
        <v/>
      </c>
      <c r="AG36" s="68">
        <f>IFERROR(AG35/AG26,0)</f>
        <v/>
      </c>
      <c r="AH36" s="68">
        <f>IFERROR(AH35/AH26,0)</f>
        <v/>
      </c>
      <c r="AI36" s="68">
        <f>IFERROR(AI35/AI26,0)</f>
        <v/>
      </c>
      <c r="AJ36" s="68">
        <f>IFERROR(AJ35/AJ26,0)</f>
        <v/>
      </c>
      <c r="AK36" s="68">
        <f>IFERROR(AK35/AK26,0)</f>
        <v/>
      </c>
      <c r="AL36" s="68">
        <f>IFERROR(AL35/AL26,0)</f>
        <v/>
      </c>
      <c r="AM36" s="68">
        <f>IFERROR(AM35/AM26,0)</f>
        <v/>
      </c>
      <c r="AN36" s="68">
        <f>IFERROR(AN35/AN26,0)</f>
        <v/>
      </c>
      <c r="AO36" s="68">
        <f>IFERROR(AO35/AO26,0)</f>
        <v/>
      </c>
      <c r="AP36" s="68">
        <f>IFERROR(AP35/AP26,0)</f>
        <v/>
      </c>
      <c r="AQ36" s="68">
        <f>IFERROR(AQ35/AQ26,0)</f>
        <v/>
      </c>
      <c r="AR36" s="68">
        <f>IFERROR(AR35/AR26,0)</f>
        <v/>
      </c>
      <c r="AS36" s="68">
        <f>IFERROR(AS35/AS26,0)</f>
        <v/>
      </c>
      <c r="AT36" s="68">
        <f>IFERROR(AT35/AT26,0)</f>
        <v/>
      </c>
      <c r="AU36" s="68">
        <f>IFERROR(AU35/AU26,0)</f>
        <v/>
      </c>
      <c r="AV36" s="68">
        <f>IFERROR(AV35/AV26,0)</f>
        <v/>
      </c>
      <c r="AW36" s="68">
        <f>IFERROR(AW35/AW26,0)</f>
        <v/>
      </c>
      <c r="AX36" s="68">
        <f>IFERROR(AX35/AX26,0)</f>
        <v/>
      </c>
      <c r="AY36" s="68">
        <f>IFERROR(AY35/AY26,0)</f>
        <v/>
      </c>
      <c r="AZ36" s="68">
        <f>IFERROR(AZ35/AZ26,0)</f>
        <v/>
      </c>
      <c r="BA36" s="68">
        <f>IFERROR(BA35/BA26,0)</f>
        <v/>
      </c>
      <c r="BB36" s="68">
        <f>IFERROR(BB35/BB26,0)</f>
        <v/>
      </c>
      <c r="BC36" s="68">
        <f>IFERROR(BC35/BC26,0)</f>
        <v/>
      </c>
      <c r="BD36" s="68">
        <f>IFERROR(BD35/BD26,0)</f>
        <v/>
      </c>
      <c r="BE36" s="68">
        <f>IFERROR(BE35/BE26,0)</f>
        <v/>
      </c>
      <c r="BF36" s="68">
        <f>IFERROR(BF35/BF26,0)</f>
        <v/>
      </c>
      <c r="BG36" s="68">
        <f>IFERROR(BG35/BG26,0)</f>
        <v/>
      </c>
      <c r="BH36" s="68">
        <f>IFERROR(BH35/BH26,0)</f>
        <v/>
      </c>
      <c r="BI36" s="68">
        <f>IFERROR(BI35/BI26,0)</f>
        <v/>
      </c>
      <c r="BJ36" s="68">
        <f>IFERROR(BJ35/BJ26,0)</f>
        <v/>
      </c>
      <c r="BK36" s="68">
        <f>IFERROR(BK35/BK26,0)</f>
        <v/>
      </c>
    </row>
    <row r="38">
      <c r="B38" s="23" t="inlineStr">
        <is>
          <t>CUSTOMER ACQUISITION  (EUR)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</row>
    <row r="39">
      <c r="B39" s="61" t="inlineStr">
        <is>
          <t>Cost per acquired customer</t>
        </is>
      </c>
      <c r="C39" s="92" t="inlineStr">
        <is>
          <t>EUR</t>
        </is>
      </c>
      <c r="D39" s="67">
        <f>IF(D7=0,0,INDEX(Inputs!$C$69:$G$69,1,D7)*Inputs!$C$70)</f>
        <v/>
      </c>
      <c r="E39" s="67">
        <f>IF(E7=0,0,INDEX(Inputs!$C$69:$G$69,1,E7)*Inputs!$C$70)</f>
        <v/>
      </c>
      <c r="F39" s="67">
        <f>IF(F7=0,0,INDEX(Inputs!$C$69:$G$69,1,F7)*Inputs!$C$70)</f>
        <v/>
      </c>
      <c r="G39" s="67">
        <f>IF(G7=0,0,INDEX(Inputs!$C$69:$G$69,1,G7)*Inputs!$C$70)</f>
        <v/>
      </c>
      <c r="H39" s="67">
        <f>IF(H7=0,0,INDEX(Inputs!$C$69:$G$69,1,H7)*Inputs!$C$70)</f>
        <v/>
      </c>
      <c r="I39" s="67">
        <f>IF(I7=0,0,INDEX(Inputs!$C$69:$G$69,1,I7)*Inputs!$C$70)</f>
        <v/>
      </c>
      <c r="J39" s="67">
        <f>IF(J7=0,0,INDEX(Inputs!$C$69:$G$69,1,J7)*Inputs!$C$70)</f>
        <v/>
      </c>
      <c r="K39" s="67">
        <f>IF(K7=0,0,INDEX(Inputs!$C$69:$G$69,1,K7)*Inputs!$C$70)</f>
        <v/>
      </c>
      <c r="L39" s="67">
        <f>IF(L7=0,0,INDEX(Inputs!$C$69:$G$69,1,L7)*Inputs!$C$70)</f>
        <v/>
      </c>
      <c r="M39" s="67">
        <f>IF(M7=0,0,INDEX(Inputs!$C$69:$G$69,1,M7)*Inputs!$C$70)</f>
        <v/>
      </c>
      <c r="N39" s="67">
        <f>IF(N7=0,0,INDEX(Inputs!$C$69:$G$69,1,N7)*Inputs!$C$70)</f>
        <v/>
      </c>
      <c r="O39" s="67">
        <f>IF(O7=0,0,INDEX(Inputs!$C$69:$G$69,1,O7)*Inputs!$C$70)</f>
        <v/>
      </c>
      <c r="P39" s="67">
        <f>IF(P7=0,0,INDEX(Inputs!$C$69:$G$69,1,P7)*Inputs!$C$70)</f>
        <v/>
      </c>
      <c r="Q39" s="67">
        <f>IF(Q7=0,0,INDEX(Inputs!$C$69:$G$69,1,Q7)*Inputs!$C$70)</f>
        <v/>
      </c>
      <c r="R39" s="67">
        <f>IF(R7=0,0,INDEX(Inputs!$C$69:$G$69,1,R7)*Inputs!$C$70)</f>
        <v/>
      </c>
      <c r="S39" s="67">
        <f>IF(S7=0,0,INDEX(Inputs!$C$69:$G$69,1,S7)*Inputs!$C$70)</f>
        <v/>
      </c>
      <c r="T39" s="67">
        <f>IF(T7=0,0,INDEX(Inputs!$C$69:$G$69,1,T7)*Inputs!$C$70)</f>
        <v/>
      </c>
      <c r="U39" s="67">
        <f>IF(U7=0,0,INDEX(Inputs!$C$69:$G$69,1,U7)*Inputs!$C$70)</f>
        <v/>
      </c>
      <c r="V39" s="67">
        <f>IF(V7=0,0,INDEX(Inputs!$C$69:$G$69,1,V7)*Inputs!$C$70)</f>
        <v/>
      </c>
      <c r="W39" s="67">
        <f>IF(W7=0,0,INDEX(Inputs!$C$69:$G$69,1,W7)*Inputs!$C$70)</f>
        <v/>
      </c>
      <c r="X39" s="67">
        <f>IF(X7=0,0,INDEX(Inputs!$C$69:$G$69,1,X7)*Inputs!$C$70)</f>
        <v/>
      </c>
      <c r="Y39" s="67">
        <f>IF(Y7=0,0,INDEX(Inputs!$C$69:$G$69,1,Y7)*Inputs!$C$70)</f>
        <v/>
      </c>
      <c r="Z39" s="67">
        <f>IF(Z7=0,0,INDEX(Inputs!$C$69:$G$69,1,Z7)*Inputs!$C$70)</f>
        <v/>
      </c>
      <c r="AA39" s="67">
        <f>IF(AA7=0,0,INDEX(Inputs!$C$69:$G$69,1,AA7)*Inputs!$C$70)</f>
        <v/>
      </c>
      <c r="AB39" s="67">
        <f>IF(AB7=0,0,INDEX(Inputs!$C$69:$G$69,1,AB7)*Inputs!$C$70)</f>
        <v/>
      </c>
      <c r="AC39" s="67">
        <f>IF(AC7=0,0,INDEX(Inputs!$C$69:$G$69,1,AC7)*Inputs!$C$70)</f>
        <v/>
      </c>
      <c r="AD39" s="67">
        <f>IF(AD7=0,0,INDEX(Inputs!$C$69:$G$69,1,AD7)*Inputs!$C$70)</f>
        <v/>
      </c>
      <c r="AE39" s="67">
        <f>IF(AE7=0,0,INDEX(Inputs!$C$69:$G$69,1,AE7)*Inputs!$C$70)</f>
        <v/>
      </c>
      <c r="AF39" s="67">
        <f>IF(AF7=0,0,INDEX(Inputs!$C$69:$G$69,1,AF7)*Inputs!$C$70)</f>
        <v/>
      </c>
      <c r="AG39" s="67">
        <f>IF(AG7=0,0,INDEX(Inputs!$C$69:$G$69,1,AG7)*Inputs!$C$70)</f>
        <v/>
      </c>
      <c r="AH39" s="67">
        <f>IF(AH7=0,0,INDEX(Inputs!$C$69:$G$69,1,AH7)*Inputs!$C$70)</f>
        <v/>
      </c>
      <c r="AI39" s="67">
        <f>IF(AI7=0,0,INDEX(Inputs!$C$69:$G$69,1,AI7)*Inputs!$C$70)</f>
        <v/>
      </c>
      <c r="AJ39" s="67">
        <f>IF(AJ7=0,0,INDEX(Inputs!$C$69:$G$69,1,AJ7)*Inputs!$C$70)</f>
        <v/>
      </c>
      <c r="AK39" s="67">
        <f>IF(AK7=0,0,INDEX(Inputs!$C$69:$G$69,1,AK7)*Inputs!$C$70)</f>
        <v/>
      </c>
      <c r="AL39" s="67">
        <f>IF(AL7=0,0,INDEX(Inputs!$C$69:$G$69,1,AL7)*Inputs!$C$70)</f>
        <v/>
      </c>
      <c r="AM39" s="67">
        <f>IF(AM7=0,0,INDEX(Inputs!$C$69:$G$69,1,AM7)*Inputs!$C$70)</f>
        <v/>
      </c>
      <c r="AN39" s="67">
        <f>IF(AN7=0,0,INDEX(Inputs!$C$69:$G$69,1,AN7)*Inputs!$C$70)</f>
        <v/>
      </c>
      <c r="AO39" s="67">
        <f>IF(AO7=0,0,INDEX(Inputs!$C$69:$G$69,1,AO7)*Inputs!$C$70)</f>
        <v/>
      </c>
      <c r="AP39" s="67">
        <f>IF(AP7=0,0,INDEX(Inputs!$C$69:$G$69,1,AP7)*Inputs!$C$70)</f>
        <v/>
      </c>
      <c r="AQ39" s="67">
        <f>IF(AQ7=0,0,INDEX(Inputs!$C$69:$G$69,1,AQ7)*Inputs!$C$70)</f>
        <v/>
      </c>
      <c r="AR39" s="67">
        <f>IF(AR7=0,0,INDEX(Inputs!$C$69:$G$69,1,AR7)*Inputs!$C$70)</f>
        <v/>
      </c>
      <c r="AS39" s="67">
        <f>IF(AS7=0,0,INDEX(Inputs!$C$69:$G$69,1,AS7)*Inputs!$C$70)</f>
        <v/>
      </c>
      <c r="AT39" s="67">
        <f>IF(AT7=0,0,INDEX(Inputs!$C$69:$G$69,1,AT7)*Inputs!$C$70)</f>
        <v/>
      </c>
      <c r="AU39" s="67">
        <f>IF(AU7=0,0,INDEX(Inputs!$C$69:$G$69,1,AU7)*Inputs!$C$70)</f>
        <v/>
      </c>
      <c r="AV39" s="67">
        <f>IF(AV7=0,0,INDEX(Inputs!$C$69:$G$69,1,AV7)*Inputs!$C$70)</f>
        <v/>
      </c>
      <c r="AW39" s="67">
        <f>IF(AW7=0,0,INDEX(Inputs!$C$69:$G$69,1,AW7)*Inputs!$C$70)</f>
        <v/>
      </c>
      <c r="AX39" s="67">
        <f>IF(AX7=0,0,INDEX(Inputs!$C$69:$G$69,1,AX7)*Inputs!$C$70)</f>
        <v/>
      </c>
      <c r="AY39" s="67">
        <f>IF(AY7=0,0,INDEX(Inputs!$C$69:$G$69,1,AY7)*Inputs!$C$70)</f>
        <v/>
      </c>
      <c r="AZ39" s="67">
        <f>IF(AZ7=0,0,INDEX(Inputs!$C$69:$G$69,1,AZ7)*Inputs!$C$70)</f>
        <v/>
      </c>
      <c r="BA39" s="67">
        <f>IF(BA7=0,0,INDEX(Inputs!$C$69:$G$69,1,BA7)*Inputs!$C$70)</f>
        <v/>
      </c>
      <c r="BB39" s="67">
        <f>IF(BB7=0,0,INDEX(Inputs!$C$69:$G$69,1,BB7)*Inputs!$C$70)</f>
        <v/>
      </c>
      <c r="BC39" s="67">
        <f>IF(BC7=0,0,INDEX(Inputs!$C$69:$G$69,1,BC7)*Inputs!$C$70)</f>
        <v/>
      </c>
      <c r="BD39" s="67">
        <f>IF(BD7=0,0,INDEX(Inputs!$C$69:$G$69,1,BD7)*Inputs!$C$70)</f>
        <v/>
      </c>
      <c r="BE39" s="67">
        <f>IF(BE7=0,0,INDEX(Inputs!$C$69:$G$69,1,BE7)*Inputs!$C$70)</f>
        <v/>
      </c>
      <c r="BF39" s="67">
        <f>IF(BF7=0,0,INDEX(Inputs!$C$69:$G$69,1,BF7)*Inputs!$C$70)</f>
        <v/>
      </c>
      <c r="BG39" s="67">
        <f>IF(BG7=0,0,INDEX(Inputs!$C$69:$G$69,1,BG7)*Inputs!$C$70)</f>
        <v/>
      </c>
      <c r="BH39" s="67">
        <f>IF(BH7=0,0,INDEX(Inputs!$C$69:$G$69,1,BH7)*Inputs!$C$70)</f>
        <v/>
      </c>
      <c r="BI39" s="67">
        <f>IF(BI7=0,0,INDEX(Inputs!$C$69:$G$69,1,BI7)*Inputs!$C$70)</f>
        <v/>
      </c>
      <c r="BJ39" s="67">
        <f>IF(BJ7=0,0,INDEX(Inputs!$C$69:$G$69,1,BJ7)*Inputs!$C$70)</f>
        <v/>
      </c>
      <c r="BK39" s="67">
        <f>IF(BK7=0,0,INDEX(Inputs!$C$69:$G$69,1,BK7)*Inputs!$C$70)</f>
        <v/>
      </c>
    </row>
    <row r="40">
      <c r="B40" s="61" t="inlineStr">
        <is>
          <t>Acquisition spend</t>
        </is>
      </c>
      <c r="C40" s="92" t="inlineStr">
        <is>
          <t>EUR</t>
        </is>
      </c>
      <c r="D40" s="64">
        <f>D11*D39</f>
        <v/>
      </c>
      <c r="E40" s="64">
        <f>E11*E39</f>
        <v/>
      </c>
      <c r="F40" s="64">
        <f>F11*F39</f>
        <v/>
      </c>
      <c r="G40" s="64">
        <f>G11*G39</f>
        <v/>
      </c>
      <c r="H40" s="64">
        <f>H11*H39</f>
        <v/>
      </c>
      <c r="I40" s="64">
        <f>I11*I39</f>
        <v/>
      </c>
      <c r="J40" s="64">
        <f>J11*J39</f>
        <v/>
      </c>
      <c r="K40" s="64">
        <f>K11*K39</f>
        <v/>
      </c>
      <c r="L40" s="64">
        <f>L11*L39</f>
        <v/>
      </c>
      <c r="M40" s="64">
        <f>M11*M39</f>
        <v/>
      </c>
      <c r="N40" s="64">
        <f>N11*N39</f>
        <v/>
      </c>
      <c r="O40" s="64">
        <f>O11*O39</f>
        <v/>
      </c>
      <c r="P40" s="64">
        <f>P11*P39</f>
        <v/>
      </c>
      <c r="Q40" s="64">
        <f>Q11*Q39</f>
        <v/>
      </c>
      <c r="R40" s="64">
        <f>R11*R39</f>
        <v/>
      </c>
      <c r="S40" s="64">
        <f>S11*S39</f>
        <v/>
      </c>
      <c r="T40" s="64">
        <f>T11*T39</f>
        <v/>
      </c>
      <c r="U40" s="64">
        <f>U11*U39</f>
        <v/>
      </c>
      <c r="V40" s="64">
        <f>V11*V39</f>
        <v/>
      </c>
      <c r="W40" s="64">
        <f>W11*W39</f>
        <v/>
      </c>
      <c r="X40" s="64">
        <f>X11*X39</f>
        <v/>
      </c>
      <c r="Y40" s="64">
        <f>Y11*Y39</f>
        <v/>
      </c>
      <c r="Z40" s="64">
        <f>Z11*Z39</f>
        <v/>
      </c>
      <c r="AA40" s="64">
        <f>AA11*AA39</f>
        <v/>
      </c>
      <c r="AB40" s="64">
        <f>AB11*AB39</f>
        <v/>
      </c>
      <c r="AC40" s="64">
        <f>AC11*AC39</f>
        <v/>
      </c>
      <c r="AD40" s="64">
        <f>AD11*AD39</f>
        <v/>
      </c>
      <c r="AE40" s="64">
        <f>AE11*AE39</f>
        <v/>
      </c>
      <c r="AF40" s="64">
        <f>AF11*AF39</f>
        <v/>
      </c>
      <c r="AG40" s="64">
        <f>AG11*AG39</f>
        <v/>
      </c>
      <c r="AH40" s="64">
        <f>AH11*AH39</f>
        <v/>
      </c>
      <c r="AI40" s="64">
        <f>AI11*AI39</f>
        <v/>
      </c>
      <c r="AJ40" s="64">
        <f>AJ11*AJ39</f>
        <v/>
      </c>
      <c r="AK40" s="64">
        <f>AK11*AK39</f>
        <v/>
      </c>
      <c r="AL40" s="64">
        <f>AL11*AL39</f>
        <v/>
      </c>
      <c r="AM40" s="64">
        <f>AM11*AM39</f>
        <v/>
      </c>
      <c r="AN40" s="64">
        <f>AN11*AN39</f>
        <v/>
      </c>
      <c r="AO40" s="64">
        <f>AO11*AO39</f>
        <v/>
      </c>
      <c r="AP40" s="64">
        <f>AP11*AP39</f>
        <v/>
      </c>
      <c r="AQ40" s="64">
        <f>AQ11*AQ39</f>
        <v/>
      </c>
      <c r="AR40" s="64">
        <f>AR11*AR39</f>
        <v/>
      </c>
      <c r="AS40" s="64">
        <f>AS11*AS39</f>
        <v/>
      </c>
      <c r="AT40" s="64">
        <f>AT11*AT39</f>
        <v/>
      </c>
      <c r="AU40" s="64">
        <f>AU11*AU39</f>
        <v/>
      </c>
      <c r="AV40" s="64">
        <f>AV11*AV39</f>
        <v/>
      </c>
      <c r="AW40" s="64">
        <f>AW11*AW39</f>
        <v/>
      </c>
      <c r="AX40" s="64">
        <f>AX11*AX39</f>
        <v/>
      </c>
      <c r="AY40" s="64">
        <f>AY11*AY39</f>
        <v/>
      </c>
      <c r="AZ40" s="64">
        <f>AZ11*AZ39</f>
        <v/>
      </c>
      <c r="BA40" s="64">
        <f>BA11*BA39</f>
        <v/>
      </c>
      <c r="BB40" s="64">
        <f>BB11*BB39</f>
        <v/>
      </c>
      <c r="BC40" s="64">
        <f>BC11*BC39</f>
        <v/>
      </c>
      <c r="BD40" s="64">
        <f>BD11*BD39</f>
        <v/>
      </c>
      <c r="BE40" s="64">
        <f>BE11*BE39</f>
        <v/>
      </c>
      <c r="BF40" s="64">
        <f>BF11*BF39</f>
        <v/>
      </c>
      <c r="BG40" s="64">
        <f>BG11*BG39</f>
        <v/>
      </c>
      <c r="BH40" s="64">
        <f>BH11*BH39</f>
        <v/>
      </c>
      <c r="BI40" s="64">
        <f>BI11*BI39</f>
        <v/>
      </c>
      <c r="BJ40" s="64">
        <f>BJ11*BJ39</f>
        <v/>
      </c>
      <c r="BK40" s="64">
        <f>BK11*BK39</f>
        <v/>
      </c>
    </row>
    <row r="41">
      <c r="B41" s="69" t="inlineStr">
        <is>
          <t>Contribution after acquisition</t>
        </is>
      </c>
      <c r="C41" s="98" t="inlineStr">
        <is>
          <t>EUR</t>
        </is>
      </c>
      <c r="D41" s="71">
        <f>D35-D40</f>
        <v/>
      </c>
      <c r="E41" s="71">
        <f>E35-E40</f>
        <v/>
      </c>
      <c r="F41" s="71">
        <f>F35-F40</f>
        <v/>
      </c>
      <c r="G41" s="71">
        <f>G35-G40</f>
        <v/>
      </c>
      <c r="H41" s="71">
        <f>H35-H40</f>
        <v/>
      </c>
      <c r="I41" s="71">
        <f>I35-I40</f>
        <v/>
      </c>
      <c r="J41" s="71">
        <f>J35-J40</f>
        <v/>
      </c>
      <c r="K41" s="71">
        <f>K35-K40</f>
        <v/>
      </c>
      <c r="L41" s="71">
        <f>L35-L40</f>
        <v/>
      </c>
      <c r="M41" s="71">
        <f>M35-M40</f>
        <v/>
      </c>
      <c r="N41" s="71">
        <f>N35-N40</f>
        <v/>
      </c>
      <c r="O41" s="71">
        <f>O35-O40</f>
        <v/>
      </c>
      <c r="P41" s="71">
        <f>P35-P40</f>
        <v/>
      </c>
      <c r="Q41" s="71">
        <f>Q35-Q40</f>
        <v/>
      </c>
      <c r="R41" s="71">
        <f>R35-R40</f>
        <v/>
      </c>
      <c r="S41" s="71">
        <f>S35-S40</f>
        <v/>
      </c>
      <c r="T41" s="71">
        <f>T35-T40</f>
        <v/>
      </c>
      <c r="U41" s="71">
        <f>U35-U40</f>
        <v/>
      </c>
      <c r="V41" s="71">
        <f>V35-V40</f>
        <v/>
      </c>
      <c r="W41" s="71">
        <f>W35-W40</f>
        <v/>
      </c>
      <c r="X41" s="71">
        <f>X35-X40</f>
        <v/>
      </c>
      <c r="Y41" s="71">
        <f>Y35-Y40</f>
        <v/>
      </c>
      <c r="Z41" s="71">
        <f>Z35-Z40</f>
        <v/>
      </c>
      <c r="AA41" s="71">
        <f>AA35-AA40</f>
        <v/>
      </c>
      <c r="AB41" s="71">
        <f>AB35-AB40</f>
        <v/>
      </c>
      <c r="AC41" s="71">
        <f>AC35-AC40</f>
        <v/>
      </c>
      <c r="AD41" s="71">
        <f>AD35-AD40</f>
        <v/>
      </c>
      <c r="AE41" s="71">
        <f>AE35-AE40</f>
        <v/>
      </c>
      <c r="AF41" s="71">
        <f>AF35-AF40</f>
        <v/>
      </c>
      <c r="AG41" s="71">
        <f>AG35-AG40</f>
        <v/>
      </c>
      <c r="AH41" s="71">
        <f>AH35-AH40</f>
        <v/>
      </c>
      <c r="AI41" s="71">
        <f>AI35-AI40</f>
        <v/>
      </c>
      <c r="AJ41" s="71">
        <f>AJ35-AJ40</f>
        <v/>
      </c>
      <c r="AK41" s="71">
        <f>AK35-AK40</f>
        <v/>
      </c>
      <c r="AL41" s="71">
        <f>AL35-AL40</f>
        <v/>
      </c>
      <c r="AM41" s="71">
        <f>AM35-AM40</f>
        <v/>
      </c>
      <c r="AN41" s="71">
        <f>AN35-AN40</f>
        <v/>
      </c>
      <c r="AO41" s="71">
        <f>AO35-AO40</f>
        <v/>
      </c>
      <c r="AP41" s="71">
        <f>AP35-AP40</f>
        <v/>
      </c>
      <c r="AQ41" s="71">
        <f>AQ35-AQ40</f>
        <v/>
      </c>
      <c r="AR41" s="71">
        <f>AR35-AR40</f>
        <v/>
      </c>
      <c r="AS41" s="71">
        <f>AS35-AS40</f>
        <v/>
      </c>
      <c r="AT41" s="71">
        <f>AT35-AT40</f>
        <v/>
      </c>
      <c r="AU41" s="71">
        <f>AU35-AU40</f>
        <v/>
      </c>
      <c r="AV41" s="71">
        <f>AV35-AV40</f>
        <v/>
      </c>
      <c r="AW41" s="71">
        <f>AW35-AW40</f>
        <v/>
      </c>
      <c r="AX41" s="71">
        <f>AX35-AX40</f>
        <v/>
      </c>
      <c r="AY41" s="71">
        <f>AY35-AY40</f>
        <v/>
      </c>
      <c r="AZ41" s="71">
        <f>AZ35-AZ40</f>
        <v/>
      </c>
      <c r="BA41" s="71">
        <f>BA35-BA40</f>
        <v/>
      </c>
      <c r="BB41" s="71">
        <f>BB35-BB40</f>
        <v/>
      </c>
      <c r="BC41" s="71">
        <f>BC35-BC40</f>
        <v/>
      </c>
      <c r="BD41" s="71">
        <f>BD35-BD40</f>
        <v/>
      </c>
      <c r="BE41" s="71">
        <f>BE35-BE40</f>
        <v/>
      </c>
      <c r="BF41" s="71">
        <f>BF35-BF40</f>
        <v/>
      </c>
      <c r="BG41" s="71">
        <f>BG35-BG40</f>
        <v/>
      </c>
      <c r="BH41" s="71">
        <f>BH35-BH40</f>
        <v/>
      </c>
      <c r="BI41" s="71">
        <f>BI35-BI40</f>
        <v/>
      </c>
      <c r="BJ41" s="71">
        <f>BJ35-BJ40</f>
        <v/>
      </c>
      <c r="BK41" s="71">
        <f>BK35-BK40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K8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2">
      <c r="B2" s="57" t="inlineStr">
        <is>
          <t>CONSOLIDATED MONTHLY MODEL  —  PORTUGAL + SPAIN</t>
        </is>
      </c>
    </row>
    <row r="3">
      <c r="B3" s="8" t="inlineStr">
        <is>
          <t>Profit and loss, capital expenditure, working capital, cash flow and the founders' equity injection.</t>
        </is>
      </c>
    </row>
    <row r="4">
      <c r="B4" s="58" t="inlineStr">
        <is>
          <t>Month</t>
        </is>
      </c>
      <c r="C4" s="59" t="inlineStr">
        <is>
          <t>Unit</t>
        </is>
      </c>
      <c r="D4" s="60" t="n">
        <v>1</v>
      </c>
      <c r="E4" s="60" t="n">
        <v>2</v>
      </c>
      <c r="F4" s="60" t="n">
        <v>3</v>
      </c>
      <c r="G4" s="60" t="n">
        <v>4</v>
      </c>
      <c r="H4" s="60" t="n">
        <v>5</v>
      </c>
      <c r="I4" s="60" t="n">
        <v>6</v>
      </c>
      <c r="J4" s="60" t="n">
        <v>7</v>
      </c>
      <c r="K4" s="60" t="n">
        <v>8</v>
      </c>
      <c r="L4" s="60" t="n">
        <v>9</v>
      </c>
      <c r="M4" s="60" t="n">
        <v>10</v>
      </c>
      <c r="N4" s="60" t="n">
        <v>11</v>
      </c>
      <c r="O4" s="60" t="n">
        <v>12</v>
      </c>
      <c r="P4" s="60" t="n">
        <v>13</v>
      </c>
      <c r="Q4" s="60" t="n">
        <v>14</v>
      </c>
      <c r="R4" s="60" t="n">
        <v>15</v>
      </c>
      <c r="S4" s="60" t="n">
        <v>16</v>
      </c>
      <c r="T4" s="60" t="n">
        <v>17</v>
      </c>
      <c r="U4" s="60" t="n">
        <v>18</v>
      </c>
      <c r="V4" s="60" t="n">
        <v>19</v>
      </c>
      <c r="W4" s="60" t="n">
        <v>20</v>
      </c>
      <c r="X4" s="60" t="n">
        <v>21</v>
      </c>
      <c r="Y4" s="60" t="n">
        <v>22</v>
      </c>
      <c r="Z4" s="60" t="n">
        <v>23</v>
      </c>
      <c r="AA4" s="60" t="n">
        <v>24</v>
      </c>
      <c r="AB4" s="60" t="n">
        <v>25</v>
      </c>
      <c r="AC4" s="60" t="n">
        <v>26</v>
      </c>
      <c r="AD4" s="60" t="n">
        <v>27</v>
      </c>
      <c r="AE4" s="60" t="n">
        <v>28</v>
      </c>
      <c r="AF4" s="60" t="n">
        <v>29</v>
      </c>
      <c r="AG4" s="60" t="n">
        <v>30</v>
      </c>
      <c r="AH4" s="60" t="n">
        <v>31</v>
      </c>
      <c r="AI4" s="60" t="n">
        <v>32</v>
      </c>
      <c r="AJ4" s="60" t="n">
        <v>33</v>
      </c>
      <c r="AK4" s="60" t="n">
        <v>34</v>
      </c>
      <c r="AL4" s="60" t="n">
        <v>35</v>
      </c>
      <c r="AM4" s="60" t="n">
        <v>36</v>
      </c>
      <c r="AN4" s="60" t="n">
        <v>37</v>
      </c>
      <c r="AO4" s="60" t="n">
        <v>38</v>
      </c>
      <c r="AP4" s="60" t="n">
        <v>39</v>
      </c>
      <c r="AQ4" s="60" t="n">
        <v>40</v>
      </c>
      <c r="AR4" s="60" t="n">
        <v>41</v>
      </c>
      <c r="AS4" s="60" t="n">
        <v>42</v>
      </c>
      <c r="AT4" s="60" t="n">
        <v>43</v>
      </c>
      <c r="AU4" s="60" t="n">
        <v>44</v>
      </c>
      <c r="AV4" s="60" t="n">
        <v>45</v>
      </c>
      <c r="AW4" s="60" t="n">
        <v>46</v>
      </c>
      <c r="AX4" s="60" t="n">
        <v>47</v>
      </c>
      <c r="AY4" s="60" t="n">
        <v>48</v>
      </c>
      <c r="AZ4" s="60" t="n">
        <v>49</v>
      </c>
      <c r="BA4" s="60" t="n">
        <v>50</v>
      </c>
      <c r="BB4" s="60" t="n">
        <v>51</v>
      </c>
      <c r="BC4" s="60" t="n">
        <v>52</v>
      </c>
      <c r="BD4" s="60" t="n">
        <v>53</v>
      </c>
      <c r="BE4" s="60" t="n">
        <v>54</v>
      </c>
      <c r="BF4" s="60" t="n">
        <v>55</v>
      </c>
      <c r="BG4" s="60" t="n">
        <v>56</v>
      </c>
      <c r="BH4" s="60" t="n">
        <v>57</v>
      </c>
      <c r="BI4" s="60" t="n">
        <v>58</v>
      </c>
      <c r="BJ4" s="60" t="n">
        <v>59</v>
      </c>
      <c r="BK4" s="60" t="n">
        <v>60</v>
      </c>
    </row>
    <row r="5">
      <c r="B5" s="61" t="inlineStr">
        <is>
          <t>Model year</t>
        </is>
      </c>
      <c r="C5" s="92" t="inlineStr">
        <is>
          <t>yr</t>
        </is>
      </c>
      <c r="D5" s="63">
        <f>MIN(5,INT((D4-1)/12)+1)</f>
        <v/>
      </c>
      <c r="E5" s="63">
        <f>MIN(5,INT((E4-1)/12)+1)</f>
        <v/>
      </c>
      <c r="F5" s="63">
        <f>MIN(5,INT((F4-1)/12)+1)</f>
        <v/>
      </c>
      <c r="G5" s="63">
        <f>MIN(5,INT((G4-1)/12)+1)</f>
        <v/>
      </c>
      <c r="H5" s="63">
        <f>MIN(5,INT((H4-1)/12)+1)</f>
        <v/>
      </c>
      <c r="I5" s="63">
        <f>MIN(5,INT((I4-1)/12)+1)</f>
        <v/>
      </c>
      <c r="J5" s="63">
        <f>MIN(5,INT((J4-1)/12)+1)</f>
        <v/>
      </c>
      <c r="K5" s="63">
        <f>MIN(5,INT((K4-1)/12)+1)</f>
        <v/>
      </c>
      <c r="L5" s="63">
        <f>MIN(5,INT((L4-1)/12)+1)</f>
        <v/>
      </c>
      <c r="M5" s="63">
        <f>MIN(5,INT((M4-1)/12)+1)</f>
        <v/>
      </c>
      <c r="N5" s="63">
        <f>MIN(5,INT((N4-1)/12)+1)</f>
        <v/>
      </c>
      <c r="O5" s="63">
        <f>MIN(5,INT((O4-1)/12)+1)</f>
        <v/>
      </c>
      <c r="P5" s="63">
        <f>MIN(5,INT((P4-1)/12)+1)</f>
        <v/>
      </c>
      <c r="Q5" s="63">
        <f>MIN(5,INT((Q4-1)/12)+1)</f>
        <v/>
      </c>
      <c r="R5" s="63">
        <f>MIN(5,INT((R4-1)/12)+1)</f>
        <v/>
      </c>
      <c r="S5" s="63">
        <f>MIN(5,INT((S4-1)/12)+1)</f>
        <v/>
      </c>
      <c r="T5" s="63">
        <f>MIN(5,INT((T4-1)/12)+1)</f>
        <v/>
      </c>
      <c r="U5" s="63">
        <f>MIN(5,INT((U4-1)/12)+1)</f>
        <v/>
      </c>
      <c r="V5" s="63">
        <f>MIN(5,INT((V4-1)/12)+1)</f>
        <v/>
      </c>
      <c r="W5" s="63">
        <f>MIN(5,INT((W4-1)/12)+1)</f>
        <v/>
      </c>
      <c r="X5" s="63">
        <f>MIN(5,INT((X4-1)/12)+1)</f>
        <v/>
      </c>
      <c r="Y5" s="63">
        <f>MIN(5,INT((Y4-1)/12)+1)</f>
        <v/>
      </c>
      <c r="Z5" s="63">
        <f>MIN(5,INT((Z4-1)/12)+1)</f>
        <v/>
      </c>
      <c r="AA5" s="63">
        <f>MIN(5,INT((AA4-1)/12)+1)</f>
        <v/>
      </c>
      <c r="AB5" s="63">
        <f>MIN(5,INT((AB4-1)/12)+1)</f>
        <v/>
      </c>
      <c r="AC5" s="63">
        <f>MIN(5,INT((AC4-1)/12)+1)</f>
        <v/>
      </c>
      <c r="AD5" s="63">
        <f>MIN(5,INT((AD4-1)/12)+1)</f>
        <v/>
      </c>
      <c r="AE5" s="63">
        <f>MIN(5,INT((AE4-1)/12)+1)</f>
        <v/>
      </c>
      <c r="AF5" s="63">
        <f>MIN(5,INT((AF4-1)/12)+1)</f>
        <v/>
      </c>
      <c r="AG5" s="63">
        <f>MIN(5,INT((AG4-1)/12)+1)</f>
        <v/>
      </c>
      <c r="AH5" s="63">
        <f>MIN(5,INT((AH4-1)/12)+1)</f>
        <v/>
      </c>
      <c r="AI5" s="63">
        <f>MIN(5,INT((AI4-1)/12)+1)</f>
        <v/>
      </c>
      <c r="AJ5" s="63">
        <f>MIN(5,INT((AJ4-1)/12)+1)</f>
        <v/>
      </c>
      <c r="AK5" s="63">
        <f>MIN(5,INT((AK4-1)/12)+1)</f>
        <v/>
      </c>
      <c r="AL5" s="63">
        <f>MIN(5,INT((AL4-1)/12)+1)</f>
        <v/>
      </c>
      <c r="AM5" s="63">
        <f>MIN(5,INT((AM4-1)/12)+1)</f>
        <v/>
      </c>
      <c r="AN5" s="63">
        <f>MIN(5,INT((AN4-1)/12)+1)</f>
        <v/>
      </c>
      <c r="AO5" s="63">
        <f>MIN(5,INT((AO4-1)/12)+1)</f>
        <v/>
      </c>
      <c r="AP5" s="63">
        <f>MIN(5,INT((AP4-1)/12)+1)</f>
        <v/>
      </c>
      <c r="AQ5" s="63">
        <f>MIN(5,INT((AQ4-1)/12)+1)</f>
        <v/>
      </c>
      <c r="AR5" s="63">
        <f>MIN(5,INT((AR4-1)/12)+1)</f>
        <v/>
      </c>
      <c r="AS5" s="63">
        <f>MIN(5,INT((AS4-1)/12)+1)</f>
        <v/>
      </c>
      <c r="AT5" s="63">
        <f>MIN(5,INT((AT4-1)/12)+1)</f>
        <v/>
      </c>
      <c r="AU5" s="63">
        <f>MIN(5,INT((AU4-1)/12)+1)</f>
        <v/>
      </c>
      <c r="AV5" s="63">
        <f>MIN(5,INT((AV4-1)/12)+1)</f>
        <v/>
      </c>
      <c r="AW5" s="63">
        <f>MIN(5,INT((AW4-1)/12)+1)</f>
        <v/>
      </c>
      <c r="AX5" s="63">
        <f>MIN(5,INT((AX4-1)/12)+1)</f>
        <v/>
      </c>
      <c r="AY5" s="63">
        <f>MIN(5,INT((AY4-1)/12)+1)</f>
        <v/>
      </c>
      <c r="AZ5" s="63">
        <f>MIN(5,INT((AZ4-1)/12)+1)</f>
        <v/>
      </c>
      <c r="BA5" s="63">
        <f>MIN(5,INT((BA4-1)/12)+1)</f>
        <v/>
      </c>
      <c r="BB5" s="63">
        <f>MIN(5,INT((BB4-1)/12)+1)</f>
        <v/>
      </c>
      <c r="BC5" s="63">
        <f>MIN(5,INT((BC4-1)/12)+1)</f>
        <v/>
      </c>
      <c r="BD5" s="63">
        <f>MIN(5,INT((BD4-1)/12)+1)</f>
        <v/>
      </c>
      <c r="BE5" s="63">
        <f>MIN(5,INT((BE4-1)/12)+1)</f>
        <v/>
      </c>
      <c r="BF5" s="63">
        <f>MIN(5,INT((BF4-1)/12)+1)</f>
        <v/>
      </c>
      <c r="BG5" s="63">
        <f>MIN(5,INT((BG4-1)/12)+1)</f>
        <v/>
      </c>
      <c r="BH5" s="63">
        <f>MIN(5,INT((BH4-1)/12)+1)</f>
        <v/>
      </c>
      <c r="BI5" s="63">
        <f>MIN(5,INT((BI4-1)/12)+1)</f>
        <v/>
      </c>
      <c r="BJ5" s="63">
        <f>MIN(5,INT((BJ4-1)/12)+1)</f>
        <v/>
      </c>
      <c r="BK5" s="63">
        <f>MIN(5,INT((BK4-1)/12)+1)</f>
        <v/>
      </c>
    </row>
    <row r="7">
      <c r="B7" s="23" t="inlineStr">
        <is>
          <t>PROFIT &amp; LOSS  (EUR)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</row>
    <row r="8">
      <c r="B8" s="61" t="inlineStr">
        <is>
          <t xml:space="preserve">    Net revenue — Portugal</t>
        </is>
      </c>
      <c r="C8" s="92" t="inlineStr">
        <is>
          <t>EUR</t>
        </is>
      </c>
      <c r="D8" s="73">
        <f>'Model PT'!D26</f>
        <v/>
      </c>
      <c r="E8" s="73">
        <f>'Model PT'!E26</f>
        <v/>
      </c>
      <c r="F8" s="73">
        <f>'Model PT'!F26</f>
        <v/>
      </c>
      <c r="G8" s="73">
        <f>'Model PT'!G26</f>
        <v/>
      </c>
      <c r="H8" s="73">
        <f>'Model PT'!H26</f>
        <v/>
      </c>
      <c r="I8" s="73">
        <f>'Model PT'!I26</f>
        <v/>
      </c>
      <c r="J8" s="73">
        <f>'Model PT'!J26</f>
        <v/>
      </c>
      <c r="K8" s="73">
        <f>'Model PT'!K26</f>
        <v/>
      </c>
      <c r="L8" s="73">
        <f>'Model PT'!L26</f>
        <v/>
      </c>
      <c r="M8" s="73">
        <f>'Model PT'!M26</f>
        <v/>
      </c>
      <c r="N8" s="73">
        <f>'Model PT'!N26</f>
        <v/>
      </c>
      <c r="O8" s="73">
        <f>'Model PT'!O26</f>
        <v/>
      </c>
      <c r="P8" s="73">
        <f>'Model PT'!P26</f>
        <v/>
      </c>
      <c r="Q8" s="73">
        <f>'Model PT'!Q26</f>
        <v/>
      </c>
      <c r="R8" s="73">
        <f>'Model PT'!R26</f>
        <v/>
      </c>
      <c r="S8" s="73">
        <f>'Model PT'!S26</f>
        <v/>
      </c>
      <c r="T8" s="73">
        <f>'Model PT'!T26</f>
        <v/>
      </c>
      <c r="U8" s="73">
        <f>'Model PT'!U26</f>
        <v/>
      </c>
      <c r="V8" s="73">
        <f>'Model PT'!V26</f>
        <v/>
      </c>
      <c r="W8" s="73">
        <f>'Model PT'!W26</f>
        <v/>
      </c>
      <c r="X8" s="73">
        <f>'Model PT'!X26</f>
        <v/>
      </c>
      <c r="Y8" s="73">
        <f>'Model PT'!Y26</f>
        <v/>
      </c>
      <c r="Z8" s="73">
        <f>'Model PT'!Z26</f>
        <v/>
      </c>
      <c r="AA8" s="73">
        <f>'Model PT'!AA26</f>
        <v/>
      </c>
      <c r="AB8" s="73">
        <f>'Model PT'!AB26</f>
        <v/>
      </c>
      <c r="AC8" s="73">
        <f>'Model PT'!AC26</f>
        <v/>
      </c>
      <c r="AD8" s="73">
        <f>'Model PT'!AD26</f>
        <v/>
      </c>
      <c r="AE8" s="73">
        <f>'Model PT'!AE26</f>
        <v/>
      </c>
      <c r="AF8" s="73">
        <f>'Model PT'!AF26</f>
        <v/>
      </c>
      <c r="AG8" s="73">
        <f>'Model PT'!AG26</f>
        <v/>
      </c>
      <c r="AH8" s="73">
        <f>'Model PT'!AH26</f>
        <v/>
      </c>
      <c r="AI8" s="73">
        <f>'Model PT'!AI26</f>
        <v/>
      </c>
      <c r="AJ8" s="73">
        <f>'Model PT'!AJ26</f>
        <v/>
      </c>
      <c r="AK8" s="73">
        <f>'Model PT'!AK26</f>
        <v/>
      </c>
      <c r="AL8" s="73">
        <f>'Model PT'!AL26</f>
        <v/>
      </c>
      <c r="AM8" s="73">
        <f>'Model PT'!AM26</f>
        <v/>
      </c>
      <c r="AN8" s="73">
        <f>'Model PT'!AN26</f>
        <v/>
      </c>
      <c r="AO8" s="73">
        <f>'Model PT'!AO26</f>
        <v/>
      </c>
      <c r="AP8" s="73">
        <f>'Model PT'!AP26</f>
        <v/>
      </c>
      <c r="AQ8" s="73">
        <f>'Model PT'!AQ26</f>
        <v/>
      </c>
      <c r="AR8" s="73">
        <f>'Model PT'!AR26</f>
        <v/>
      </c>
      <c r="AS8" s="73">
        <f>'Model PT'!AS26</f>
        <v/>
      </c>
      <c r="AT8" s="73">
        <f>'Model PT'!AT26</f>
        <v/>
      </c>
      <c r="AU8" s="73">
        <f>'Model PT'!AU26</f>
        <v/>
      </c>
      <c r="AV8" s="73">
        <f>'Model PT'!AV26</f>
        <v/>
      </c>
      <c r="AW8" s="73">
        <f>'Model PT'!AW26</f>
        <v/>
      </c>
      <c r="AX8" s="73">
        <f>'Model PT'!AX26</f>
        <v/>
      </c>
      <c r="AY8" s="73">
        <f>'Model PT'!AY26</f>
        <v/>
      </c>
      <c r="AZ8" s="73">
        <f>'Model PT'!AZ26</f>
        <v/>
      </c>
      <c r="BA8" s="73">
        <f>'Model PT'!BA26</f>
        <v/>
      </c>
      <c r="BB8" s="73">
        <f>'Model PT'!BB26</f>
        <v/>
      </c>
      <c r="BC8" s="73">
        <f>'Model PT'!BC26</f>
        <v/>
      </c>
      <c r="BD8" s="73">
        <f>'Model PT'!BD26</f>
        <v/>
      </c>
      <c r="BE8" s="73">
        <f>'Model PT'!BE26</f>
        <v/>
      </c>
      <c r="BF8" s="73">
        <f>'Model PT'!BF26</f>
        <v/>
      </c>
      <c r="BG8" s="73">
        <f>'Model PT'!BG26</f>
        <v/>
      </c>
      <c r="BH8" s="73">
        <f>'Model PT'!BH26</f>
        <v/>
      </c>
      <c r="BI8" s="73">
        <f>'Model PT'!BI26</f>
        <v/>
      </c>
      <c r="BJ8" s="73">
        <f>'Model PT'!BJ26</f>
        <v/>
      </c>
      <c r="BK8" s="73">
        <f>'Model PT'!BK26</f>
        <v/>
      </c>
    </row>
    <row r="9">
      <c r="B9" s="61" t="inlineStr">
        <is>
          <t xml:space="preserve">    Net revenue — Spain</t>
        </is>
      </c>
      <c r="C9" s="92" t="inlineStr">
        <is>
          <t>EUR</t>
        </is>
      </c>
      <c r="D9" s="73">
        <f>'Model ES'!D26</f>
        <v/>
      </c>
      <c r="E9" s="73">
        <f>'Model ES'!E26</f>
        <v/>
      </c>
      <c r="F9" s="73">
        <f>'Model ES'!F26</f>
        <v/>
      </c>
      <c r="G9" s="73">
        <f>'Model ES'!G26</f>
        <v/>
      </c>
      <c r="H9" s="73">
        <f>'Model ES'!H26</f>
        <v/>
      </c>
      <c r="I9" s="73">
        <f>'Model ES'!I26</f>
        <v/>
      </c>
      <c r="J9" s="73">
        <f>'Model ES'!J26</f>
        <v/>
      </c>
      <c r="K9" s="73">
        <f>'Model ES'!K26</f>
        <v/>
      </c>
      <c r="L9" s="73">
        <f>'Model ES'!L26</f>
        <v/>
      </c>
      <c r="M9" s="73">
        <f>'Model ES'!M26</f>
        <v/>
      </c>
      <c r="N9" s="73">
        <f>'Model ES'!N26</f>
        <v/>
      </c>
      <c r="O9" s="73">
        <f>'Model ES'!O26</f>
        <v/>
      </c>
      <c r="P9" s="73">
        <f>'Model ES'!P26</f>
        <v/>
      </c>
      <c r="Q9" s="73">
        <f>'Model ES'!Q26</f>
        <v/>
      </c>
      <c r="R9" s="73">
        <f>'Model ES'!R26</f>
        <v/>
      </c>
      <c r="S9" s="73">
        <f>'Model ES'!S26</f>
        <v/>
      </c>
      <c r="T9" s="73">
        <f>'Model ES'!T26</f>
        <v/>
      </c>
      <c r="U9" s="73">
        <f>'Model ES'!U26</f>
        <v/>
      </c>
      <c r="V9" s="73">
        <f>'Model ES'!V26</f>
        <v/>
      </c>
      <c r="W9" s="73">
        <f>'Model ES'!W26</f>
        <v/>
      </c>
      <c r="X9" s="73">
        <f>'Model ES'!X26</f>
        <v/>
      </c>
      <c r="Y9" s="73">
        <f>'Model ES'!Y26</f>
        <v/>
      </c>
      <c r="Z9" s="73">
        <f>'Model ES'!Z26</f>
        <v/>
      </c>
      <c r="AA9" s="73">
        <f>'Model ES'!AA26</f>
        <v/>
      </c>
      <c r="AB9" s="73">
        <f>'Model ES'!AB26</f>
        <v/>
      </c>
      <c r="AC9" s="73">
        <f>'Model ES'!AC26</f>
        <v/>
      </c>
      <c r="AD9" s="73">
        <f>'Model ES'!AD26</f>
        <v/>
      </c>
      <c r="AE9" s="73">
        <f>'Model ES'!AE26</f>
        <v/>
      </c>
      <c r="AF9" s="73">
        <f>'Model ES'!AF26</f>
        <v/>
      </c>
      <c r="AG9" s="73">
        <f>'Model ES'!AG26</f>
        <v/>
      </c>
      <c r="AH9" s="73">
        <f>'Model ES'!AH26</f>
        <v/>
      </c>
      <c r="AI9" s="73">
        <f>'Model ES'!AI26</f>
        <v/>
      </c>
      <c r="AJ9" s="73">
        <f>'Model ES'!AJ26</f>
        <v/>
      </c>
      <c r="AK9" s="73">
        <f>'Model ES'!AK26</f>
        <v/>
      </c>
      <c r="AL9" s="73">
        <f>'Model ES'!AL26</f>
        <v/>
      </c>
      <c r="AM9" s="73">
        <f>'Model ES'!AM26</f>
        <v/>
      </c>
      <c r="AN9" s="73">
        <f>'Model ES'!AN26</f>
        <v/>
      </c>
      <c r="AO9" s="73">
        <f>'Model ES'!AO26</f>
        <v/>
      </c>
      <c r="AP9" s="73">
        <f>'Model ES'!AP26</f>
        <v/>
      </c>
      <c r="AQ9" s="73">
        <f>'Model ES'!AQ26</f>
        <v/>
      </c>
      <c r="AR9" s="73">
        <f>'Model ES'!AR26</f>
        <v/>
      </c>
      <c r="AS9" s="73">
        <f>'Model ES'!AS26</f>
        <v/>
      </c>
      <c r="AT9" s="73">
        <f>'Model ES'!AT26</f>
        <v/>
      </c>
      <c r="AU9" s="73">
        <f>'Model ES'!AU26</f>
        <v/>
      </c>
      <c r="AV9" s="73">
        <f>'Model ES'!AV26</f>
        <v/>
      </c>
      <c r="AW9" s="73">
        <f>'Model ES'!AW26</f>
        <v/>
      </c>
      <c r="AX9" s="73">
        <f>'Model ES'!AX26</f>
        <v/>
      </c>
      <c r="AY9" s="73">
        <f>'Model ES'!AY26</f>
        <v/>
      </c>
      <c r="AZ9" s="73">
        <f>'Model ES'!AZ26</f>
        <v/>
      </c>
      <c r="BA9" s="73">
        <f>'Model ES'!BA26</f>
        <v/>
      </c>
      <c r="BB9" s="73">
        <f>'Model ES'!BB26</f>
        <v/>
      </c>
      <c r="BC9" s="73">
        <f>'Model ES'!BC26</f>
        <v/>
      </c>
      <c r="BD9" s="73">
        <f>'Model ES'!BD26</f>
        <v/>
      </c>
      <c r="BE9" s="73">
        <f>'Model ES'!BE26</f>
        <v/>
      </c>
      <c r="BF9" s="73">
        <f>'Model ES'!BF26</f>
        <v/>
      </c>
      <c r="BG9" s="73">
        <f>'Model ES'!BG26</f>
        <v/>
      </c>
      <c r="BH9" s="73">
        <f>'Model ES'!BH26</f>
        <v/>
      </c>
      <c r="BI9" s="73">
        <f>'Model ES'!BI26</f>
        <v/>
      </c>
      <c r="BJ9" s="73">
        <f>'Model ES'!BJ26</f>
        <v/>
      </c>
      <c r="BK9" s="73">
        <f>'Model ES'!BK26</f>
        <v/>
      </c>
    </row>
    <row r="10">
      <c r="B10" s="69" t="inlineStr">
        <is>
          <t>Total net revenue</t>
        </is>
      </c>
      <c r="C10" s="98" t="inlineStr">
        <is>
          <t>EUR</t>
        </is>
      </c>
      <c r="D10" s="71">
        <f>D8+D9</f>
        <v/>
      </c>
      <c r="E10" s="71">
        <f>E8+E9</f>
        <v/>
      </c>
      <c r="F10" s="71">
        <f>F8+F9</f>
        <v/>
      </c>
      <c r="G10" s="71">
        <f>G8+G9</f>
        <v/>
      </c>
      <c r="H10" s="71">
        <f>H8+H9</f>
        <v/>
      </c>
      <c r="I10" s="71">
        <f>I8+I9</f>
        <v/>
      </c>
      <c r="J10" s="71">
        <f>J8+J9</f>
        <v/>
      </c>
      <c r="K10" s="71">
        <f>K8+K9</f>
        <v/>
      </c>
      <c r="L10" s="71">
        <f>L8+L9</f>
        <v/>
      </c>
      <c r="M10" s="71">
        <f>M8+M9</f>
        <v/>
      </c>
      <c r="N10" s="71">
        <f>N8+N9</f>
        <v/>
      </c>
      <c r="O10" s="71">
        <f>O8+O9</f>
        <v/>
      </c>
      <c r="P10" s="71">
        <f>P8+P9</f>
        <v/>
      </c>
      <c r="Q10" s="71">
        <f>Q8+Q9</f>
        <v/>
      </c>
      <c r="R10" s="71">
        <f>R8+R9</f>
        <v/>
      </c>
      <c r="S10" s="71">
        <f>S8+S9</f>
        <v/>
      </c>
      <c r="T10" s="71">
        <f>T8+T9</f>
        <v/>
      </c>
      <c r="U10" s="71">
        <f>U8+U9</f>
        <v/>
      </c>
      <c r="V10" s="71">
        <f>V8+V9</f>
        <v/>
      </c>
      <c r="W10" s="71">
        <f>W8+W9</f>
        <v/>
      </c>
      <c r="X10" s="71">
        <f>X8+X9</f>
        <v/>
      </c>
      <c r="Y10" s="71">
        <f>Y8+Y9</f>
        <v/>
      </c>
      <c r="Z10" s="71">
        <f>Z8+Z9</f>
        <v/>
      </c>
      <c r="AA10" s="71">
        <f>AA8+AA9</f>
        <v/>
      </c>
      <c r="AB10" s="71">
        <f>AB8+AB9</f>
        <v/>
      </c>
      <c r="AC10" s="71">
        <f>AC8+AC9</f>
        <v/>
      </c>
      <c r="AD10" s="71">
        <f>AD8+AD9</f>
        <v/>
      </c>
      <c r="AE10" s="71">
        <f>AE8+AE9</f>
        <v/>
      </c>
      <c r="AF10" s="71">
        <f>AF8+AF9</f>
        <v/>
      </c>
      <c r="AG10" s="71">
        <f>AG8+AG9</f>
        <v/>
      </c>
      <c r="AH10" s="71">
        <f>AH8+AH9</f>
        <v/>
      </c>
      <c r="AI10" s="71">
        <f>AI8+AI9</f>
        <v/>
      </c>
      <c r="AJ10" s="71">
        <f>AJ8+AJ9</f>
        <v/>
      </c>
      <c r="AK10" s="71">
        <f>AK8+AK9</f>
        <v/>
      </c>
      <c r="AL10" s="71">
        <f>AL8+AL9</f>
        <v/>
      </c>
      <c r="AM10" s="71">
        <f>AM8+AM9</f>
        <v/>
      </c>
      <c r="AN10" s="71">
        <f>AN8+AN9</f>
        <v/>
      </c>
      <c r="AO10" s="71">
        <f>AO8+AO9</f>
        <v/>
      </c>
      <c r="AP10" s="71">
        <f>AP8+AP9</f>
        <v/>
      </c>
      <c r="AQ10" s="71">
        <f>AQ8+AQ9</f>
        <v/>
      </c>
      <c r="AR10" s="71">
        <f>AR8+AR9</f>
        <v/>
      </c>
      <c r="AS10" s="71">
        <f>AS8+AS9</f>
        <v/>
      </c>
      <c r="AT10" s="71">
        <f>AT8+AT9</f>
        <v/>
      </c>
      <c r="AU10" s="71">
        <f>AU8+AU9</f>
        <v/>
      </c>
      <c r="AV10" s="71">
        <f>AV8+AV9</f>
        <v/>
      </c>
      <c r="AW10" s="71">
        <f>AW8+AW9</f>
        <v/>
      </c>
      <c r="AX10" s="71">
        <f>AX8+AX9</f>
        <v/>
      </c>
      <c r="AY10" s="71">
        <f>AY8+AY9</f>
        <v/>
      </c>
      <c r="AZ10" s="71">
        <f>AZ8+AZ9</f>
        <v/>
      </c>
      <c r="BA10" s="71">
        <f>BA8+BA9</f>
        <v/>
      </c>
      <c r="BB10" s="71">
        <f>BB8+BB9</f>
        <v/>
      </c>
      <c r="BC10" s="71">
        <f>BC8+BC9</f>
        <v/>
      </c>
      <c r="BD10" s="71">
        <f>BD8+BD9</f>
        <v/>
      </c>
      <c r="BE10" s="71">
        <f>BE8+BE9</f>
        <v/>
      </c>
      <c r="BF10" s="71">
        <f>BF8+BF9</f>
        <v/>
      </c>
      <c r="BG10" s="71">
        <f>BG8+BG9</f>
        <v/>
      </c>
      <c r="BH10" s="71">
        <f>BH8+BH9</f>
        <v/>
      </c>
      <c r="BI10" s="71">
        <f>BI8+BI9</f>
        <v/>
      </c>
      <c r="BJ10" s="71">
        <f>BJ8+BJ9</f>
        <v/>
      </c>
      <c r="BK10" s="71">
        <f>BK8+BK9</f>
        <v/>
      </c>
    </row>
    <row r="11">
      <c r="B11" s="61" t="inlineStr">
        <is>
          <t xml:space="preserve">    Cost of service — Portugal</t>
        </is>
      </c>
      <c r="C11" s="92" t="inlineStr">
        <is>
          <t>EUR</t>
        </is>
      </c>
      <c r="D11" s="73">
        <f>-'Model PT'!D34</f>
        <v/>
      </c>
      <c r="E11" s="73">
        <f>-'Model PT'!E34</f>
        <v/>
      </c>
      <c r="F11" s="73">
        <f>-'Model PT'!F34</f>
        <v/>
      </c>
      <c r="G11" s="73">
        <f>-'Model PT'!G34</f>
        <v/>
      </c>
      <c r="H11" s="73">
        <f>-'Model PT'!H34</f>
        <v/>
      </c>
      <c r="I11" s="73">
        <f>-'Model PT'!I34</f>
        <v/>
      </c>
      <c r="J11" s="73">
        <f>-'Model PT'!J34</f>
        <v/>
      </c>
      <c r="K11" s="73">
        <f>-'Model PT'!K34</f>
        <v/>
      </c>
      <c r="L11" s="73">
        <f>-'Model PT'!L34</f>
        <v/>
      </c>
      <c r="M11" s="73">
        <f>-'Model PT'!M34</f>
        <v/>
      </c>
      <c r="N11" s="73">
        <f>-'Model PT'!N34</f>
        <v/>
      </c>
      <c r="O11" s="73">
        <f>-'Model PT'!O34</f>
        <v/>
      </c>
      <c r="P11" s="73">
        <f>-'Model PT'!P34</f>
        <v/>
      </c>
      <c r="Q11" s="73">
        <f>-'Model PT'!Q34</f>
        <v/>
      </c>
      <c r="R11" s="73">
        <f>-'Model PT'!R34</f>
        <v/>
      </c>
      <c r="S11" s="73">
        <f>-'Model PT'!S34</f>
        <v/>
      </c>
      <c r="T11" s="73">
        <f>-'Model PT'!T34</f>
        <v/>
      </c>
      <c r="U11" s="73">
        <f>-'Model PT'!U34</f>
        <v/>
      </c>
      <c r="V11" s="73">
        <f>-'Model PT'!V34</f>
        <v/>
      </c>
      <c r="W11" s="73">
        <f>-'Model PT'!W34</f>
        <v/>
      </c>
      <c r="X11" s="73">
        <f>-'Model PT'!X34</f>
        <v/>
      </c>
      <c r="Y11" s="73">
        <f>-'Model PT'!Y34</f>
        <v/>
      </c>
      <c r="Z11" s="73">
        <f>-'Model PT'!Z34</f>
        <v/>
      </c>
      <c r="AA11" s="73">
        <f>-'Model PT'!AA34</f>
        <v/>
      </c>
      <c r="AB11" s="73">
        <f>-'Model PT'!AB34</f>
        <v/>
      </c>
      <c r="AC11" s="73">
        <f>-'Model PT'!AC34</f>
        <v/>
      </c>
      <c r="AD11" s="73">
        <f>-'Model PT'!AD34</f>
        <v/>
      </c>
      <c r="AE11" s="73">
        <f>-'Model PT'!AE34</f>
        <v/>
      </c>
      <c r="AF11" s="73">
        <f>-'Model PT'!AF34</f>
        <v/>
      </c>
      <c r="AG11" s="73">
        <f>-'Model PT'!AG34</f>
        <v/>
      </c>
      <c r="AH11" s="73">
        <f>-'Model PT'!AH34</f>
        <v/>
      </c>
      <c r="AI11" s="73">
        <f>-'Model PT'!AI34</f>
        <v/>
      </c>
      <c r="AJ11" s="73">
        <f>-'Model PT'!AJ34</f>
        <v/>
      </c>
      <c r="AK11" s="73">
        <f>-'Model PT'!AK34</f>
        <v/>
      </c>
      <c r="AL11" s="73">
        <f>-'Model PT'!AL34</f>
        <v/>
      </c>
      <c r="AM11" s="73">
        <f>-'Model PT'!AM34</f>
        <v/>
      </c>
      <c r="AN11" s="73">
        <f>-'Model PT'!AN34</f>
        <v/>
      </c>
      <c r="AO11" s="73">
        <f>-'Model PT'!AO34</f>
        <v/>
      </c>
      <c r="AP11" s="73">
        <f>-'Model PT'!AP34</f>
        <v/>
      </c>
      <c r="AQ11" s="73">
        <f>-'Model PT'!AQ34</f>
        <v/>
      </c>
      <c r="AR11" s="73">
        <f>-'Model PT'!AR34</f>
        <v/>
      </c>
      <c r="AS11" s="73">
        <f>-'Model PT'!AS34</f>
        <v/>
      </c>
      <c r="AT11" s="73">
        <f>-'Model PT'!AT34</f>
        <v/>
      </c>
      <c r="AU11" s="73">
        <f>-'Model PT'!AU34</f>
        <v/>
      </c>
      <c r="AV11" s="73">
        <f>-'Model PT'!AV34</f>
        <v/>
      </c>
      <c r="AW11" s="73">
        <f>-'Model PT'!AW34</f>
        <v/>
      </c>
      <c r="AX11" s="73">
        <f>-'Model PT'!AX34</f>
        <v/>
      </c>
      <c r="AY11" s="73">
        <f>-'Model PT'!AY34</f>
        <v/>
      </c>
      <c r="AZ11" s="73">
        <f>-'Model PT'!AZ34</f>
        <v/>
      </c>
      <c r="BA11" s="73">
        <f>-'Model PT'!BA34</f>
        <v/>
      </c>
      <c r="BB11" s="73">
        <f>-'Model PT'!BB34</f>
        <v/>
      </c>
      <c r="BC11" s="73">
        <f>-'Model PT'!BC34</f>
        <v/>
      </c>
      <c r="BD11" s="73">
        <f>-'Model PT'!BD34</f>
        <v/>
      </c>
      <c r="BE11" s="73">
        <f>-'Model PT'!BE34</f>
        <v/>
      </c>
      <c r="BF11" s="73">
        <f>-'Model PT'!BF34</f>
        <v/>
      </c>
      <c r="BG11" s="73">
        <f>-'Model PT'!BG34</f>
        <v/>
      </c>
      <c r="BH11" s="73">
        <f>-'Model PT'!BH34</f>
        <v/>
      </c>
      <c r="BI11" s="73">
        <f>-'Model PT'!BI34</f>
        <v/>
      </c>
      <c r="BJ11" s="73">
        <f>-'Model PT'!BJ34</f>
        <v/>
      </c>
      <c r="BK11" s="73">
        <f>-'Model PT'!BK34</f>
        <v/>
      </c>
    </row>
    <row r="12">
      <c r="B12" s="61" t="inlineStr">
        <is>
          <t xml:space="preserve">    Cost of service — Spain</t>
        </is>
      </c>
      <c r="C12" s="92" t="inlineStr">
        <is>
          <t>EUR</t>
        </is>
      </c>
      <c r="D12" s="73">
        <f>-'Model ES'!D34</f>
        <v/>
      </c>
      <c r="E12" s="73">
        <f>-'Model ES'!E34</f>
        <v/>
      </c>
      <c r="F12" s="73">
        <f>-'Model ES'!F34</f>
        <v/>
      </c>
      <c r="G12" s="73">
        <f>-'Model ES'!G34</f>
        <v/>
      </c>
      <c r="H12" s="73">
        <f>-'Model ES'!H34</f>
        <v/>
      </c>
      <c r="I12" s="73">
        <f>-'Model ES'!I34</f>
        <v/>
      </c>
      <c r="J12" s="73">
        <f>-'Model ES'!J34</f>
        <v/>
      </c>
      <c r="K12" s="73">
        <f>-'Model ES'!K34</f>
        <v/>
      </c>
      <c r="L12" s="73">
        <f>-'Model ES'!L34</f>
        <v/>
      </c>
      <c r="M12" s="73">
        <f>-'Model ES'!M34</f>
        <v/>
      </c>
      <c r="N12" s="73">
        <f>-'Model ES'!N34</f>
        <v/>
      </c>
      <c r="O12" s="73">
        <f>-'Model ES'!O34</f>
        <v/>
      </c>
      <c r="P12" s="73">
        <f>-'Model ES'!P34</f>
        <v/>
      </c>
      <c r="Q12" s="73">
        <f>-'Model ES'!Q34</f>
        <v/>
      </c>
      <c r="R12" s="73">
        <f>-'Model ES'!R34</f>
        <v/>
      </c>
      <c r="S12" s="73">
        <f>-'Model ES'!S34</f>
        <v/>
      </c>
      <c r="T12" s="73">
        <f>-'Model ES'!T34</f>
        <v/>
      </c>
      <c r="U12" s="73">
        <f>-'Model ES'!U34</f>
        <v/>
      </c>
      <c r="V12" s="73">
        <f>-'Model ES'!V34</f>
        <v/>
      </c>
      <c r="W12" s="73">
        <f>-'Model ES'!W34</f>
        <v/>
      </c>
      <c r="X12" s="73">
        <f>-'Model ES'!X34</f>
        <v/>
      </c>
      <c r="Y12" s="73">
        <f>-'Model ES'!Y34</f>
        <v/>
      </c>
      <c r="Z12" s="73">
        <f>-'Model ES'!Z34</f>
        <v/>
      </c>
      <c r="AA12" s="73">
        <f>-'Model ES'!AA34</f>
        <v/>
      </c>
      <c r="AB12" s="73">
        <f>-'Model ES'!AB34</f>
        <v/>
      </c>
      <c r="AC12" s="73">
        <f>-'Model ES'!AC34</f>
        <v/>
      </c>
      <c r="AD12" s="73">
        <f>-'Model ES'!AD34</f>
        <v/>
      </c>
      <c r="AE12" s="73">
        <f>-'Model ES'!AE34</f>
        <v/>
      </c>
      <c r="AF12" s="73">
        <f>-'Model ES'!AF34</f>
        <v/>
      </c>
      <c r="AG12" s="73">
        <f>-'Model ES'!AG34</f>
        <v/>
      </c>
      <c r="AH12" s="73">
        <f>-'Model ES'!AH34</f>
        <v/>
      </c>
      <c r="AI12" s="73">
        <f>-'Model ES'!AI34</f>
        <v/>
      </c>
      <c r="AJ12" s="73">
        <f>-'Model ES'!AJ34</f>
        <v/>
      </c>
      <c r="AK12" s="73">
        <f>-'Model ES'!AK34</f>
        <v/>
      </c>
      <c r="AL12" s="73">
        <f>-'Model ES'!AL34</f>
        <v/>
      </c>
      <c r="AM12" s="73">
        <f>-'Model ES'!AM34</f>
        <v/>
      </c>
      <c r="AN12" s="73">
        <f>-'Model ES'!AN34</f>
        <v/>
      </c>
      <c r="AO12" s="73">
        <f>-'Model ES'!AO34</f>
        <v/>
      </c>
      <c r="AP12" s="73">
        <f>-'Model ES'!AP34</f>
        <v/>
      </c>
      <c r="AQ12" s="73">
        <f>-'Model ES'!AQ34</f>
        <v/>
      </c>
      <c r="AR12" s="73">
        <f>-'Model ES'!AR34</f>
        <v/>
      </c>
      <c r="AS12" s="73">
        <f>-'Model ES'!AS34</f>
        <v/>
      </c>
      <c r="AT12" s="73">
        <f>-'Model ES'!AT34</f>
        <v/>
      </c>
      <c r="AU12" s="73">
        <f>-'Model ES'!AU34</f>
        <v/>
      </c>
      <c r="AV12" s="73">
        <f>-'Model ES'!AV34</f>
        <v/>
      </c>
      <c r="AW12" s="73">
        <f>-'Model ES'!AW34</f>
        <v/>
      </c>
      <c r="AX12" s="73">
        <f>-'Model ES'!AX34</f>
        <v/>
      </c>
      <c r="AY12" s="73">
        <f>-'Model ES'!AY34</f>
        <v/>
      </c>
      <c r="AZ12" s="73">
        <f>-'Model ES'!AZ34</f>
        <v/>
      </c>
      <c r="BA12" s="73">
        <f>-'Model ES'!BA34</f>
        <v/>
      </c>
      <c r="BB12" s="73">
        <f>-'Model ES'!BB34</f>
        <v/>
      </c>
      <c r="BC12" s="73">
        <f>-'Model ES'!BC34</f>
        <v/>
      </c>
      <c r="BD12" s="73">
        <f>-'Model ES'!BD34</f>
        <v/>
      </c>
      <c r="BE12" s="73">
        <f>-'Model ES'!BE34</f>
        <v/>
      </c>
      <c r="BF12" s="73">
        <f>-'Model ES'!BF34</f>
        <v/>
      </c>
      <c r="BG12" s="73">
        <f>-'Model ES'!BG34</f>
        <v/>
      </c>
      <c r="BH12" s="73">
        <f>-'Model ES'!BH34</f>
        <v/>
      </c>
      <c r="BI12" s="73">
        <f>-'Model ES'!BI34</f>
        <v/>
      </c>
      <c r="BJ12" s="73">
        <f>-'Model ES'!BJ34</f>
        <v/>
      </c>
      <c r="BK12" s="73">
        <f>-'Model ES'!BK34</f>
        <v/>
      </c>
    </row>
    <row r="13">
      <c r="B13" s="61" t="inlineStr">
        <is>
          <t>Total cost of service</t>
        </is>
      </c>
      <c r="C13" s="92" t="inlineStr">
        <is>
          <t>EUR</t>
        </is>
      </c>
      <c r="D13" s="64">
        <f>D11+D12</f>
        <v/>
      </c>
      <c r="E13" s="64">
        <f>E11+E12</f>
        <v/>
      </c>
      <c r="F13" s="64">
        <f>F11+F12</f>
        <v/>
      </c>
      <c r="G13" s="64">
        <f>G11+G12</f>
        <v/>
      </c>
      <c r="H13" s="64">
        <f>H11+H12</f>
        <v/>
      </c>
      <c r="I13" s="64">
        <f>I11+I12</f>
        <v/>
      </c>
      <c r="J13" s="64">
        <f>J11+J12</f>
        <v/>
      </c>
      <c r="K13" s="64">
        <f>K11+K12</f>
        <v/>
      </c>
      <c r="L13" s="64">
        <f>L11+L12</f>
        <v/>
      </c>
      <c r="M13" s="64">
        <f>M11+M12</f>
        <v/>
      </c>
      <c r="N13" s="64">
        <f>N11+N12</f>
        <v/>
      </c>
      <c r="O13" s="64">
        <f>O11+O12</f>
        <v/>
      </c>
      <c r="P13" s="64">
        <f>P11+P12</f>
        <v/>
      </c>
      <c r="Q13" s="64">
        <f>Q11+Q12</f>
        <v/>
      </c>
      <c r="R13" s="64">
        <f>R11+R12</f>
        <v/>
      </c>
      <c r="S13" s="64">
        <f>S11+S12</f>
        <v/>
      </c>
      <c r="T13" s="64">
        <f>T11+T12</f>
        <v/>
      </c>
      <c r="U13" s="64">
        <f>U11+U12</f>
        <v/>
      </c>
      <c r="V13" s="64">
        <f>V11+V12</f>
        <v/>
      </c>
      <c r="W13" s="64">
        <f>W11+W12</f>
        <v/>
      </c>
      <c r="X13" s="64">
        <f>X11+X12</f>
        <v/>
      </c>
      <c r="Y13" s="64">
        <f>Y11+Y12</f>
        <v/>
      </c>
      <c r="Z13" s="64">
        <f>Z11+Z12</f>
        <v/>
      </c>
      <c r="AA13" s="64">
        <f>AA11+AA12</f>
        <v/>
      </c>
      <c r="AB13" s="64">
        <f>AB11+AB12</f>
        <v/>
      </c>
      <c r="AC13" s="64">
        <f>AC11+AC12</f>
        <v/>
      </c>
      <c r="AD13" s="64">
        <f>AD11+AD12</f>
        <v/>
      </c>
      <c r="AE13" s="64">
        <f>AE11+AE12</f>
        <v/>
      </c>
      <c r="AF13" s="64">
        <f>AF11+AF12</f>
        <v/>
      </c>
      <c r="AG13" s="64">
        <f>AG11+AG12</f>
        <v/>
      </c>
      <c r="AH13" s="64">
        <f>AH11+AH12</f>
        <v/>
      </c>
      <c r="AI13" s="64">
        <f>AI11+AI12</f>
        <v/>
      </c>
      <c r="AJ13" s="64">
        <f>AJ11+AJ12</f>
        <v/>
      </c>
      <c r="AK13" s="64">
        <f>AK11+AK12</f>
        <v/>
      </c>
      <c r="AL13" s="64">
        <f>AL11+AL12</f>
        <v/>
      </c>
      <c r="AM13" s="64">
        <f>AM11+AM12</f>
        <v/>
      </c>
      <c r="AN13" s="64">
        <f>AN11+AN12</f>
        <v/>
      </c>
      <c r="AO13" s="64">
        <f>AO11+AO12</f>
        <v/>
      </c>
      <c r="AP13" s="64">
        <f>AP11+AP12</f>
        <v/>
      </c>
      <c r="AQ13" s="64">
        <f>AQ11+AQ12</f>
        <v/>
      </c>
      <c r="AR13" s="64">
        <f>AR11+AR12</f>
        <v/>
      </c>
      <c r="AS13" s="64">
        <f>AS11+AS12</f>
        <v/>
      </c>
      <c r="AT13" s="64">
        <f>AT11+AT12</f>
        <v/>
      </c>
      <c r="AU13" s="64">
        <f>AU11+AU12</f>
        <v/>
      </c>
      <c r="AV13" s="64">
        <f>AV11+AV12</f>
        <v/>
      </c>
      <c r="AW13" s="64">
        <f>AW11+AW12</f>
        <v/>
      </c>
      <c r="AX13" s="64">
        <f>AX11+AX12</f>
        <v/>
      </c>
      <c r="AY13" s="64">
        <f>AY11+AY12</f>
        <v/>
      </c>
      <c r="AZ13" s="64">
        <f>AZ11+AZ12</f>
        <v/>
      </c>
      <c r="BA13" s="64">
        <f>BA11+BA12</f>
        <v/>
      </c>
      <c r="BB13" s="64">
        <f>BB11+BB12</f>
        <v/>
      </c>
      <c r="BC13" s="64">
        <f>BC11+BC12</f>
        <v/>
      </c>
      <c r="BD13" s="64">
        <f>BD11+BD12</f>
        <v/>
      </c>
      <c r="BE13" s="64">
        <f>BE11+BE12</f>
        <v/>
      </c>
      <c r="BF13" s="64">
        <f>BF11+BF12</f>
        <v/>
      </c>
      <c r="BG13" s="64">
        <f>BG11+BG12</f>
        <v/>
      </c>
      <c r="BH13" s="64">
        <f>BH11+BH12</f>
        <v/>
      </c>
      <c r="BI13" s="64">
        <f>BI11+BI12</f>
        <v/>
      </c>
      <c r="BJ13" s="64">
        <f>BJ11+BJ12</f>
        <v/>
      </c>
      <c r="BK13" s="64">
        <f>BK11+BK12</f>
        <v/>
      </c>
    </row>
    <row r="14">
      <c r="B14" s="69" t="inlineStr">
        <is>
          <t>Gross profit</t>
        </is>
      </c>
      <c r="C14" s="98" t="inlineStr">
        <is>
          <t>EUR</t>
        </is>
      </c>
      <c r="D14" s="71">
        <f>D10+D13</f>
        <v/>
      </c>
      <c r="E14" s="71">
        <f>E10+E13</f>
        <v/>
      </c>
      <c r="F14" s="71">
        <f>F10+F13</f>
        <v/>
      </c>
      <c r="G14" s="71">
        <f>G10+G13</f>
        <v/>
      </c>
      <c r="H14" s="71">
        <f>H10+H13</f>
        <v/>
      </c>
      <c r="I14" s="71">
        <f>I10+I13</f>
        <v/>
      </c>
      <c r="J14" s="71">
        <f>J10+J13</f>
        <v/>
      </c>
      <c r="K14" s="71">
        <f>K10+K13</f>
        <v/>
      </c>
      <c r="L14" s="71">
        <f>L10+L13</f>
        <v/>
      </c>
      <c r="M14" s="71">
        <f>M10+M13</f>
        <v/>
      </c>
      <c r="N14" s="71">
        <f>N10+N13</f>
        <v/>
      </c>
      <c r="O14" s="71">
        <f>O10+O13</f>
        <v/>
      </c>
      <c r="P14" s="71">
        <f>P10+P13</f>
        <v/>
      </c>
      <c r="Q14" s="71">
        <f>Q10+Q13</f>
        <v/>
      </c>
      <c r="R14" s="71">
        <f>R10+R13</f>
        <v/>
      </c>
      <c r="S14" s="71">
        <f>S10+S13</f>
        <v/>
      </c>
      <c r="T14" s="71">
        <f>T10+T13</f>
        <v/>
      </c>
      <c r="U14" s="71">
        <f>U10+U13</f>
        <v/>
      </c>
      <c r="V14" s="71">
        <f>V10+V13</f>
        <v/>
      </c>
      <c r="W14" s="71">
        <f>W10+W13</f>
        <v/>
      </c>
      <c r="X14" s="71">
        <f>X10+X13</f>
        <v/>
      </c>
      <c r="Y14" s="71">
        <f>Y10+Y13</f>
        <v/>
      </c>
      <c r="Z14" s="71">
        <f>Z10+Z13</f>
        <v/>
      </c>
      <c r="AA14" s="71">
        <f>AA10+AA13</f>
        <v/>
      </c>
      <c r="AB14" s="71">
        <f>AB10+AB13</f>
        <v/>
      </c>
      <c r="AC14" s="71">
        <f>AC10+AC13</f>
        <v/>
      </c>
      <c r="AD14" s="71">
        <f>AD10+AD13</f>
        <v/>
      </c>
      <c r="AE14" s="71">
        <f>AE10+AE13</f>
        <v/>
      </c>
      <c r="AF14" s="71">
        <f>AF10+AF13</f>
        <v/>
      </c>
      <c r="AG14" s="71">
        <f>AG10+AG13</f>
        <v/>
      </c>
      <c r="AH14" s="71">
        <f>AH10+AH13</f>
        <v/>
      </c>
      <c r="AI14" s="71">
        <f>AI10+AI13</f>
        <v/>
      </c>
      <c r="AJ14" s="71">
        <f>AJ10+AJ13</f>
        <v/>
      </c>
      <c r="AK14" s="71">
        <f>AK10+AK13</f>
        <v/>
      </c>
      <c r="AL14" s="71">
        <f>AL10+AL13</f>
        <v/>
      </c>
      <c r="AM14" s="71">
        <f>AM10+AM13</f>
        <v/>
      </c>
      <c r="AN14" s="71">
        <f>AN10+AN13</f>
        <v/>
      </c>
      <c r="AO14" s="71">
        <f>AO10+AO13</f>
        <v/>
      </c>
      <c r="AP14" s="71">
        <f>AP10+AP13</f>
        <v/>
      </c>
      <c r="AQ14" s="71">
        <f>AQ10+AQ13</f>
        <v/>
      </c>
      <c r="AR14" s="71">
        <f>AR10+AR13</f>
        <v/>
      </c>
      <c r="AS14" s="71">
        <f>AS10+AS13</f>
        <v/>
      </c>
      <c r="AT14" s="71">
        <f>AT10+AT13</f>
        <v/>
      </c>
      <c r="AU14" s="71">
        <f>AU10+AU13</f>
        <v/>
      </c>
      <c r="AV14" s="71">
        <f>AV10+AV13</f>
        <v/>
      </c>
      <c r="AW14" s="71">
        <f>AW10+AW13</f>
        <v/>
      </c>
      <c r="AX14" s="71">
        <f>AX10+AX13</f>
        <v/>
      </c>
      <c r="AY14" s="71">
        <f>AY10+AY13</f>
        <v/>
      </c>
      <c r="AZ14" s="71">
        <f>AZ10+AZ13</f>
        <v/>
      </c>
      <c r="BA14" s="71">
        <f>BA10+BA13</f>
        <v/>
      </c>
      <c r="BB14" s="71">
        <f>BB10+BB13</f>
        <v/>
      </c>
      <c r="BC14" s="71">
        <f>BC10+BC13</f>
        <v/>
      </c>
      <c r="BD14" s="71">
        <f>BD10+BD13</f>
        <v/>
      </c>
      <c r="BE14" s="71">
        <f>BE10+BE13</f>
        <v/>
      </c>
      <c r="BF14" s="71">
        <f>BF10+BF13</f>
        <v/>
      </c>
      <c r="BG14" s="71">
        <f>BG10+BG13</f>
        <v/>
      </c>
      <c r="BH14" s="71">
        <f>BH10+BH13</f>
        <v/>
      </c>
      <c r="BI14" s="71">
        <f>BI10+BI13</f>
        <v/>
      </c>
      <c r="BJ14" s="71">
        <f>BJ10+BJ13</f>
        <v/>
      </c>
      <c r="BK14" s="71">
        <f>BK10+BK13</f>
        <v/>
      </c>
    </row>
    <row r="15">
      <c r="B15" s="61" t="inlineStr">
        <is>
          <t>Gross margin</t>
        </is>
      </c>
      <c r="C15" s="92" t="inlineStr">
        <is>
          <t>%</t>
        </is>
      </c>
      <c r="D15" s="68">
        <f>IFERROR(D14/D10,0)</f>
        <v/>
      </c>
      <c r="E15" s="68">
        <f>IFERROR(E14/E10,0)</f>
        <v/>
      </c>
      <c r="F15" s="68">
        <f>IFERROR(F14/F10,0)</f>
        <v/>
      </c>
      <c r="G15" s="68">
        <f>IFERROR(G14/G10,0)</f>
        <v/>
      </c>
      <c r="H15" s="68">
        <f>IFERROR(H14/H10,0)</f>
        <v/>
      </c>
      <c r="I15" s="68">
        <f>IFERROR(I14/I10,0)</f>
        <v/>
      </c>
      <c r="J15" s="68">
        <f>IFERROR(J14/J10,0)</f>
        <v/>
      </c>
      <c r="K15" s="68">
        <f>IFERROR(K14/K10,0)</f>
        <v/>
      </c>
      <c r="L15" s="68">
        <f>IFERROR(L14/L10,0)</f>
        <v/>
      </c>
      <c r="M15" s="68">
        <f>IFERROR(M14/M10,0)</f>
        <v/>
      </c>
      <c r="N15" s="68">
        <f>IFERROR(N14/N10,0)</f>
        <v/>
      </c>
      <c r="O15" s="68">
        <f>IFERROR(O14/O10,0)</f>
        <v/>
      </c>
      <c r="P15" s="68">
        <f>IFERROR(P14/P10,0)</f>
        <v/>
      </c>
      <c r="Q15" s="68">
        <f>IFERROR(Q14/Q10,0)</f>
        <v/>
      </c>
      <c r="R15" s="68">
        <f>IFERROR(R14/R10,0)</f>
        <v/>
      </c>
      <c r="S15" s="68">
        <f>IFERROR(S14/S10,0)</f>
        <v/>
      </c>
      <c r="T15" s="68">
        <f>IFERROR(T14/T10,0)</f>
        <v/>
      </c>
      <c r="U15" s="68">
        <f>IFERROR(U14/U10,0)</f>
        <v/>
      </c>
      <c r="V15" s="68">
        <f>IFERROR(V14/V10,0)</f>
        <v/>
      </c>
      <c r="W15" s="68">
        <f>IFERROR(W14/W10,0)</f>
        <v/>
      </c>
      <c r="X15" s="68">
        <f>IFERROR(X14/X10,0)</f>
        <v/>
      </c>
      <c r="Y15" s="68">
        <f>IFERROR(Y14/Y10,0)</f>
        <v/>
      </c>
      <c r="Z15" s="68">
        <f>IFERROR(Z14/Z10,0)</f>
        <v/>
      </c>
      <c r="AA15" s="68">
        <f>IFERROR(AA14/AA10,0)</f>
        <v/>
      </c>
      <c r="AB15" s="68">
        <f>IFERROR(AB14/AB10,0)</f>
        <v/>
      </c>
      <c r="AC15" s="68">
        <f>IFERROR(AC14/AC10,0)</f>
        <v/>
      </c>
      <c r="AD15" s="68">
        <f>IFERROR(AD14/AD10,0)</f>
        <v/>
      </c>
      <c r="AE15" s="68">
        <f>IFERROR(AE14/AE10,0)</f>
        <v/>
      </c>
      <c r="AF15" s="68">
        <f>IFERROR(AF14/AF10,0)</f>
        <v/>
      </c>
      <c r="AG15" s="68">
        <f>IFERROR(AG14/AG10,0)</f>
        <v/>
      </c>
      <c r="AH15" s="68">
        <f>IFERROR(AH14/AH10,0)</f>
        <v/>
      </c>
      <c r="AI15" s="68">
        <f>IFERROR(AI14/AI10,0)</f>
        <v/>
      </c>
      <c r="AJ15" s="68">
        <f>IFERROR(AJ14/AJ10,0)</f>
        <v/>
      </c>
      <c r="AK15" s="68">
        <f>IFERROR(AK14/AK10,0)</f>
        <v/>
      </c>
      <c r="AL15" s="68">
        <f>IFERROR(AL14/AL10,0)</f>
        <v/>
      </c>
      <c r="AM15" s="68">
        <f>IFERROR(AM14/AM10,0)</f>
        <v/>
      </c>
      <c r="AN15" s="68">
        <f>IFERROR(AN14/AN10,0)</f>
        <v/>
      </c>
      <c r="AO15" s="68">
        <f>IFERROR(AO14/AO10,0)</f>
        <v/>
      </c>
      <c r="AP15" s="68">
        <f>IFERROR(AP14/AP10,0)</f>
        <v/>
      </c>
      <c r="AQ15" s="68">
        <f>IFERROR(AQ14/AQ10,0)</f>
        <v/>
      </c>
      <c r="AR15" s="68">
        <f>IFERROR(AR14/AR10,0)</f>
        <v/>
      </c>
      <c r="AS15" s="68">
        <f>IFERROR(AS14/AS10,0)</f>
        <v/>
      </c>
      <c r="AT15" s="68">
        <f>IFERROR(AT14/AT10,0)</f>
        <v/>
      </c>
      <c r="AU15" s="68">
        <f>IFERROR(AU14/AU10,0)</f>
        <v/>
      </c>
      <c r="AV15" s="68">
        <f>IFERROR(AV14/AV10,0)</f>
        <v/>
      </c>
      <c r="AW15" s="68">
        <f>IFERROR(AW14/AW10,0)</f>
        <v/>
      </c>
      <c r="AX15" s="68">
        <f>IFERROR(AX14/AX10,0)</f>
        <v/>
      </c>
      <c r="AY15" s="68">
        <f>IFERROR(AY14/AY10,0)</f>
        <v/>
      </c>
      <c r="AZ15" s="68">
        <f>IFERROR(AZ14/AZ10,0)</f>
        <v/>
      </c>
      <c r="BA15" s="68">
        <f>IFERROR(BA14/BA10,0)</f>
        <v/>
      </c>
      <c r="BB15" s="68">
        <f>IFERROR(BB14/BB10,0)</f>
        <v/>
      </c>
      <c r="BC15" s="68">
        <f>IFERROR(BC14/BC10,0)</f>
        <v/>
      </c>
      <c r="BD15" s="68">
        <f>IFERROR(BD14/BD10,0)</f>
        <v/>
      </c>
      <c r="BE15" s="68">
        <f>IFERROR(BE14/BE10,0)</f>
        <v/>
      </c>
      <c r="BF15" s="68">
        <f>IFERROR(BF14/BF10,0)</f>
        <v/>
      </c>
      <c r="BG15" s="68">
        <f>IFERROR(BG14/BG10,0)</f>
        <v/>
      </c>
      <c r="BH15" s="68">
        <f>IFERROR(BH14/BH10,0)</f>
        <v/>
      </c>
      <c r="BI15" s="68">
        <f>IFERROR(BI14/BI10,0)</f>
        <v/>
      </c>
      <c r="BJ15" s="68">
        <f>IFERROR(BJ14/BJ10,0)</f>
        <v/>
      </c>
      <c r="BK15" s="68">
        <f>IFERROR(BK14/BK10,0)</f>
        <v/>
      </c>
    </row>
    <row r="17">
      <c r="B17" s="61" t="inlineStr">
        <is>
          <t xml:space="preserve">    Customer acquisition (COCA)</t>
        </is>
      </c>
      <c r="C17" s="92" t="inlineStr">
        <is>
          <t>EUR</t>
        </is>
      </c>
      <c r="D17" s="64">
        <f>-('Model PT'!D40+'Model ES'!D40)</f>
        <v/>
      </c>
      <c r="E17" s="64">
        <f>-('Model PT'!E40+'Model ES'!E40)</f>
        <v/>
      </c>
      <c r="F17" s="64">
        <f>-('Model PT'!F40+'Model ES'!F40)</f>
        <v/>
      </c>
      <c r="G17" s="64">
        <f>-('Model PT'!G40+'Model ES'!G40)</f>
        <v/>
      </c>
      <c r="H17" s="64">
        <f>-('Model PT'!H40+'Model ES'!H40)</f>
        <v/>
      </c>
      <c r="I17" s="64">
        <f>-('Model PT'!I40+'Model ES'!I40)</f>
        <v/>
      </c>
      <c r="J17" s="64">
        <f>-('Model PT'!J40+'Model ES'!J40)</f>
        <v/>
      </c>
      <c r="K17" s="64">
        <f>-('Model PT'!K40+'Model ES'!K40)</f>
        <v/>
      </c>
      <c r="L17" s="64">
        <f>-('Model PT'!L40+'Model ES'!L40)</f>
        <v/>
      </c>
      <c r="M17" s="64">
        <f>-('Model PT'!M40+'Model ES'!M40)</f>
        <v/>
      </c>
      <c r="N17" s="64">
        <f>-('Model PT'!N40+'Model ES'!N40)</f>
        <v/>
      </c>
      <c r="O17" s="64">
        <f>-('Model PT'!O40+'Model ES'!O40)</f>
        <v/>
      </c>
      <c r="P17" s="64">
        <f>-('Model PT'!P40+'Model ES'!P40)</f>
        <v/>
      </c>
      <c r="Q17" s="64">
        <f>-('Model PT'!Q40+'Model ES'!Q40)</f>
        <v/>
      </c>
      <c r="R17" s="64">
        <f>-('Model PT'!R40+'Model ES'!R40)</f>
        <v/>
      </c>
      <c r="S17" s="64">
        <f>-('Model PT'!S40+'Model ES'!S40)</f>
        <v/>
      </c>
      <c r="T17" s="64">
        <f>-('Model PT'!T40+'Model ES'!T40)</f>
        <v/>
      </c>
      <c r="U17" s="64">
        <f>-('Model PT'!U40+'Model ES'!U40)</f>
        <v/>
      </c>
      <c r="V17" s="64">
        <f>-('Model PT'!V40+'Model ES'!V40)</f>
        <v/>
      </c>
      <c r="W17" s="64">
        <f>-('Model PT'!W40+'Model ES'!W40)</f>
        <v/>
      </c>
      <c r="X17" s="64">
        <f>-('Model PT'!X40+'Model ES'!X40)</f>
        <v/>
      </c>
      <c r="Y17" s="64">
        <f>-('Model PT'!Y40+'Model ES'!Y40)</f>
        <v/>
      </c>
      <c r="Z17" s="64">
        <f>-('Model PT'!Z40+'Model ES'!Z40)</f>
        <v/>
      </c>
      <c r="AA17" s="64">
        <f>-('Model PT'!AA40+'Model ES'!AA40)</f>
        <v/>
      </c>
      <c r="AB17" s="64">
        <f>-('Model PT'!AB40+'Model ES'!AB40)</f>
        <v/>
      </c>
      <c r="AC17" s="64">
        <f>-('Model PT'!AC40+'Model ES'!AC40)</f>
        <v/>
      </c>
      <c r="AD17" s="64">
        <f>-('Model PT'!AD40+'Model ES'!AD40)</f>
        <v/>
      </c>
      <c r="AE17" s="64">
        <f>-('Model PT'!AE40+'Model ES'!AE40)</f>
        <v/>
      </c>
      <c r="AF17" s="64">
        <f>-('Model PT'!AF40+'Model ES'!AF40)</f>
        <v/>
      </c>
      <c r="AG17" s="64">
        <f>-('Model PT'!AG40+'Model ES'!AG40)</f>
        <v/>
      </c>
      <c r="AH17" s="64">
        <f>-('Model PT'!AH40+'Model ES'!AH40)</f>
        <v/>
      </c>
      <c r="AI17" s="64">
        <f>-('Model PT'!AI40+'Model ES'!AI40)</f>
        <v/>
      </c>
      <c r="AJ17" s="64">
        <f>-('Model PT'!AJ40+'Model ES'!AJ40)</f>
        <v/>
      </c>
      <c r="AK17" s="64">
        <f>-('Model PT'!AK40+'Model ES'!AK40)</f>
        <v/>
      </c>
      <c r="AL17" s="64">
        <f>-('Model PT'!AL40+'Model ES'!AL40)</f>
        <v/>
      </c>
      <c r="AM17" s="64">
        <f>-('Model PT'!AM40+'Model ES'!AM40)</f>
        <v/>
      </c>
      <c r="AN17" s="64">
        <f>-('Model PT'!AN40+'Model ES'!AN40)</f>
        <v/>
      </c>
      <c r="AO17" s="64">
        <f>-('Model PT'!AO40+'Model ES'!AO40)</f>
        <v/>
      </c>
      <c r="AP17" s="64">
        <f>-('Model PT'!AP40+'Model ES'!AP40)</f>
        <v/>
      </c>
      <c r="AQ17" s="64">
        <f>-('Model PT'!AQ40+'Model ES'!AQ40)</f>
        <v/>
      </c>
      <c r="AR17" s="64">
        <f>-('Model PT'!AR40+'Model ES'!AR40)</f>
        <v/>
      </c>
      <c r="AS17" s="64">
        <f>-('Model PT'!AS40+'Model ES'!AS40)</f>
        <v/>
      </c>
      <c r="AT17" s="64">
        <f>-('Model PT'!AT40+'Model ES'!AT40)</f>
        <v/>
      </c>
      <c r="AU17" s="64">
        <f>-('Model PT'!AU40+'Model ES'!AU40)</f>
        <v/>
      </c>
      <c r="AV17" s="64">
        <f>-('Model PT'!AV40+'Model ES'!AV40)</f>
        <v/>
      </c>
      <c r="AW17" s="64">
        <f>-('Model PT'!AW40+'Model ES'!AW40)</f>
        <v/>
      </c>
      <c r="AX17" s="64">
        <f>-('Model PT'!AX40+'Model ES'!AX40)</f>
        <v/>
      </c>
      <c r="AY17" s="64">
        <f>-('Model PT'!AY40+'Model ES'!AY40)</f>
        <v/>
      </c>
      <c r="AZ17" s="64">
        <f>-('Model PT'!AZ40+'Model ES'!AZ40)</f>
        <v/>
      </c>
      <c r="BA17" s="64">
        <f>-('Model PT'!BA40+'Model ES'!BA40)</f>
        <v/>
      </c>
      <c r="BB17" s="64">
        <f>-('Model PT'!BB40+'Model ES'!BB40)</f>
        <v/>
      </c>
      <c r="BC17" s="64">
        <f>-('Model PT'!BC40+'Model ES'!BC40)</f>
        <v/>
      </c>
      <c r="BD17" s="64">
        <f>-('Model PT'!BD40+'Model ES'!BD40)</f>
        <v/>
      </c>
      <c r="BE17" s="64">
        <f>-('Model PT'!BE40+'Model ES'!BE40)</f>
        <v/>
      </c>
      <c r="BF17" s="64">
        <f>-('Model PT'!BF40+'Model ES'!BF40)</f>
        <v/>
      </c>
      <c r="BG17" s="64">
        <f>-('Model PT'!BG40+'Model ES'!BG40)</f>
        <v/>
      </c>
      <c r="BH17" s="64">
        <f>-('Model PT'!BH40+'Model ES'!BH40)</f>
        <v/>
      </c>
      <c r="BI17" s="64">
        <f>-('Model PT'!BI40+'Model ES'!BI40)</f>
        <v/>
      </c>
      <c r="BJ17" s="64">
        <f>-('Model PT'!BJ40+'Model ES'!BJ40)</f>
        <v/>
      </c>
      <c r="BK17" s="64">
        <f>-('Model PT'!BK40+'Model ES'!BK40)</f>
        <v/>
      </c>
    </row>
    <row r="18">
      <c r="B18" s="61" t="inlineStr">
        <is>
          <t xml:space="preserve">    Brand marketing &amp; content</t>
        </is>
      </c>
      <c r="C18" s="92" t="inlineStr">
        <is>
          <t>EUR</t>
        </is>
      </c>
      <c r="D18" s="64">
        <f>-INDEX(Inputs!$C$77:$G$77,1,D5)*INDEX(Scenarios!$D$15:$F$15,1,Inputs!$C$7)</f>
        <v/>
      </c>
      <c r="E18" s="64">
        <f>-INDEX(Inputs!$C$77:$G$77,1,E5)*INDEX(Scenarios!$D$15:$F$15,1,Inputs!$C$7)</f>
        <v/>
      </c>
      <c r="F18" s="64">
        <f>-INDEX(Inputs!$C$77:$G$77,1,F5)*INDEX(Scenarios!$D$15:$F$15,1,Inputs!$C$7)</f>
        <v/>
      </c>
      <c r="G18" s="64">
        <f>-INDEX(Inputs!$C$77:$G$77,1,G5)*INDEX(Scenarios!$D$15:$F$15,1,Inputs!$C$7)</f>
        <v/>
      </c>
      <c r="H18" s="64">
        <f>-INDEX(Inputs!$C$77:$G$77,1,H5)*INDEX(Scenarios!$D$15:$F$15,1,Inputs!$C$7)</f>
        <v/>
      </c>
      <c r="I18" s="64">
        <f>-INDEX(Inputs!$C$77:$G$77,1,I5)*INDEX(Scenarios!$D$15:$F$15,1,Inputs!$C$7)</f>
        <v/>
      </c>
      <c r="J18" s="64">
        <f>-INDEX(Inputs!$C$77:$G$77,1,J5)*INDEX(Scenarios!$D$15:$F$15,1,Inputs!$C$7)</f>
        <v/>
      </c>
      <c r="K18" s="64">
        <f>-INDEX(Inputs!$C$77:$G$77,1,K5)*INDEX(Scenarios!$D$15:$F$15,1,Inputs!$C$7)</f>
        <v/>
      </c>
      <c r="L18" s="64">
        <f>-INDEX(Inputs!$C$77:$G$77,1,L5)*INDEX(Scenarios!$D$15:$F$15,1,Inputs!$C$7)</f>
        <v/>
      </c>
      <c r="M18" s="64">
        <f>-INDEX(Inputs!$C$77:$G$77,1,M5)*INDEX(Scenarios!$D$15:$F$15,1,Inputs!$C$7)</f>
        <v/>
      </c>
      <c r="N18" s="64">
        <f>-INDEX(Inputs!$C$77:$G$77,1,N5)*INDEX(Scenarios!$D$15:$F$15,1,Inputs!$C$7)</f>
        <v/>
      </c>
      <c r="O18" s="64">
        <f>-INDEX(Inputs!$C$77:$G$77,1,O5)*INDEX(Scenarios!$D$15:$F$15,1,Inputs!$C$7)</f>
        <v/>
      </c>
      <c r="P18" s="64">
        <f>-INDEX(Inputs!$C$77:$G$77,1,P5)*INDEX(Scenarios!$D$15:$F$15,1,Inputs!$C$7)</f>
        <v/>
      </c>
      <c r="Q18" s="64">
        <f>-INDEX(Inputs!$C$77:$G$77,1,Q5)*INDEX(Scenarios!$D$15:$F$15,1,Inputs!$C$7)</f>
        <v/>
      </c>
      <c r="R18" s="64">
        <f>-INDEX(Inputs!$C$77:$G$77,1,R5)*INDEX(Scenarios!$D$15:$F$15,1,Inputs!$C$7)</f>
        <v/>
      </c>
      <c r="S18" s="64">
        <f>-INDEX(Inputs!$C$77:$G$77,1,S5)*INDEX(Scenarios!$D$15:$F$15,1,Inputs!$C$7)</f>
        <v/>
      </c>
      <c r="T18" s="64">
        <f>-INDEX(Inputs!$C$77:$G$77,1,T5)*INDEX(Scenarios!$D$15:$F$15,1,Inputs!$C$7)</f>
        <v/>
      </c>
      <c r="U18" s="64">
        <f>-INDEX(Inputs!$C$77:$G$77,1,U5)*INDEX(Scenarios!$D$15:$F$15,1,Inputs!$C$7)</f>
        <v/>
      </c>
      <c r="V18" s="64">
        <f>-INDEX(Inputs!$C$77:$G$77,1,V5)*INDEX(Scenarios!$D$15:$F$15,1,Inputs!$C$7)</f>
        <v/>
      </c>
      <c r="W18" s="64">
        <f>-INDEX(Inputs!$C$77:$G$77,1,W5)*INDEX(Scenarios!$D$15:$F$15,1,Inputs!$C$7)</f>
        <v/>
      </c>
      <c r="X18" s="64">
        <f>-INDEX(Inputs!$C$77:$G$77,1,X5)*INDEX(Scenarios!$D$15:$F$15,1,Inputs!$C$7)</f>
        <v/>
      </c>
      <c r="Y18" s="64">
        <f>-INDEX(Inputs!$C$77:$G$77,1,Y5)*INDEX(Scenarios!$D$15:$F$15,1,Inputs!$C$7)</f>
        <v/>
      </c>
      <c r="Z18" s="64">
        <f>-INDEX(Inputs!$C$77:$G$77,1,Z5)*INDEX(Scenarios!$D$15:$F$15,1,Inputs!$C$7)</f>
        <v/>
      </c>
      <c r="AA18" s="64">
        <f>-INDEX(Inputs!$C$77:$G$77,1,AA5)*INDEX(Scenarios!$D$15:$F$15,1,Inputs!$C$7)</f>
        <v/>
      </c>
      <c r="AB18" s="64">
        <f>-INDEX(Inputs!$C$77:$G$77,1,AB5)*INDEX(Scenarios!$D$15:$F$15,1,Inputs!$C$7)</f>
        <v/>
      </c>
      <c r="AC18" s="64">
        <f>-INDEX(Inputs!$C$77:$G$77,1,AC5)*INDEX(Scenarios!$D$15:$F$15,1,Inputs!$C$7)</f>
        <v/>
      </c>
      <c r="AD18" s="64">
        <f>-INDEX(Inputs!$C$77:$G$77,1,AD5)*INDEX(Scenarios!$D$15:$F$15,1,Inputs!$C$7)</f>
        <v/>
      </c>
      <c r="AE18" s="64">
        <f>-INDEX(Inputs!$C$77:$G$77,1,AE5)*INDEX(Scenarios!$D$15:$F$15,1,Inputs!$C$7)</f>
        <v/>
      </c>
      <c r="AF18" s="64">
        <f>-INDEX(Inputs!$C$77:$G$77,1,AF5)*INDEX(Scenarios!$D$15:$F$15,1,Inputs!$C$7)</f>
        <v/>
      </c>
      <c r="AG18" s="64">
        <f>-INDEX(Inputs!$C$77:$G$77,1,AG5)*INDEX(Scenarios!$D$15:$F$15,1,Inputs!$C$7)</f>
        <v/>
      </c>
      <c r="AH18" s="64">
        <f>-INDEX(Inputs!$C$77:$G$77,1,AH5)*INDEX(Scenarios!$D$15:$F$15,1,Inputs!$C$7)</f>
        <v/>
      </c>
      <c r="AI18" s="64">
        <f>-INDEX(Inputs!$C$77:$G$77,1,AI5)*INDEX(Scenarios!$D$15:$F$15,1,Inputs!$C$7)</f>
        <v/>
      </c>
      <c r="AJ18" s="64">
        <f>-INDEX(Inputs!$C$77:$G$77,1,AJ5)*INDEX(Scenarios!$D$15:$F$15,1,Inputs!$C$7)</f>
        <v/>
      </c>
      <c r="AK18" s="64">
        <f>-INDEX(Inputs!$C$77:$G$77,1,AK5)*INDEX(Scenarios!$D$15:$F$15,1,Inputs!$C$7)</f>
        <v/>
      </c>
      <c r="AL18" s="64">
        <f>-INDEX(Inputs!$C$77:$G$77,1,AL5)*INDEX(Scenarios!$D$15:$F$15,1,Inputs!$C$7)</f>
        <v/>
      </c>
      <c r="AM18" s="64">
        <f>-INDEX(Inputs!$C$77:$G$77,1,AM5)*INDEX(Scenarios!$D$15:$F$15,1,Inputs!$C$7)</f>
        <v/>
      </c>
      <c r="AN18" s="64">
        <f>-INDEX(Inputs!$C$77:$G$77,1,AN5)*INDEX(Scenarios!$D$15:$F$15,1,Inputs!$C$7)</f>
        <v/>
      </c>
      <c r="AO18" s="64">
        <f>-INDEX(Inputs!$C$77:$G$77,1,AO5)*INDEX(Scenarios!$D$15:$F$15,1,Inputs!$C$7)</f>
        <v/>
      </c>
      <c r="AP18" s="64">
        <f>-INDEX(Inputs!$C$77:$G$77,1,AP5)*INDEX(Scenarios!$D$15:$F$15,1,Inputs!$C$7)</f>
        <v/>
      </c>
      <c r="AQ18" s="64">
        <f>-INDEX(Inputs!$C$77:$G$77,1,AQ5)*INDEX(Scenarios!$D$15:$F$15,1,Inputs!$C$7)</f>
        <v/>
      </c>
      <c r="AR18" s="64">
        <f>-INDEX(Inputs!$C$77:$G$77,1,AR5)*INDEX(Scenarios!$D$15:$F$15,1,Inputs!$C$7)</f>
        <v/>
      </c>
      <c r="AS18" s="64">
        <f>-INDEX(Inputs!$C$77:$G$77,1,AS5)*INDEX(Scenarios!$D$15:$F$15,1,Inputs!$C$7)</f>
        <v/>
      </c>
      <c r="AT18" s="64">
        <f>-INDEX(Inputs!$C$77:$G$77,1,AT5)*INDEX(Scenarios!$D$15:$F$15,1,Inputs!$C$7)</f>
        <v/>
      </c>
      <c r="AU18" s="64">
        <f>-INDEX(Inputs!$C$77:$G$77,1,AU5)*INDEX(Scenarios!$D$15:$F$15,1,Inputs!$C$7)</f>
        <v/>
      </c>
      <c r="AV18" s="64">
        <f>-INDEX(Inputs!$C$77:$G$77,1,AV5)*INDEX(Scenarios!$D$15:$F$15,1,Inputs!$C$7)</f>
        <v/>
      </c>
      <c r="AW18" s="64">
        <f>-INDEX(Inputs!$C$77:$G$77,1,AW5)*INDEX(Scenarios!$D$15:$F$15,1,Inputs!$C$7)</f>
        <v/>
      </c>
      <c r="AX18" s="64">
        <f>-INDEX(Inputs!$C$77:$G$77,1,AX5)*INDEX(Scenarios!$D$15:$F$15,1,Inputs!$C$7)</f>
        <v/>
      </c>
      <c r="AY18" s="64">
        <f>-INDEX(Inputs!$C$77:$G$77,1,AY5)*INDEX(Scenarios!$D$15:$F$15,1,Inputs!$C$7)</f>
        <v/>
      </c>
      <c r="AZ18" s="64">
        <f>-INDEX(Inputs!$C$77:$G$77,1,AZ5)*INDEX(Scenarios!$D$15:$F$15,1,Inputs!$C$7)</f>
        <v/>
      </c>
      <c r="BA18" s="64">
        <f>-INDEX(Inputs!$C$77:$G$77,1,BA5)*INDEX(Scenarios!$D$15:$F$15,1,Inputs!$C$7)</f>
        <v/>
      </c>
      <c r="BB18" s="64">
        <f>-INDEX(Inputs!$C$77:$G$77,1,BB5)*INDEX(Scenarios!$D$15:$F$15,1,Inputs!$C$7)</f>
        <v/>
      </c>
      <c r="BC18" s="64">
        <f>-INDEX(Inputs!$C$77:$G$77,1,BC5)*INDEX(Scenarios!$D$15:$F$15,1,Inputs!$C$7)</f>
        <v/>
      </c>
      <c r="BD18" s="64">
        <f>-INDEX(Inputs!$C$77:$G$77,1,BD5)*INDEX(Scenarios!$D$15:$F$15,1,Inputs!$C$7)</f>
        <v/>
      </c>
      <c r="BE18" s="64">
        <f>-INDEX(Inputs!$C$77:$G$77,1,BE5)*INDEX(Scenarios!$D$15:$F$15,1,Inputs!$C$7)</f>
        <v/>
      </c>
      <c r="BF18" s="64">
        <f>-INDEX(Inputs!$C$77:$G$77,1,BF5)*INDEX(Scenarios!$D$15:$F$15,1,Inputs!$C$7)</f>
        <v/>
      </c>
      <c r="BG18" s="64">
        <f>-INDEX(Inputs!$C$77:$G$77,1,BG5)*INDEX(Scenarios!$D$15:$F$15,1,Inputs!$C$7)</f>
        <v/>
      </c>
      <c r="BH18" s="64">
        <f>-INDEX(Inputs!$C$77:$G$77,1,BH5)*INDEX(Scenarios!$D$15:$F$15,1,Inputs!$C$7)</f>
        <v/>
      </c>
      <c r="BI18" s="64">
        <f>-INDEX(Inputs!$C$77:$G$77,1,BI5)*INDEX(Scenarios!$D$15:$F$15,1,Inputs!$C$7)</f>
        <v/>
      </c>
      <c r="BJ18" s="64">
        <f>-INDEX(Inputs!$C$77:$G$77,1,BJ5)*INDEX(Scenarios!$D$15:$F$15,1,Inputs!$C$7)</f>
        <v/>
      </c>
      <c r="BK18" s="64">
        <f>-INDEX(Inputs!$C$77:$G$77,1,BK5)*INDEX(Scenarios!$D$15:$F$15,1,Inputs!$C$7)</f>
        <v/>
      </c>
    </row>
    <row r="19">
      <c r="B19" s="61" t="inlineStr">
        <is>
          <t xml:space="preserve">    Personnel</t>
        </is>
      </c>
      <c r="C19" s="92" t="inlineStr">
        <is>
          <t>EUR</t>
        </is>
      </c>
      <c r="D19" s="64">
        <f>-(INDEX(Inputs!$C$74:$G$74,1,D5)+INDEX(Inputs!$C$75:$G$75,1,D5)+INDEX(Inputs!$C$76:$G$76,1,D5)+IF(D4&gt;=Inputs!$C$14,INDEX(Inputs!$C$82:$G$82,1,D5),0))</f>
        <v/>
      </c>
      <c r="E19" s="64">
        <f>-(INDEX(Inputs!$C$74:$G$74,1,E5)+INDEX(Inputs!$C$75:$G$75,1,E5)+INDEX(Inputs!$C$76:$G$76,1,E5)+IF(E4&gt;=Inputs!$C$14,INDEX(Inputs!$C$82:$G$82,1,E5),0))</f>
        <v/>
      </c>
      <c r="F19" s="64">
        <f>-(INDEX(Inputs!$C$74:$G$74,1,F5)+INDEX(Inputs!$C$75:$G$75,1,F5)+INDEX(Inputs!$C$76:$G$76,1,F5)+IF(F4&gt;=Inputs!$C$14,INDEX(Inputs!$C$82:$G$82,1,F5),0))</f>
        <v/>
      </c>
      <c r="G19" s="64">
        <f>-(INDEX(Inputs!$C$74:$G$74,1,G5)+INDEX(Inputs!$C$75:$G$75,1,G5)+INDEX(Inputs!$C$76:$G$76,1,G5)+IF(G4&gt;=Inputs!$C$14,INDEX(Inputs!$C$82:$G$82,1,G5),0))</f>
        <v/>
      </c>
      <c r="H19" s="64">
        <f>-(INDEX(Inputs!$C$74:$G$74,1,H5)+INDEX(Inputs!$C$75:$G$75,1,H5)+INDEX(Inputs!$C$76:$G$76,1,H5)+IF(H4&gt;=Inputs!$C$14,INDEX(Inputs!$C$82:$G$82,1,H5),0))</f>
        <v/>
      </c>
      <c r="I19" s="64">
        <f>-(INDEX(Inputs!$C$74:$G$74,1,I5)+INDEX(Inputs!$C$75:$G$75,1,I5)+INDEX(Inputs!$C$76:$G$76,1,I5)+IF(I4&gt;=Inputs!$C$14,INDEX(Inputs!$C$82:$G$82,1,I5),0))</f>
        <v/>
      </c>
      <c r="J19" s="64">
        <f>-(INDEX(Inputs!$C$74:$G$74,1,J5)+INDEX(Inputs!$C$75:$G$75,1,J5)+INDEX(Inputs!$C$76:$G$76,1,J5)+IF(J4&gt;=Inputs!$C$14,INDEX(Inputs!$C$82:$G$82,1,J5),0))</f>
        <v/>
      </c>
      <c r="K19" s="64">
        <f>-(INDEX(Inputs!$C$74:$G$74,1,K5)+INDEX(Inputs!$C$75:$G$75,1,K5)+INDEX(Inputs!$C$76:$G$76,1,K5)+IF(K4&gt;=Inputs!$C$14,INDEX(Inputs!$C$82:$G$82,1,K5),0))</f>
        <v/>
      </c>
      <c r="L19" s="64">
        <f>-(INDEX(Inputs!$C$74:$G$74,1,L5)+INDEX(Inputs!$C$75:$G$75,1,L5)+INDEX(Inputs!$C$76:$G$76,1,L5)+IF(L4&gt;=Inputs!$C$14,INDEX(Inputs!$C$82:$G$82,1,L5),0))</f>
        <v/>
      </c>
      <c r="M19" s="64">
        <f>-(INDEX(Inputs!$C$74:$G$74,1,M5)+INDEX(Inputs!$C$75:$G$75,1,M5)+INDEX(Inputs!$C$76:$G$76,1,M5)+IF(M4&gt;=Inputs!$C$14,INDEX(Inputs!$C$82:$G$82,1,M5),0))</f>
        <v/>
      </c>
      <c r="N19" s="64">
        <f>-(INDEX(Inputs!$C$74:$G$74,1,N5)+INDEX(Inputs!$C$75:$G$75,1,N5)+INDEX(Inputs!$C$76:$G$76,1,N5)+IF(N4&gt;=Inputs!$C$14,INDEX(Inputs!$C$82:$G$82,1,N5),0))</f>
        <v/>
      </c>
      <c r="O19" s="64">
        <f>-(INDEX(Inputs!$C$74:$G$74,1,O5)+INDEX(Inputs!$C$75:$G$75,1,O5)+INDEX(Inputs!$C$76:$G$76,1,O5)+IF(O4&gt;=Inputs!$C$14,INDEX(Inputs!$C$82:$G$82,1,O5),0))</f>
        <v/>
      </c>
      <c r="P19" s="64">
        <f>-(INDEX(Inputs!$C$74:$G$74,1,P5)+INDEX(Inputs!$C$75:$G$75,1,P5)+INDEX(Inputs!$C$76:$G$76,1,P5)+IF(P4&gt;=Inputs!$C$14,INDEX(Inputs!$C$82:$G$82,1,P5),0))</f>
        <v/>
      </c>
      <c r="Q19" s="64">
        <f>-(INDEX(Inputs!$C$74:$G$74,1,Q5)+INDEX(Inputs!$C$75:$G$75,1,Q5)+INDEX(Inputs!$C$76:$G$76,1,Q5)+IF(Q4&gt;=Inputs!$C$14,INDEX(Inputs!$C$82:$G$82,1,Q5),0))</f>
        <v/>
      </c>
      <c r="R19" s="64">
        <f>-(INDEX(Inputs!$C$74:$G$74,1,R5)+INDEX(Inputs!$C$75:$G$75,1,R5)+INDEX(Inputs!$C$76:$G$76,1,R5)+IF(R4&gt;=Inputs!$C$14,INDEX(Inputs!$C$82:$G$82,1,R5),0))</f>
        <v/>
      </c>
      <c r="S19" s="64">
        <f>-(INDEX(Inputs!$C$74:$G$74,1,S5)+INDEX(Inputs!$C$75:$G$75,1,S5)+INDEX(Inputs!$C$76:$G$76,1,S5)+IF(S4&gt;=Inputs!$C$14,INDEX(Inputs!$C$82:$G$82,1,S5),0))</f>
        <v/>
      </c>
      <c r="T19" s="64">
        <f>-(INDEX(Inputs!$C$74:$G$74,1,T5)+INDEX(Inputs!$C$75:$G$75,1,T5)+INDEX(Inputs!$C$76:$G$76,1,T5)+IF(T4&gt;=Inputs!$C$14,INDEX(Inputs!$C$82:$G$82,1,T5),0))</f>
        <v/>
      </c>
      <c r="U19" s="64">
        <f>-(INDEX(Inputs!$C$74:$G$74,1,U5)+INDEX(Inputs!$C$75:$G$75,1,U5)+INDEX(Inputs!$C$76:$G$76,1,U5)+IF(U4&gt;=Inputs!$C$14,INDEX(Inputs!$C$82:$G$82,1,U5),0))</f>
        <v/>
      </c>
      <c r="V19" s="64">
        <f>-(INDEX(Inputs!$C$74:$G$74,1,V5)+INDEX(Inputs!$C$75:$G$75,1,V5)+INDEX(Inputs!$C$76:$G$76,1,V5)+IF(V4&gt;=Inputs!$C$14,INDEX(Inputs!$C$82:$G$82,1,V5),0))</f>
        <v/>
      </c>
      <c r="W19" s="64">
        <f>-(INDEX(Inputs!$C$74:$G$74,1,W5)+INDEX(Inputs!$C$75:$G$75,1,W5)+INDEX(Inputs!$C$76:$G$76,1,W5)+IF(W4&gt;=Inputs!$C$14,INDEX(Inputs!$C$82:$G$82,1,W5),0))</f>
        <v/>
      </c>
      <c r="X19" s="64">
        <f>-(INDEX(Inputs!$C$74:$G$74,1,X5)+INDEX(Inputs!$C$75:$G$75,1,X5)+INDEX(Inputs!$C$76:$G$76,1,X5)+IF(X4&gt;=Inputs!$C$14,INDEX(Inputs!$C$82:$G$82,1,X5),0))</f>
        <v/>
      </c>
      <c r="Y19" s="64">
        <f>-(INDEX(Inputs!$C$74:$G$74,1,Y5)+INDEX(Inputs!$C$75:$G$75,1,Y5)+INDEX(Inputs!$C$76:$G$76,1,Y5)+IF(Y4&gt;=Inputs!$C$14,INDEX(Inputs!$C$82:$G$82,1,Y5),0))</f>
        <v/>
      </c>
      <c r="Z19" s="64">
        <f>-(INDEX(Inputs!$C$74:$G$74,1,Z5)+INDEX(Inputs!$C$75:$G$75,1,Z5)+INDEX(Inputs!$C$76:$G$76,1,Z5)+IF(Z4&gt;=Inputs!$C$14,INDEX(Inputs!$C$82:$G$82,1,Z5),0))</f>
        <v/>
      </c>
      <c r="AA19" s="64">
        <f>-(INDEX(Inputs!$C$74:$G$74,1,AA5)+INDEX(Inputs!$C$75:$G$75,1,AA5)+INDEX(Inputs!$C$76:$G$76,1,AA5)+IF(AA4&gt;=Inputs!$C$14,INDEX(Inputs!$C$82:$G$82,1,AA5),0))</f>
        <v/>
      </c>
      <c r="AB19" s="64">
        <f>-(INDEX(Inputs!$C$74:$G$74,1,AB5)+INDEX(Inputs!$C$75:$G$75,1,AB5)+INDEX(Inputs!$C$76:$G$76,1,AB5)+IF(AB4&gt;=Inputs!$C$14,INDEX(Inputs!$C$82:$G$82,1,AB5),0))</f>
        <v/>
      </c>
      <c r="AC19" s="64">
        <f>-(INDEX(Inputs!$C$74:$G$74,1,AC5)+INDEX(Inputs!$C$75:$G$75,1,AC5)+INDEX(Inputs!$C$76:$G$76,1,AC5)+IF(AC4&gt;=Inputs!$C$14,INDEX(Inputs!$C$82:$G$82,1,AC5),0))</f>
        <v/>
      </c>
      <c r="AD19" s="64">
        <f>-(INDEX(Inputs!$C$74:$G$74,1,AD5)+INDEX(Inputs!$C$75:$G$75,1,AD5)+INDEX(Inputs!$C$76:$G$76,1,AD5)+IF(AD4&gt;=Inputs!$C$14,INDEX(Inputs!$C$82:$G$82,1,AD5),0))</f>
        <v/>
      </c>
      <c r="AE19" s="64">
        <f>-(INDEX(Inputs!$C$74:$G$74,1,AE5)+INDEX(Inputs!$C$75:$G$75,1,AE5)+INDEX(Inputs!$C$76:$G$76,1,AE5)+IF(AE4&gt;=Inputs!$C$14,INDEX(Inputs!$C$82:$G$82,1,AE5),0))</f>
        <v/>
      </c>
      <c r="AF19" s="64">
        <f>-(INDEX(Inputs!$C$74:$G$74,1,AF5)+INDEX(Inputs!$C$75:$G$75,1,AF5)+INDEX(Inputs!$C$76:$G$76,1,AF5)+IF(AF4&gt;=Inputs!$C$14,INDEX(Inputs!$C$82:$G$82,1,AF5),0))</f>
        <v/>
      </c>
      <c r="AG19" s="64">
        <f>-(INDEX(Inputs!$C$74:$G$74,1,AG5)+INDEX(Inputs!$C$75:$G$75,1,AG5)+INDEX(Inputs!$C$76:$G$76,1,AG5)+IF(AG4&gt;=Inputs!$C$14,INDEX(Inputs!$C$82:$G$82,1,AG5),0))</f>
        <v/>
      </c>
      <c r="AH19" s="64">
        <f>-(INDEX(Inputs!$C$74:$G$74,1,AH5)+INDEX(Inputs!$C$75:$G$75,1,AH5)+INDEX(Inputs!$C$76:$G$76,1,AH5)+IF(AH4&gt;=Inputs!$C$14,INDEX(Inputs!$C$82:$G$82,1,AH5),0))</f>
        <v/>
      </c>
      <c r="AI19" s="64">
        <f>-(INDEX(Inputs!$C$74:$G$74,1,AI5)+INDEX(Inputs!$C$75:$G$75,1,AI5)+INDEX(Inputs!$C$76:$G$76,1,AI5)+IF(AI4&gt;=Inputs!$C$14,INDEX(Inputs!$C$82:$G$82,1,AI5),0))</f>
        <v/>
      </c>
      <c r="AJ19" s="64">
        <f>-(INDEX(Inputs!$C$74:$G$74,1,AJ5)+INDEX(Inputs!$C$75:$G$75,1,AJ5)+INDEX(Inputs!$C$76:$G$76,1,AJ5)+IF(AJ4&gt;=Inputs!$C$14,INDEX(Inputs!$C$82:$G$82,1,AJ5),0))</f>
        <v/>
      </c>
      <c r="AK19" s="64">
        <f>-(INDEX(Inputs!$C$74:$G$74,1,AK5)+INDEX(Inputs!$C$75:$G$75,1,AK5)+INDEX(Inputs!$C$76:$G$76,1,AK5)+IF(AK4&gt;=Inputs!$C$14,INDEX(Inputs!$C$82:$G$82,1,AK5),0))</f>
        <v/>
      </c>
      <c r="AL19" s="64">
        <f>-(INDEX(Inputs!$C$74:$G$74,1,AL5)+INDEX(Inputs!$C$75:$G$75,1,AL5)+INDEX(Inputs!$C$76:$G$76,1,AL5)+IF(AL4&gt;=Inputs!$C$14,INDEX(Inputs!$C$82:$G$82,1,AL5),0))</f>
        <v/>
      </c>
      <c r="AM19" s="64">
        <f>-(INDEX(Inputs!$C$74:$G$74,1,AM5)+INDEX(Inputs!$C$75:$G$75,1,AM5)+INDEX(Inputs!$C$76:$G$76,1,AM5)+IF(AM4&gt;=Inputs!$C$14,INDEX(Inputs!$C$82:$G$82,1,AM5),0))</f>
        <v/>
      </c>
      <c r="AN19" s="64">
        <f>-(INDEX(Inputs!$C$74:$G$74,1,AN5)+INDEX(Inputs!$C$75:$G$75,1,AN5)+INDEX(Inputs!$C$76:$G$76,1,AN5)+IF(AN4&gt;=Inputs!$C$14,INDEX(Inputs!$C$82:$G$82,1,AN5),0))</f>
        <v/>
      </c>
      <c r="AO19" s="64">
        <f>-(INDEX(Inputs!$C$74:$G$74,1,AO5)+INDEX(Inputs!$C$75:$G$75,1,AO5)+INDEX(Inputs!$C$76:$G$76,1,AO5)+IF(AO4&gt;=Inputs!$C$14,INDEX(Inputs!$C$82:$G$82,1,AO5),0))</f>
        <v/>
      </c>
      <c r="AP19" s="64">
        <f>-(INDEX(Inputs!$C$74:$G$74,1,AP5)+INDEX(Inputs!$C$75:$G$75,1,AP5)+INDEX(Inputs!$C$76:$G$76,1,AP5)+IF(AP4&gt;=Inputs!$C$14,INDEX(Inputs!$C$82:$G$82,1,AP5),0))</f>
        <v/>
      </c>
      <c r="AQ19" s="64">
        <f>-(INDEX(Inputs!$C$74:$G$74,1,AQ5)+INDEX(Inputs!$C$75:$G$75,1,AQ5)+INDEX(Inputs!$C$76:$G$76,1,AQ5)+IF(AQ4&gt;=Inputs!$C$14,INDEX(Inputs!$C$82:$G$82,1,AQ5),0))</f>
        <v/>
      </c>
      <c r="AR19" s="64">
        <f>-(INDEX(Inputs!$C$74:$G$74,1,AR5)+INDEX(Inputs!$C$75:$G$75,1,AR5)+INDEX(Inputs!$C$76:$G$76,1,AR5)+IF(AR4&gt;=Inputs!$C$14,INDEX(Inputs!$C$82:$G$82,1,AR5),0))</f>
        <v/>
      </c>
      <c r="AS19" s="64">
        <f>-(INDEX(Inputs!$C$74:$G$74,1,AS5)+INDEX(Inputs!$C$75:$G$75,1,AS5)+INDEX(Inputs!$C$76:$G$76,1,AS5)+IF(AS4&gt;=Inputs!$C$14,INDEX(Inputs!$C$82:$G$82,1,AS5),0))</f>
        <v/>
      </c>
      <c r="AT19" s="64">
        <f>-(INDEX(Inputs!$C$74:$G$74,1,AT5)+INDEX(Inputs!$C$75:$G$75,1,AT5)+INDEX(Inputs!$C$76:$G$76,1,AT5)+IF(AT4&gt;=Inputs!$C$14,INDEX(Inputs!$C$82:$G$82,1,AT5),0))</f>
        <v/>
      </c>
      <c r="AU19" s="64">
        <f>-(INDEX(Inputs!$C$74:$G$74,1,AU5)+INDEX(Inputs!$C$75:$G$75,1,AU5)+INDEX(Inputs!$C$76:$G$76,1,AU5)+IF(AU4&gt;=Inputs!$C$14,INDEX(Inputs!$C$82:$G$82,1,AU5),0))</f>
        <v/>
      </c>
      <c r="AV19" s="64">
        <f>-(INDEX(Inputs!$C$74:$G$74,1,AV5)+INDEX(Inputs!$C$75:$G$75,1,AV5)+INDEX(Inputs!$C$76:$G$76,1,AV5)+IF(AV4&gt;=Inputs!$C$14,INDEX(Inputs!$C$82:$G$82,1,AV5),0))</f>
        <v/>
      </c>
      <c r="AW19" s="64">
        <f>-(INDEX(Inputs!$C$74:$G$74,1,AW5)+INDEX(Inputs!$C$75:$G$75,1,AW5)+INDEX(Inputs!$C$76:$G$76,1,AW5)+IF(AW4&gt;=Inputs!$C$14,INDEX(Inputs!$C$82:$G$82,1,AW5),0))</f>
        <v/>
      </c>
      <c r="AX19" s="64">
        <f>-(INDEX(Inputs!$C$74:$G$74,1,AX5)+INDEX(Inputs!$C$75:$G$75,1,AX5)+INDEX(Inputs!$C$76:$G$76,1,AX5)+IF(AX4&gt;=Inputs!$C$14,INDEX(Inputs!$C$82:$G$82,1,AX5),0))</f>
        <v/>
      </c>
      <c r="AY19" s="64">
        <f>-(INDEX(Inputs!$C$74:$G$74,1,AY5)+INDEX(Inputs!$C$75:$G$75,1,AY5)+INDEX(Inputs!$C$76:$G$76,1,AY5)+IF(AY4&gt;=Inputs!$C$14,INDEX(Inputs!$C$82:$G$82,1,AY5),0))</f>
        <v/>
      </c>
      <c r="AZ19" s="64">
        <f>-(INDEX(Inputs!$C$74:$G$74,1,AZ5)+INDEX(Inputs!$C$75:$G$75,1,AZ5)+INDEX(Inputs!$C$76:$G$76,1,AZ5)+IF(AZ4&gt;=Inputs!$C$14,INDEX(Inputs!$C$82:$G$82,1,AZ5),0))</f>
        <v/>
      </c>
      <c r="BA19" s="64">
        <f>-(INDEX(Inputs!$C$74:$G$74,1,BA5)+INDEX(Inputs!$C$75:$G$75,1,BA5)+INDEX(Inputs!$C$76:$G$76,1,BA5)+IF(BA4&gt;=Inputs!$C$14,INDEX(Inputs!$C$82:$G$82,1,BA5),0))</f>
        <v/>
      </c>
      <c r="BB19" s="64">
        <f>-(INDEX(Inputs!$C$74:$G$74,1,BB5)+INDEX(Inputs!$C$75:$G$75,1,BB5)+INDEX(Inputs!$C$76:$G$76,1,BB5)+IF(BB4&gt;=Inputs!$C$14,INDEX(Inputs!$C$82:$G$82,1,BB5),0))</f>
        <v/>
      </c>
      <c r="BC19" s="64">
        <f>-(INDEX(Inputs!$C$74:$G$74,1,BC5)+INDEX(Inputs!$C$75:$G$75,1,BC5)+INDEX(Inputs!$C$76:$G$76,1,BC5)+IF(BC4&gt;=Inputs!$C$14,INDEX(Inputs!$C$82:$G$82,1,BC5),0))</f>
        <v/>
      </c>
      <c r="BD19" s="64">
        <f>-(INDEX(Inputs!$C$74:$G$74,1,BD5)+INDEX(Inputs!$C$75:$G$75,1,BD5)+INDEX(Inputs!$C$76:$G$76,1,BD5)+IF(BD4&gt;=Inputs!$C$14,INDEX(Inputs!$C$82:$G$82,1,BD5),0))</f>
        <v/>
      </c>
      <c r="BE19" s="64">
        <f>-(INDEX(Inputs!$C$74:$G$74,1,BE5)+INDEX(Inputs!$C$75:$G$75,1,BE5)+INDEX(Inputs!$C$76:$G$76,1,BE5)+IF(BE4&gt;=Inputs!$C$14,INDEX(Inputs!$C$82:$G$82,1,BE5),0))</f>
        <v/>
      </c>
      <c r="BF19" s="64">
        <f>-(INDEX(Inputs!$C$74:$G$74,1,BF5)+INDEX(Inputs!$C$75:$G$75,1,BF5)+INDEX(Inputs!$C$76:$G$76,1,BF5)+IF(BF4&gt;=Inputs!$C$14,INDEX(Inputs!$C$82:$G$82,1,BF5),0))</f>
        <v/>
      </c>
      <c r="BG19" s="64">
        <f>-(INDEX(Inputs!$C$74:$G$74,1,BG5)+INDEX(Inputs!$C$75:$G$75,1,BG5)+INDEX(Inputs!$C$76:$G$76,1,BG5)+IF(BG4&gt;=Inputs!$C$14,INDEX(Inputs!$C$82:$G$82,1,BG5),0))</f>
        <v/>
      </c>
      <c r="BH19" s="64">
        <f>-(INDEX(Inputs!$C$74:$G$74,1,BH5)+INDEX(Inputs!$C$75:$G$75,1,BH5)+INDEX(Inputs!$C$76:$G$76,1,BH5)+IF(BH4&gt;=Inputs!$C$14,INDEX(Inputs!$C$82:$G$82,1,BH5),0))</f>
        <v/>
      </c>
      <c r="BI19" s="64">
        <f>-(INDEX(Inputs!$C$74:$G$74,1,BI5)+INDEX(Inputs!$C$75:$G$75,1,BI5)+INDEX(Inputs!$C$76:$G$76,1,BI5)+IF(BI4&gt;=Inputs!$C$14,INDEX(Inputs!$C$82:$G$82,1,BI5),0))</f>
        <v/>
      </c>
      <c r="BJ19" s="64">
        <f>-(INDEX(Inputs!$C$74:$G$74,1,BJ5)+INDEX(Inputs!$C$75:$G$75,1,BJ5)+INDEX(Inputs!$C$76:$G$76,1,BJ5)+IF(BJ4&gt;=Inputs!$C$14,INDEX(Inputs!$C$82:$G$82,1,BJ5),0))</f>
        <v/>
      </c>
      <c r="BK19" s="64">
        <f>-(INDEX(Inputs!$C$74:$G$74,1,BK5)+INDEX(Inputs!$C$75:$G$75,1,BK5)+INDEX(Inputs!$C$76:$G$76,1,BK5)+IF(BK4&gt;=Inputs!$C$14,INDEX(Inputs!$C$82:$G$82,1,BK5),0))</f>
        <v/>
      </c>
    </row>
    <row r="20">
      <c r="B20" s="61" t="inlineStr">
        <is>
          <t xml:space="preserve">    Cloud &amp; tools</t>
        </is>
      </c>
      <c r="C20" s="92" t="inlineStr">
        <is>
          <t>EUR</t>
        </is>
      </c>
      <c r="D20" s="64">
        <f>-INDEX(Inputs!$C$78:$G$78,1,D5)</f>
        <v/>
      </c>
      <c r="E20" s="64">
        <f>-INDEX(Inputs!$C$78:$G$78,1,E5)</f>
        <v/>
      </c>
      <c r="F20" s="64">
        <f>-INDEX(Inputs!$C$78:$G$78,1,F5)</f>
        <v/>
      </c>
      <c r="G20" s="64">
        <f>-INDEX(Inputs!$C$78:$G$78,1,G5)</f>
        <v/>
      </c>
      <c r="H20" s="64">
        <f>-INDEX(Inputs!$C$78:$G$78,1,H5)</f>
        <v/>
      </c>
      <c r="I20" s="64">
        <f>-INDEX(Inputs!$C$78:$G$78,1,I5)</f>
        <v/>
      </c>
      <c r="J20" s="64">
        <f>-INDEX(Inputs!$C$78:$G$78,1,J5)</f>
        <v/>
      </c>
      <c r="K20" s="64">
        <f>-INDEX(Inputs!$C$78:$G$78,1,K5)</f>
        <v/>
      </c>
      <c r="L20" s="64">
        <f>-INDEX(Inputs!$C$78:$G$78,1,L5)</f>
        <v/>
      </c>
      <c r="M20" s="64">
        <f>-INDEX(Inputs!$C$78:$G$78,1,M5)</f>
        <v/>
      </c>
      <c r="N20" s="64">
        <f>-INDEX(Inputs!$C$78:$G$78,1,N5)</f>
        <v/>
      </c>
      <c r="O20" s="64">
        <f>-INDEX(Inputs!$C$78:$G$78,1,O5)</f>
        <v/>
      </c>
      <c r="P20" s="64">
        <f>-INDEX(Inputs!$C$78:$G$78,1,P5)</f>
        <v/>
      </c>
      <c r="Q20" s="64">
        <f>-INDEX(Inputs!$C$78:$G$78,1,Q5)</f>
        <v/>
      </c>
      <c r="R20" s="64">
        <f>-INDEX(Inputs!$C$78:$G$78,1,R5)</f>
        <v/>
      </c>
      <c r="S20" s="64">
        <f>-INDEX(Inputs!$C$78:$G$78,1,S5)</f>
        <v/>
      </c>
      <c r="T20" s="64">
        <f>-INDEX(Inputs!$C$78:$G$78,1,T5)</f>
        <v/>
      </c>
      <c r="U20" s="64">
        <f>-INDEX(Inputs!$C$78:$G$78,1,U5)</f>
        <v/>
      </c>
      <c r="V20" s="64">
        <f>-INDEX(Inputs!$C$78:$G$78,1,V5)</f>
        <v/>
      </c>
      <c r="W20" s="64">
        <f>-INDEX(Inputs!$C$78:$G$78,1,W5)</f>
        <v/>
      </c>
      <c r="X20" s="64">
        <f>-INDEX(Inputs!$C$78:$G$78,1,X5)</f>
        <v/>
      </c>
      <c r="Y20" s="64">
        <f>-INDEX(Inputs!$C$78:$G$78,1,Y5)</f>
        <v/>
      </c>
      <c r="Z20" s="64">
        <f>-INDEX(Inputs!$C$78:$G$78,1,Z5)</f>
        <v/>
      </c>
      <c r="AA20" s="64">
        <f>-INDEX(Inputs!$C$78:$G$78,1,AA5)</f>
        <v/>
      </c>
      <c r="AB20" s="64">
        <f>-INDEX(Inputs!$C$78:$G$78,1,AB5)</f>
        <v/>
      </c>
      <c r="AC20" s="64">
        <f>-INDEX(Inputs!$C$78:$G$78,1,AC5)</f>
        <v/>
      </c>
      <c r="AD20" s="64">
        <f>-INDEX(Inputs!$C$78:$G$78,1,AD5)</f>
        <v/>
      </c>
      <c r="AE20" s="64">
        <f>-INDEX(Inputs!$C$78:$G$78,1,AE5)</f>
        <v/>
      </c>
      <c r="AF20" s="64">
        <f>-INDEX(Inputs!$C$78:$G$78,1,AF5)</f>
        <v/>
      </c>
      <c r="AG20" s="64">
        <f>-INDEX(Inputs!$C$78:$G$78,1,AG5)</f>
        <v/>
      </c>
      <c r="AH20" s="64">
        <f>-INDEX(Inputs!$C$78:$G$78,1,AH5)</f>
        <v/>
      </c>
      <c r="AI20" s="64">
        <f>-INDEX(Inputs!$C$78:$G$78,1,AI5)</f>
        <v/>
      </c>
      <c r="AJ20" s="64">
        <f>-INDEX(Inputs!$C$78:$G$78,1,AJ5)</f>
        <v/>
      </c>
      <c r="AK20" s="64">
        <f>-INDEX(Inputs!$C$78:$G$78,1,AK5)</f>
        <v/>
      </c>
      <c r="AL20" s="64">
        <f>-INDEX(Inputs!$C$78:$G$78,1,AL5)</f>
        <v/>
      </c>
      <c r="AM20" s="64">
        <f>-INDEX(Inputs!$C$78:$G$78,1,AM5)</f>
        <v/>
      </c>
      <c r="AN20" s="64">
        <f>-INDEX(Inputs!$C$78:$G$78,1,AN5)</f>
        <v/>
      </c>
      <c r="AO20" s="64">
        <f>-INDEX(Inputs!$C$78:$G$78,1,AO5)</f>
        <v/>
      </c>
      <c r="AP20" s="64">
        <f>-INDEX(Inputs!$C$78:$G$78,1,AP5)</f>
        <v/>
      </c>
      <c r="AQ20" s="64">
        <f>-INDEX(Inputs!$C$78:$G$78,1,AQ5)</f>
        <v/>
      </c>
      <c r="AR20" s="64">
        <f>-INDEX(Inputs!$C$78:$G$78,1,AR5)</f>
        <v/>
      </c>
      <c r="AS20" s="64">
        <f>-INDEX(Inputs!$C$78:$G$78,1,AS5)</f>
        <v/>
      </c>
      <c r="AT20" s="64">
        <f>-INDEX(Inputs!$C$78:$G$78,1,AT5)</f>
        <v/>
      </c>
      <c r="AU20" s="64">
        <f>-INDEX(Inputs!$C$78:$G$78,1,AU5)</f>
        <v/>
      </c>
      <c r="AV20" s="64">
        <f>-INDEX(Inputs!$C$78:$G$78,1,AV5)</f>
        <v/>
      </c>
      <c r="AW20" s="64">
        <f>-INDEX(Inputs!$C$78:$G$78,1,AW5)</f>
        <v/>
      </c>
      <c r="AX20" s="64">
        <f>-INDEX(Inputs!$C$78:$G$78,1,AX5)</f>
        <v/>
      </c>
      <c r="AY20" s="64">
        <f>-INDEX(Inputs!$C$78:$G$78,1,AY5)</f>
        <v/>
      </c>
      <c r="AZ20" s="64">
        <f>-INDEX(Inputs!$C$78:$G$78,1,AZ5)</f>
        <v/>
      </c>
      <c r="BA20" s="64">
        <f>-INDEX(Inputs!$C$78:$G$78,1,BA5)</f>
        <v/>
      </c>
      <c r="BB20" s="64">
        <f>-INDEX(Inputs!$C$78:$G$78,1,BB5)</f>
        <v/>
      </c>
      <c r="BC20" s="64">
        <f>-INDEX(Inputs!$C$78:$G$78,1,BC5)</f>
        <v/>
      </c>
      <c r="BD20" s="64">
        <f>-INDEX(Inputs!$C$78:$G$78,1,BD5)</f>
        <v/>
      </c>
      <c r="BE20" s="64">
        <f>-INDEX(Inputs!$C$78:$G$78,1,BE5)</f>
        <v/>
      </c>
      <c r="BF20" s="64">
        <f>-INDEX(Inputs!$C$78:$G$78,1,BF5)</f>
        <v/>
      </c>
      <c r="BG20" s="64">
        <f>-INDEX(Inputs!$C$78:$G$78,1,BG5)</f>
        <v/>
      </c>
      <c r="BH20" s="64">
        <f>-INDEX(Inputs!$C$78:$G$78,1,BH5)</f>
        <v/>
      </c>
      <c r="BI20" s="64">
        <f>-INDEX(Inputs!$C$78:$G$78,1,BI5)</f>
        <v/>
      </c>
      <c r="BJ20" s="64">
        <f>-INDEX(Inputs!$C$78:$G$78,1,BJ5)</f>
        <v/>
      </c>
      <c r="BK20" s="64">
        <f>-INDEX(Inputs!$C$78:$G$78,1,BK5)</f>
        <v/>
      </c>
    </row>
    <row r="21">
      <c r="B21" s="61" t="inlineStr">
        <is>
          <t xml:space="preserve">    General &amp; administrative</t>
        </is>
      </c>
      <c r="C21" s="92" t="inlineStr">
        <is>
          <t>EUR</t>
        </is>
      </c>
      <c r="D21" s="64">
        <f>-(INDEX(Inputs!$C$79:$G$79,1,D5)+INDEX(Inputs!$C$80:$G$80,1,D5)+INDEX(Inputs!$C$81:$G$81,1,D5)+INDEX(Inputs!$C$83:$G$83,1,D5))</f>
        <v/>
      </c>
      <c r="E21" s="64">
        <f>-(INDEX(Inputs!$C$79:$G$79,1,E5)+INDEX(Inputs!$C$80:$G$80,1,E5)+INDEX(Inputs!$C$81:$G$81,1,E5)+INDEX(Inputs!$C$83:$G$83,1,E5))</f>
        <v/>
      </c>
      <c r="F21" s="64">
        <f>-(INDEX(Inputs!$C$79:$G$79,1,F5)+INDEX(Inputs!$C$80:$G$80,1,F5)+INDEX(Inputs!$C$81:$G$81,1,F5)+INDEX(Inputs!$C$83:$G$83,1,F5))</f>
        <v/>
      </c>
      <c r="G21" s="64">
        <f>-(INDEX(Inputs!$C$79:$G$79,1,G5)+INDEX(Inputs!$C$80:$G$80,1,G5)+INDEX(Inputs!$C$81:$G$81,1,G5)+INDEX(Inputs!$C$83:$G$83,1,G5))</f>
        <v/>
      </c>
      <c r="H21" s="64">
        <f>-(INDEX(Inputs!$C$79:$G$79,1,H5)+INDEX(Inputs!$C$80:$G$80,1,H5)+INDEX(Inputs!$C$81:$G$81,1,H5)+INDEX(Inputs!$C$83:$G$83,1,H5))</f>
        <v/>
      </c>
      <c r="I21" s="64">
        <f>-(INDEX(Inputs!$C$79:$G$79,1,I5)+INDEX(Inputs!$C$80:$G$80,1,I5)+INDEX(Inputs!$C$81:$G$81,1,I5)+INDEX(Inputs!$C$83:$G$83,1,I5))</f>
        <v/>
      </c>
      <c r="J21" s="64">
        <f>-(INDEX(Inputs!$C$79:$G$79,1,J5)+INDEX(Inputs!$C$80:$G$80,1,J5)+INDEX(Inputs!$C$81:$G$81,1,J5)+INDEX(Inputs!$C$83:$G$83,1,J5))</f>
        <v/>
      </c>
      <c r="K21" s="64">
        <f>-(INDEX(Inputs!$C$79:$G$79,1,K5)+INDEX(Inputs!$C$80:$G$80,1,K5)+INDEX(Inputs!$C$81:$G$81,1,K5)+INDEX(Inputs!$C$83:$G$83,1,K5))</f>
        <v/>
      </c>
      <c r="L21" s="64">
        <f>-(INDEX(Inputs!$C$79:$G$79,1,L5)+INDEX(Inputs!$C$80:$G$80,1,L5)+INDEX(Inputs!$C$81:$G$81,1,L5)+INDEX(Inputs!$C$83:$G$83,1,L5))</f>
        <v/>
      </c>
      <c r="M21" s="64">
        <f>-(INDEX(Inputs!$C$79:$G$79,1,M5)+INDEX(Inputs!$C$80:$G$80,1,M5)+INDEX(Inputs!$C$81:$G$81,1,M5)+INDEX(Inputs!$C$83:$G$83,1,M5))</f>
        <v/>
      </c>
      <c r="N21" s="64">
        <f>-(INDEX(Inputs!$C$79:$G$79,1,N5)+INDEX(Inputs!$C$80:$G$80,1,N5)+INDEX(Inputs!$C$81:$G$81,1,N5)+INDEX(Inputs!$C$83:$G$83,1,N5))</f>
        <v/>
      </c>
      <c r="O21" s="64">
        <f>-(INDEX(Inputs!$C$79:$G$79,1,O5)+INDEX(Inputs!$C$80:$G$80,1,O5)+INDEX(Inputs!$C$81:$G$81,1,O5)+INDEX(Inputs!$C$83:$G$83,1,O5))</f>
        <v/>
      </c>
      <c r="P21" s="64">
        <f>-(INDEX(Inputs!$C$79:$G$79,1,P5)+INDEX(Inputs!$C$80:$G$80,1,P5)+INDEX(Inputs!$C$81:$G$81,1,P5)+INDEX(Inputs!$C$83:$G$83,1,P5))</f>
        <v/>
      </c>
      <c r="Q21" s="64">
        <f>-(INDEX(Inputs!$C$79:$G$79,1,Q5)+INDEX(Inputs!$C$80:$G$80,1,Q5)+INDEX(Inputs!$C$81:$G$81,1,Q5)+INDEX(Inputs!$C$83:$G$83,1,Q5))</f>
        <v/>
      </c>
      <c r="R21" s="64">
        <f>-(INDEX(Inputs!$C$79:$G$79,1,R5)+INDEX(Inputs!$C$80:$G$80,1,R5)+INDEX(Inputs!$C$81:$G$81,1,R5)+INDEX(Inputs!$C$83:$G$83,1,R5))</f>
        <v/>
      </c>
      <c r="S21" s="64">
        <f>-(INDEX(Inputs!$C$79:$G$79,1,S5)+INDEX(Inputs!$C$80:$G$80,1,S5)+INDEX(Inputs!$C$81:$G$81,1,S5)+INDEX(Inputs!$C$83:$G$83,1,S5))</f>
        <v/>
      </c>
      <c r="T21" s="64">
        <f>-(INDEX(Inputs!$C$79:$G$79,1,T5)+INDEX(Inputs!$C$80:$G$80,1,T5)+INDEX(Inputs!$C$81:$G$81,1,T5)+INDEX(Inputs!$C$83:$G$83,1,T5))</f>
        <v/>
      </c>
      <c r="U21" s="64">
        <f>-(INDEX(Inputs!$C$79:$G$79,1,U5)+INDEX(Inputs!$C$80:$G$80,1,U5)+INDEX(Inputs!$C$81:$G$81,1,U5)+INDEX(Inputs!$C$83:$G$83,1,U5))</f>
        <v/>
      </c>
      <c r="V21" s="64">
        <f>-(INDEX(Inputs!$C$79:$G$79,1,V5)+INDEX(Inputs!$C$80:$G$80,1,V5)+INDEX(Inputs!$C$81:$G$81,1,V5)+INDEX(Inputs!$C$83:$G$83,1,V5))</f>
        <v/>
      </c>
      <c r="W21" s="64">
        <f>-(INDEX(Inputs!$C$79:$G$79,1,W5)+INDEX(Inputs!$C$80:$G$80,1,W5)+INDEX(Inputs!$C$81:$G$81,1,W5)+INDEX(Inputs!$C$83:$G$83,1,W5))</f>
        <v/>
      </c>
      <c r="X21" s="64">
        <f>-(INDEX(Inputs!$C$79:$G$79,1,X5)+INDEX(Inputs!$C$80:$G$80,1,X5)+INDEX(Inputs!$C$81:$G$81,1,X5)+INDEX(Inputs!$C$83:$G$83,1,X5))</f>
        <v/>
      </c>
      <c r="Y21" s="64">
        <f>-(INDEX(Inputs!$C$79:$G$79,1,Y5)+INDEX(Inputs!$C$80:$G$80,1,Y5)+INDEX(Inputs!$C$81:$G$81,1,Y5)+INDEX(Inputs!$C$83:$G$83,1,Y5))</f>
        <v/>
      </c>
      <c r="Z21" s="64">
        <f>-(INDEX(Inputs!$C$79:$G$79,1,Z5)+INDEX(Inputs!$C$80:$G$80,1,Z5)+INDEX(Inputs!$C$81:$G$81,1,Z5)+INDEX(Inputs!$C$83:$G$83,1,Z5))</f>
        <v/>
      </c>
      <c r="AA21" s="64">
        <f>-(INDEX(Inputs!$C$79:$G$79,1,AA5)+INDEX(Inputs!$C$80:$G$80,1,AA5)+INDEX(Inputs!$C$81:$G$81,1,AA5)+INDEX(Inputs!$C$83:$G$83,1,AA5))</f>
        <v/>
      </c>
      <c r="AB21" s="64">
        <f>-(INDEX(Inputs!$C$79:$G$79,1,AB5)+INDEX(Inputs!$C$80:$G$80,1,AB5)+INDEX(Inputs!$C$81:$G$81,1,AB5)+INDEX(Inputs!$C$83:$G$83,1,AB5))</f>
        <v/>
      </c>
      <c r="AC21" s="64">
        <f>-(INDEX(Inputs!$C$79:$G$79,1,AC5)+INDEX(Inputs!$C$80:$G$80,1,AC5)+INDEX(Inputs!$C$81:$G$81,1,AC5)+INDEX(Inputs!$C$83:$G$83,1,AC5))</f>
        <v/>
      </c>
      <c r="AD21" s="64">
        <f>-(INDEX(Inputs!$C$79:$G$79,1,AD5)+INDEX(Inputs!$C$80:$G$80,1,AD5)+INDEX(Inputs!$C$81:$G$81,1,AD5)+INDEX(Inputs!$C$83:$G$83,1,AD5))</f>
        <v/>
      </c>
      <c r="AE21" s="64">
        <f>-(INDEX(Inputs!$C$79:$G$79,1,AE5)+INDEX(Inputs!$C$80:$G$80,1,AE5)+INDEX(Inputs!$C$81:$G$81,1,AE5)+INDEX(Inputs!$C$83:$G$83,1,AE5))</f>
        <v/>
      </c>
      <c r="AF21" s="64">
        <f>-(INDEX(Inputs!$C$79:$G$79,1,AF5)+INDEX(Inputs!$C$80:$G$80,1,AF5)+INDEX(Inputs!$C$81:$G$81,1,AF5)+INDEX(Inputs!$C$83:$G$83,1,AF5))</f>
        <v/>
      </c>
      <c r="AG21" s="64">
        <f>-(INDEX(Inputs!$C$79:$G$79,1,AG5)+INDEX(Inputs!$C$80:$G$80,1,AG5)+INDEX(Inputs!$C$81:$G$81,1,AG5)+INDEX(Inputs!$C$83:$G$83,1,AG5))</f>
        <v/>
      </c>
      <c r="AH21" s="64">
        <f>-(INDEX(Inputs!$C$79:$G$79,1,AH5)+INDEX(Inputs!$C$80:$G$80,1,AH5)+INDEX(Inputs!$C$81:$G$81,1,AH5)+INDEX(Inputs!$C$83:$G$83,1,AH5))</f>
        <v/>
      </c>
      <c r="AI21" s="64">
        <f>-(INDEX(Inputs!$C$79:$G$79,1,AI5)+INDEX(Inputs!$C$80:$G$80,1,AI5)+INDEX(Inputs!$C$81:$G$81,1,AI5)+INDEX(Inputs!$C$83:$G$83,1,AI5))</f>
        <v/>
      </c>
      <c r="AJ21" s="64">
        <f>-(INDEX(Inputs!$C$79:$G$79,1,AJ5)+INDEX(Inputs!$C$80:$G$80,1,AJ5)+INDEX(Inputs!$C$81:$G$81,1,AJ5)+INDEX(Inputs!$C$83:$G$83,1,AJ5))</f>
        <v/>
      </c>
      <c r="AK21" s="64">
        <f>-(INDEX(Inputs!$C$79:$G$79,1,AK5)+INDEX(Inputs!$C$80:$G$80,1,AK5)+INDEX(Inputs!$C$81:$G$81,1,AK5)+INDEX(Inputs!$C$83:$G$83,1,AK5))</f>
        <v/>
      </c>
      <c r="AL21" s="64">
        <f>-(INDEX(Inputs!$C$79:$G$79,1,AL5)+INDEX(Inputs!$C$80:$G$80,1,AL5)+INDEX(Inputs!$C$81:$G$81,1,AL5)+INDEX(Inputs!$C$83:$G$83,1,AL5))</f>
        <v/>
      </c>
      <c r="AM21" s="64">
        <f>-(INDEX(Inputs!$C$79:$G$79,1,AM5)+INDEX(Inputs!$C$80:$G$80,1,AM5)+INDEX(Inputs!$C$81:$G$81,1,AM5)+INDEX(Inputs!$C$83:$G$83,1,AM5))</f>
        <v/>
      </c>
      <c r="AN21" s="64">
        <f>-(INDEX(Inputs!$C$79:$G$79,1,AN5)+INDEX(Inputs!$C$80:$G$80,1,AN5)+INDEX(Inputs!$C$81:$G$81,1,AN5)+INDEX(Inputs!$C$83:$G$83,1,AN5))</f>
        <v/>
      </c>
      <c r="AO21" s="64">
        <f>-(INDEX(Inputs!$C$79:$G$79,1,AO5)+INDEX(Inputs!$C$80:$G$80,1,AO5)+INDEX(Inputs!$C$81:$G$81,1,AO5)+INDEX(Inputs!$C$83:$G$83,1,AO5))</f>
        <v/>
      </c>
      <c r="AP21" s="64">
        <f>-(INDEX(Inputs!$C$79:$G$79,1,AP5)+INDEX(Inputs!$C$80:$G$80,1,AP5)+INDEX(Inputs!$C$81:$G$81,1,AP5)+INDEX(Inputs!$C$83:$G$83,1,AP5))</f>
        <v/>
      </c>
      <c r="AQ21" s="64">
        <f>-(INDEX(Inputs!$C$79:$G$79,1,AQ5)+INDEX(Inputs!$C$80:$G$80,1,AQ5)+INDEX(Inputs!$C$81:$G$81,1,AQ5)+INDEX(Inputs!$C$83:$G$83,1,AQ5))</f>
        <v/>
      </c>
      <c r="AR21" s="64">
        <f>-(INDEX(Inputs!$C$79:$G$79,1,AR5)+INDEX(Inputs!$C$80:$G$80,1,AR5)+INDEX(Inputs!$C$81:$G$81,1,AR5)+INDEX(Inputs!$C$83:$G$83,1,AR5))</f>
        <v/>
      </c>
      <c r="AS21" s="64">
        <f>-(INDEX(Inputs!$C$79:$G$79,1,AS5)+INDEX(Inputs!$C$80:$G$80,1,AS5)+INDEX(Inputs!$C$81:$G$81,1,AS5)+INDEX(Inputs!$C$83:$G$83,1,AS5))</f>
        <v/>
      </c>
      <c r="AT21" s="64">
        <f>-(INDEX(Inputs!$C$79:$G$79,1,AT5)+INDEX(Inputs!$C$80:$G$80,1,AT5)+INDEX(Inputs!$C$81:$G$81,1,AT5)+INDEX(Inputs!$C$83:$G$83,1,AT5))</f>
        <v/>
      </c>
      <c r="AU21" s="64">
        <f>-(INDEX(Inputs!$C$79:$G$79,1,AU5)+INDEX(Inputs!$C$80:$G$80,1,AU5)+INDEX(Inputs!$C$81:$G$81,1,AU5)+INDEX(Inputs!$C$83:$G$83,1,AU5))</f>
        <v/>
      </c>
      <c r="AV21" s="64">
        <f>-(INDEX(Inputs!$C$79:$G$79,1,AV5)+INDEX(Inputs!$C$80:$G$80,1,AV5)+INDEX(Inputs!$C$81:$G$81,1,AV5)+INDEX(Inputs!$C$83:$G$83,1,AV5))</f>
        <v/>
      </c>
      <c r="AW21" s="64">
        <f>-(INDEX(Inputs!$C$79:$G$79,1,AW5)+INDEX(Inputs!$C$80:$G$80,1,AW5)+INDEX(Inputs!$C$81:$G$81,1,AW5)+INDEX(Inputs!$C$83:$G$83,1,AW5))</f>
        <v/>
      </c>
      <c r="AX21" s="64">
        <f>-(INDEX(Inputs!$C$79:$G$79,1,AX5)+INDEX(Inputs!$C$80:$G$80,1,AX5)+INDEX(Inputs!$C$81:$G$81,1,AX5)+INDEX(Inputs!$C$83:$G$83,1,AX5))</f>
        <v/>
      </c>
      <c r="AY21" s="64">
        <f>-(INDEX(Inputs!$C$79:$G$79,1,AY5)+INDEX(Inputs!$C$80:$G$80,1,AY5)+INDEX(Inputs!$C$81:$G$81,1,AY5)+INDEX(Inputs!$C$83:$G$83,1,AY5))</f>
        <v/>
      </c>
      <c r="AZ21" s="64">
        <f>-(INDEX(Inputs!$C$79:$G$79,1,AZ5)+INDEX(Inputs!$C$80:$G$80,1,AZ5)+INDEX(Inputs!$C$81:$G$81,1,AZ5)+INDEX(Inputs!$C$83:$G$83,1,AZ5))</f>
        <v/>
      </c>
      <c r="BA21" s="64">
        <f>-(INDEX(Inputs!$C$79:$G$79,1,BA5)+INDEX(Inputs!$C$80:$G$80,1,BA5)+INDEX(Inputs!$C$81:$G$81,1,BA5)+INDEX(Inputs!$C$83:$G$83,1,BA5))</f>
        <v/>
      </c>
      <c r="BB21" s="64">
        <f>-(INDEX(Inputs!$C$79:$G$79,1,BB5)+INDEX(Inputs!$C$80:$G$80,1,BB5)+INDEX(Inputs!$C$81:$G$81,1,BB5)+INDEX(Inputs!$C$83:$G$83,1,BB5))</f>
        <v/>
      </c>
      <c r="BC21" s="64">
        <f>-(INDEX(Inputs!$C$79:$G$79,1,BC5)+INDEX(Inputs!$C$80:$G$80,1,BC5)+INDEX(Inputs!$C$81:$G$81,1,BC5)+INDEX(Inputs!$C$83:$G$83,1,BC5))</f>
        <v/>
      </c>
      <c r="BD21" s="64">
        <f>-(INDEX(Inputs!$C$79:$G$79,1,BD5)+INDEX(Inputs!$C$80:$G$80,1,BD5)+INDEX(Inputs!$C$81:$G$81,1,BD5)+INDEX(Inputs!$C$83:$G$83,1,BD5))</f>
        <v/>
      </c>
      <c r="BE21" s="64">
        <f>-(INDEX(Inputs!$C$79:$G$79,1,BE5)+INDEX(Inputs!$C$80:$G$80,1,BE5)+INDEX(Inputs!$C$81:$G$81,1,BE5)+INDEX(Inputs!$C$83:$G$83,1,BE5))</f>
        <v/>
      </c>
      <c r="BF21" s="64">
        <f>-(INDEX(Inputs!$C$79:$G$79,1,BF5)+INDEX(Inputs!$C$80:$G$80,1,BF5)+INDEX(Inputs!$C$81:$G$81,1,BF5)+INDEX(Inputs!$C$83:$G$83,1,BF5))</f>
        <v/>
      </c>
      <c r="BG21" s="64">
        <f>-(INDEX(Inputs!$C$79:$G$79,1,BG5)+INDEX(Inputs!$C$80:$G$80,1,BG5)+INDEX(Inputs!$C$81:$G$81,1,BG5)+INDEX(Inputs!$C$83:$G$83,1,BG5))</f>
        <v/>
      </c>
      <c r="BH21" s="64">
        <f>-(INDEX(Inputs!$C$79:$G$79,1,BH5)+INDEX(Inputs!$C$80:$G$80,1,BH5)+INDEX(Inputs!$C$81:$G$81,1,BH5)+INDEX(Inputs!$C$83:$G$83,1,BH5))</f>
        <v/>
      </c>
      <c r="BI21" s="64">
        <f>-(INDEX(Inputs!$C$79:$G$79,1,BI5)+INDEX(Inputs!$C$80:$G$80,1,BI5)+INDEX(Inputs!$C$81:$G$81,1,BI5)+INDEX(Inputs!$C$83:$G$83,1,BI5))</f>
        <v/>
      </c>
      <c r="BJ21" s="64">
        <f>-(INDEX(Inputs!$C$79:$G$79,1,BJ5)+INDEX(Inputs!$C$80:$G$80,1,BJ5)+INDEX(Inputs!$C$81:$G$81,1,BJ5)+INDEX(Inputs!$C$83:$G$83,1,BJ5))</f>
        <v/>
      </c>
      <c r="BK21" s="64">
        <f>-(INDEX(Inputs!$C$79:$G$79,1,BK5)+INDEX(Inputs!$C$80:$G$80,1,BK5)+INDEX(Inputs!$C$81:$G$81,1,BK5)+INDEX(Inputs!$C$83:$G$83,1,BK5))</f>
        <v/>
      </c>
    </row>
    <row r="22">
      <c r="B22" s="65" t="inlineStr">
        <is>
          <t>Total operating expenses</t>
        </is>
      </c>
      <c r="C22" s="92" t="inlineStr">
        <is>
          <t>EUR</t>
        </is>
      </c>
      <c r="D22" s="66">
        <f>SUM(D17:D21)</f>
        <v/>
      </c>
      <c r="E22" s="66">
        <f>SUM(E17:E21)</f>
        <v/>
      </c>
      <c r="F22" s="66">
        <f>SUM(F17:F21)</f>
        <v/>
      </c>
      <c r="G22" s="66">
        <f>SUM(G17:G21)</f>
        <v/>
      </c>
      <c r="H22" s="66">
        <f>SUM(H17:H21)</f>
        <v/>
      </c>
      <c r="I22" s="66">
        <f>SUM(I17:I21)</f>
        <v/>
      </c>
      <c r="J22" s="66">
        <f>SUM(J17:J21)</f>
        <v/>
      </c>
      <c r="K22" s="66">
        <f>SUM(K17:K21)</f>
        <v/>
      </c>
      <c r="L22" s="66">
        <f>SUM(L17:L21)</f>
        <v/>
      </c>
      <c r="M22" s="66">
        <f>SUM(M17:M21)</f>
        <v/>
      </c>
      <c r="N22" s="66">
        <f>SUM(N17:N21)</f>
        <v/>
      </c>
      <c r="O22" s="66">
        <f>SUM(O17:O21)</f>
        <v/>
      </c>
      <c r="P22" s="66">
        <f>SUM(P17:P21)</f>
        <v/>
      </c>
      <c r="Q22" s="66">
        <f>SUM(Q17:Q21)</f>
        <v/>
      </c>
      <c r="R22" s="66">
        <f>SUM(R17:R21)</f>
        <v/>
      </c>
      <c r="S22" s="66">
        <f>SUM(S17:S21)</f>
        <v/>
      </c>
      <c r="T22" s="66">
        <f>SUM(T17:T21)</f>
        <v/>
      </c>
      <c r="U22" s="66">
        <f>SUM(U17:U21)</f>
        <v/>
      </c>
      <c r="V22" s="66">
        <f>SUM(V17:V21)</f>
        <v/>
      </c>
      <c r="W22" s="66">
        <f>SUM(W17:W21)</f>
        <v/>
      </c>
      <c r="X22" s="66">
        <f>SUM(X17:X21)</f>
        <v/>
      </c>
      <c r="Y22" s="66">
        <f>SUM(Y17:Y21)</f>
        <v/>
      </c>
      <c r="Z22" s="66">
        <f>SUM(Z17:Z21)</f>
        <v/>
      </c>
      <c r="AA22" s="66">
        <f>SUM(AA17:AA21)</f>
        <v/>
      </c>
      <c r="AB22" s="66">
        <f>SUM(AB17:AB21)</f>
        <v/>
      </c>
      <c r="AC22" s="66">
        <f>SUM(AC17:AC21)</f>
        <v/>
      </c>
      <c r="AD22" s="66">
        <f>SUM(AD17:AD21)</f>
        <v/>
      </c>
      <c r="AE22" s="66">
        <f>SUM(AE17:AE21)</f>
        <v/>
      </c>
      <c r="AF22" s="66">
        <f>SUM(AF17:AF21)</f>
        <v/>
      </c>
      <c r="AG22" s="66">
        <f>SUM(AG17:AG21)</f>
        <v/>
      </c>
      <c r="AH22" s="66">
        <f>SUM(AH17:AH21)</f>
        <v/>
      </c>
      <c r="AI22" s="66">
        <f>SUM(AI17:AI21)</f>
        <v/>
      </c>
      <c r="AJ22" s="66">
        <f>SUM(AJ17:AJ21)</f>
        <v/>
      </c>
      <c r="AK22" s="66">
        <f>SUM(AK17:AK21)</f>
        <v/>
      </c>
      <c r="AL22" s="66">
        <f>SUM(AL17:AL21)</f>
        <v/>
      </c>
      <c r="AM22" s="66">
        <f>SUM(AM17:AM21)</f>
        <v/>
      </c>
      <c r="AN22" s="66">
        <f>SUM(AN17:AN21)</f>
        <v/>
      </c>
      <c r="AO22" s="66">
        <f>SUM(AO17:AO21)</f>
        <v/>
      </c>
      <c r="AP22" s="66">
        <f>SUM(AP17:AP21)</f>
        <v/>
      </c>
      <c r="AQ22" s="66">
        <f>SUM(AQ17:AQ21)</f>
        <v/>
      </c>
      <c r="AR22" s="66">
        <f>SUM(AR17:AR21)</f>
        <v/>
      </c>
      <c r="AS22" s="66">
        <f>SUM(AS17:AS21)</f>
        <v/>
      </c>
      <c r="AT22" s="66">
        <f>SUM(AT17:AT21)</f>
        <v/>
      </c>
      <c r="AU22" s="66">
        <f>SUM(AU17:AU21)</f>
        <v/>
      </c>
      <c r="AV22" s="66">
        <f>SUM(AV17:AV21)</f>
        <v/>
      </c>
      <c r="AW22" s="66">
        <f>SUM(AW17:AW21)</f>
        <v/>
      </c>
      <c r="AX22" s="66">
        <f>SUM(AX17:AX21)</f>
        <v/>
      </c>
      <c r="AY22" s="66">
        <f>SUM(AY17:AY21)</f>
        <v/>
      </c>
      <c r="AZ22" s="66">
        <f>SUM(AZ17:AZ21)</f>
        <v/>
      </c>
      <c r="BA22" s="66">
        <f>SUM(BA17:BA21)</f>
        <v/>
      </c>
      <c r="BB22" s="66">
        <f>SUM(BB17:BB21)</f>
        <v/>
      </c>
      <c r="BC22" s="66">
        <f>SUM(BC17:BC21)</f>
        <v/>
      </c>
      <c r="BD22" s="66">
        <f>SUM(BD17:BD21)</f>
        <v/>
      </c>
      <c r="BE22" s="66">
        <f>SUM(BE17:BE21)</f>
        <v/>
      </c>
      <c r="BF22" s="66">
        <f>SUM(BF17:BF21)</f>
        <v/>
      </c>
      <c r="BG22" s="66">
        <f>SUM(BG17:BG21)</f>
        <v/>
      </c>
      <c r="BH22" s="66">
        <f>SUM(BH17:BH21)</f>
        <v/>
      </c>
      <c r="BI22" s="66">
        <f>SUM(BI17:BI21)</f>
        <v/>
      </c>
      <c r="BJ22" s="66">
        <f>SUM(BJ17:BJ21)</f>
        <v/>
      </c>
      <c r="BK22" s="66">
        <f>SUM(BK17:BK21)</f>
        <v/>
      </c>
    </row>
    <row r="23">
      <c r="B23" s="69" t="inlineStr">
        <is>
          <t>EBITDA</t>
        </is>
      </c>
      <c r="C23" s="98" t="inlineStr">
        <is>
          <t>EUR</t>
        </is>
      </c>
      <c r="D23" s="71">
        <f>D14+D22</f>
        <v/>
      </c>
      <c r="E23" s="71">
        <f>E14+E22</f>
        <v/>
      </c>
      <c r="F23" s="71">
        <f>F14+F22</f>
        <v/>
      </c>
      <c r="G23" s="71">
        <f>G14+G22</f>
        <v/>
      </c>
      <c r="H23" s="71">
        <f>H14+H22</f>
        <v/>
      </c>
      <c r="I23" s="71">
        <f>I14+I22</f>
        <v/>
      </c>
      <c r="J23" s="71">
        <f>J14+J22</f>
        <v/>
      </c>
      <c r="K23" s="71">
        <f>K14+K22</f>
        <v/>
      </c>
      <c r="L23" s="71">
        <f>L14+L22</f>
        <v/>
      </c>
      <c r="M23" s="71">
        <f>M14+M22</f>
        <v/>
      </c>
      <c r="N23" s="71">
        <f>N14+N22</f>
        <v/>
      </c>
      <c r="O23" s="71">
        <f>O14+O22</f>
        <v/>
      </c>
      <c r="P23" s="71">
        <f>P14+P22</f>
        <v/>
      </c>
      <c r="Q23" s="71">
        <f>Q14+Q22</f>
        <v/>
      </c>
      <c r="R23" s="71">
        <f>R14+R22</f>
        <v/>
      </c>
      <c r="S23" s="71">
        <f>S14+S22</f>
        <v/>
      </c>
      <c r="T23" s="71">
        <f>T14+T22</f>
        <v/>
      </c>
      <c r="U23" s="71">
        <f>U14+U22</f>
        <v/>
      </c>
      <c r="V23" s="71">
        <f>V14+V22</f>
        <v/>
      </c>
      <c r="W23" s="71">
        <f>W14+W22</f>
        <v/>
      </c>
      <c r="X23" s="71">
        <f>X14+X22</f>
        <v/>
      </c>
      <c r="Y23" s="71">
        <f>Y14+Y22</f>
        <v/>
      </c>
      <c r="Z23" s="71">
        <f>Z14+Z22</f>
        <v/>
      </c>
      <c r="AA23" s="71">
        <f>AA14+AA22</f>
        <v/>
      </c>
      <c r="AB23" s="71">
        <f>AB14+AB22</f>
        <v/>
      </c>
      <c r="AC23" s="71">
        <f>AC14+AC22</f>
        <v/>
      </c>
      <c r="AD23" s="71">
        <f>AD14+AD22</f>
        <v/>
      </c>
      <c r="AE23" s="71">
        <f>AE14+AE22</f>
        <v/>
      </c>
      <c r="AF23" s="71">
        <f>AF14+AF22</f>
        <v/>
      </c>
      <c r="AG23" s="71">
        <f>AG14+AG22</f>
        <v/>
      </c>
      <c r="AH23" s="71">
        <f>AH14+AH22</f>
        <v/>
      </c>
      <c r="AI23" s="71">
        <f>AI14+AI22</f>
        <v/>
      </c>
      <c r="AJ23" s="71">
        <f>AJ14+AJ22</f>
        <v/>
      </c>
      <c r="AK23" s="71">
        <f>AK14+AK22</f>
        <v/>
      </c>
      <c r="AL23" s="71">
        <f>AL14+AL22</f>
        <v/>
      </c>
      <c r="AM23" s="71">
        <f>AM14+AM22</f>
        <v/>
      </c>
      <c r="AN23" s="71">
        <f>AN14+AN22</f>
        <v/>
      </c>
      <c r="AO23" s="71">
        <f>AO14+AO22</f>
        <v/>
      </c>
      <c r="AP23" s="71">
        <f>AP14+AP22</f>
        <v/>
      </c>
      <c r="AQ23" s="71">
        <f>AQ14+AQ22</f>
        <v/>
      </c>
      <c r="AR23" s="71">
        <f>AR14+AR22</f>
        <v/>
      </c>
      <c r="AS23" s="71">
        <f>AS14+AS22</f>
        <v/>
      </c>
      <c r="AT23" s="71">
        <f>AT14+AT22</f>
        <v/>
      </c>
      <c r="AU23" s="71">
        <f>AU14+AU22</f>
        <v/>
      </c>
      <c r="AV23" s="71">
        <f>AV14+AV22</f>
        <v/>
      </c>
      <c r="AW23" s="71">
        <f>AW14+AW22</f>
        <v/>
      </c>
      <c r="AX23" s="71">
        <f>AX14+AX22</f>
        <v/>
      </c>
      <c r="AY23" s="71">
        <f>AY14+AY22</f>
        <v/>
      </c>
      <c r="AZ23" s="71">
        <f>AZ14+AZ22</f>
        <v/>
      </c>
      <c r="BA23" s="71">
        <f>BA14+BA22</f>
        <v/>
      </c>
      <c r="BB23" s="71">
        <f>BB14+BB22</f>
        <v/>
      </c>
      <c r="BC23" s="71">
        <f>BC14+BC22</f>
        <v/>
      </c>
      <c r="BD23" s="71">
        <f>BD14+BD22</f>
        <v/>
      </c>
      <c r="BE23" s="71">
        <f>BE14+BE22</f>
        <v/>
      </c>
      <c r="BF23" s="71">
        <f>BF14+BF22</f>
        <v/>
      </c>
      <c r="BG23" s="71">
        <f>BG14+BG22</f>
        <v/>
      </c>
      <c r="BH23" s="71">
        <f>BH14+BH22</f>
        <v/>
      </c>
      <c r="BI23" s="71">
        <f>BI14+BI22</f>
        <v/>
      </c>
      <c r="BJ23" s="71">
        <f>BJ14+BJ22</f>
        <v/>
      </c>
      <c r="BK23" s="71">
        <f>BK14+BK22</f>
        <v/>
      </c>
    </row>
    <row r="24">
      <c r="B24" s="61" t="inlineStr">
        <is>
          <t>EBITDA margin</t>
        </is>
      </c>
      <c r="C24" s="92" t="inlineStr">
        <is>
          <t>%</t>
        </is>
      </c>
      <c r="D24" s="68">
        <f>IFERROR(D23/D10,0)</f>
        <v/>
      </c>
      <c r="E24" s="68">
        <f>IFERROR(E23/E10,0)</f>
        <v/>
      </c>
      <c r="F24" s="68">
        <f>IFERROR(F23/F10,0)</f>
        <v/>
      </c>
      <c r="G24" s="68">
        <f>IFERROR(G23/G10,0)</f>
        <v/>
      </c>
      <c r="H24" s="68">
        <f>IFERROR(H23/H10,0)</f>
        <v/>
      </c>
      <c r="I24" s="68">
        <f>IFERROR(I23/I10,0)</f>
        <v/>
      </c>
      <c r="J24" s="68">
        <f>IFERROR(J23/J10,0)</f>
        <v/>
      </c>
      <c r="K24" s="68">
        <f>IFERROR(K23/K10,0)</f>
        <v/>
      </c>
      <c r="L24" s="68">
        <f>IFERROR(L23/L10,0)</f>
        <v/>
      </c>
      <c r="M24" s="68">
        <f>IFERROR(M23/M10,0)</f>
        <v/>
      </c>
      <c r="N24" s="68">
        <f>IFERROR(N23/N10,0)</f>
        <v/>
      </c>
      <c r="O24" s="68">
        <f>IFERROR(O23/O10,0)</f>
        <v/>
      </c>
      <c r="P24" s="68">
        <f>IFERROR(P23/P10,0)</f>
        <v/>
      </c>
      <c r="Q24" s="68">
        <f>IFERROR(Q23/Q10,0)</f>
        <v/>
      </c>
      <c r="R24" s="68">
        <f>IFERROR(R23/R10,0)</f>
        <v/>
      </c>
      <c r="S24" s="68">
        <f>IFERROR(S23/S10,0)</f>
        <v/>
      </c>
      <c r="T24" s="68">
        <f>IFERROR(T23/T10,0)</f>
        <v/>
      </c>
      <c r="U24" s="68">
        <f>IFERROR(U23/U10,0)</f>
        <v/>
      </c>
      <c r="V24" s="68">
        <f>IFERROR(V23/V10,0)</f>
        <v/>
      </c>
      <c r="W24" s="68">
        <f>IFERROR(W23/W10,0)</f>
        <v/>
      </c>
      <c r="X24" s="68">
        <f>IFERROR(X23/X10,0)</f>
        <v/>
      </c>
      <c r="Y24" s="68">
        <f>IFERROR(Y23/Y10,0)</f>
        <v/>
      </c>
      <c r="Z24" s="68">
        <f>IFERROR(Z23/Z10,0)</f>
        <v/>
      </c>
      <c r="AA24" s="68">
        <f>IFERROR(AA23/AA10,0)</f>
        <v/>
      </c>
      <c r="AB24" s="68">
        <f>IFERROR(AB23/AB10,0)</f>
        <v/>
      </c>
      <c r="AC24" s="68">
        <f>IFERROR(AC23/AC10,0)</f>
        <v/>
      </c>
      <c r="AD24" s="68">
        <f>IFERROR(AD23/AD10,0)</f>
        <v/>
      </c>
      <c r="AE24" s="68">
        <f>IFERROR(AE23/AE10,0)</f>
        <v/>
      </c>
      <c r="AF24" s="68">
        <f>IFERROR(AF23/AF10,0)</f>
        <v/>
      </c>
      <c r="AG24" s="68">
        <f>IFERROR(AG23/AG10,0)</f>
        <v/>
      </c>
      <c r="AH24" s="68">
        <f>IFERROR(AH23/AH10,0)</f>
        <v/>
      </c>
      <c r="AI24" s="68">
        <f>IFERROR(AI23/AI10,0)</f>
        <v/>
      </c>
      <c r="AJ24" s="68">
        <f>IFERROR(AJ23/AJ10,0)</f>
        <v/>
      </c>
      <c r="AK24" s="68">
        <f>IFERROR(AK23/AK10,0)</f>
        <v/>
      </c>
      <c r="AL24" s="68">
        <f>IFERROR(AL23/AL10,0)</f>
        <v/>
      </c>
      <c r="AM24" s="68">
        <f>IFERROR(AM23/AM10,0)</f>
        <v/>
      </c>
      <c r="AN24" s="68">
        <f>IFERROR(AN23/AN10,0)</f>
        <v/>
      </c>
      <c r="AO24" s="68">
        <f>IFERROR(AO23/AO10,0)</f>
        <v/>
      </c>
      <c r="AP24" s="68">
        <f>IFERROR(AP23/AP10,0)</f>
        <v/>
      </c>
      <c r="AQ24" s="68">
        <f>IFERROR(AQ23/AQ10,0)</f>
        <v/>
      </c>
      <c r="AR24" s="68">
        <f>IFERROR(AR23/AR10,0)</f>
        <v/>
      </c>
      <c r="AS24" s="68">
        <f>IFERROR(AS23/AS10,0)</f>
        <v/>
      </c>
      <c r="AT24" s="68">
        <f>IFERROR(AT23/AT10,0)</f>
        <v/>
      </c>
      <c r="AU24" s="68">
        <f>IFERROR(AU23/AU10,0)</f>
        <v/>
      </c>
      <c r="AV24" s="68">
        <f>IFERROR(AV23/AV10,0)</f>
        <v/>
      </c>
      <c r="AW24" s="68">
        <f>IFERROR(AW23/AW10,0)</f>
        <v/>
      </c>
      <c r="AX24" s="68">
        <f>IFERROR(AX23/AX10,0)</f>
        <v/>
      </c>
      <c r="AY24" s="68">
        <f>IFERROR(AY23/AY10,0)</f>
        <v/>
      </c>
      <c r="AZ24" s="68">
        <f>IFERROR(AZ23/AZ10,0)</f>
        <v/>
      </c>
      <c r="BA24" s="68">
        <f>IFERROR(BA23/BA10,0)</f>
        <v/>
      </c>
      <c r="BB24" s="68">
        <f>IFERROR(BB23/BB10,0)</f>
        <v/>
      </c>
      <c r="BC24" s="68">
        <f>IFERROR(BC23/BC10,0)</f>
        <v/>
      </c>
      <c r="BD24" s="68">
        <f>IFERROR(BD23/BD10,0)</f>
        <v/>
      </c>
      <c r="BE24" s="68">
        <f>IFERROR(BE23/BE10,0)</f>
        <v/>
      </c>
      <c r="BF24" s="68">
        <f>IFERROR(BF23/BF10,0)</f>
        <v/>
      </c>
      <c r="BG24" s="68">
        <f>IFERROR(BG23/BG10,0)</f>
        <v/>
      </c>
      <c r="BH24" s="68">
        <f>IFERROR(BH23/BH10,0)</f>
        <v/>
      </c>
      <c r="BI24" s="68">
        <f>IFERROR(BI23/BI10,0)</f>
        <v/>
      </c>
      <c r="BJ24" s="68">
        <f>IFERROR(BJ23/BJ10,0)</f>
        <v/>
      </c>
      <c r="BK24" s="68">
        <f>IFERROR(BK23/BK10,0)</f>
        <v/>
      </c>
    </row>
    <row r="25">
      <c r="B25" s="61" t="inlineStr">
        <is>
          <t>Depreciation</t>
        </is>
      </c>
      <c r="C25" s="92" t="inlineStr">
        <is>
          <t>EUR</t>
        </is>
      </c>
      <c r="D25" s="64">
        <f>-D42</f>
        <v/>
      </c>
      <c r="E25" s="64">
        <f>-E42</f>
        <v/>
      </c>
      <c r="F25" s="64">
        <f>-F42</f>
        <v/>
      </c>
      <c r="G25" s="64">
        <f>-G42</f>
        <v/>
      </c>
      <c r="H25" s="64">
        <f>-H42</f>
        <v/>
      </c>
      <c r="I25" s="64">
        <f>-I42</f>
        <v/>
      </c>
      <c r="J25" s="64">
        <f>-J42</f>
        <v/>
      </c>
      <c r="K25" s="64">
        <f>-K42</f>
        <v/>
      </c>
      <c r="L25" s="64">
        <f>-L42</f>
        <v/>
      </c>
      <c r="M25" s="64">
        <f>-M42</f>
        <v/>
      </c>
      <c r="N25" s="64">
        <f>-N42</f>
        <v/>
      </c>
      <c r="O25" s="64">
        <f>-O42</f>
        <v/>
      </c>
      <c r="P25" s="64">
        <f>-P42</f>
        <v/>
      </c>
      <c r="Q25" s="64">
        <f>-Q42</f>
        <v/>
      </c>
      <c r="R25" s="64">
        <f>-R42</f>
        <v/>
      </c>
      <c r="S25" s="64">
        <f>-S42</f>
        <v/>
      </c>
      <c r="T25" s="64">
        <f>-T42</f>
        <v/>
      </c>
      <c r="U25" s="64">
        <f>-U42</f>
        <v/>
      </c>
      <c r="V25" s="64">
        <f>-V42</f>
        <v/>
      </c>
      <c r="W25" s="64">
        <f>-W42</f>
        <v/>
      </c>
      <c r="X25" s="64">
        <f>-X42</f>
        <v/>
      </c>
      <c r="Y25" s="64">
        <f>-Y42</f>
        <v/>
      </c>
      <c r="Z25" s="64">
        <f>-Z42</f>
        <v/>
      </c>
      <c r="AA25" s="64">
        <f>-AA42</f>
        <v/>
      </c>
      <c r="AB25" s="64">
        <f>-AB42</f>
        <v/>
      </c>
      <c r="AC25" s="64">
        <f>-AC42</f>
        <v/>
      </c>
      <c r="AD25" s="64">
        <f>-AD42</f>
        <v/>
      </c>
      <c r="AE25" s="64">
        <f>-AE42</f>
        <v/>
      </c>
      <c r="AF25" s="64">
        <f>-AF42</f>
        <v/>
      </c>
      <c r="AG25" s="64">
        <f>-AG42</f>
        <v/>
      </c>
      <c r="AH25" s="64">
        <f>-AH42</f>
        <v/>
      </c>
      <c r="AI25" s="64">
        <f>-AI42</f>
        <v/>
      </c>
      <c r="AJ25" s="64">
        <f>-AJ42</f>
        <v/>
      </c>
      <c r="AK25" s="64">
        <f>-AK42</f>
        <v/>
      </c>
      <c r="AL25" s="64">
        <f>-AL42</f>
        <v/>
      </c>
      <c r="AM25" s="64">
        <f>-AM42</f>
        <v/>
      </c>
      <c r="AN25" s="64">
        <f>-AN42</f>
        <v/>
      </c>
      <c r="AO25" s="64">
        <f>-AO42</f>
        <v/>
      </c>
      <c r="AP25" s="64">
        <f>-AP42</f>
        <v/>
      </c>
      <c r="AQ25" s="64">
        <f>-AQ42</f>
        <v/>
      </c>
      <c r="AR25" s="64">
        <f>-AR42</f>
        <v/>
      </c>
      <c r="AS25" s="64">
        <f>-AS42</f>
        <v/>
      </c>
      <c r="AT25" s="64">
        <f>-AT42</f>
        <v/>
      </c>
      <c r="AU25" s="64">
        <f>-AU42</f>
        <v/>
      </c>
      <c r="AV25" s="64">
        <f>-AV42</f>
        <v/>
      </c>
      <c r="AW25" s="64">
        <f>-AW42</f>
        <v/>
      </c>
      <c r="AX25" s="64">
        <f>-AX42</f>
        <v/>
      </c>
      <c r="AY25" s="64">
        <f>-AY42</f>
        <v/>
      </c>
      <c r="AZ25" s="64">
        <f>-AZ42</f>
        <v/>
      </c>
      <c r="BA25" s="64">
        <f>-BA42</f>
        <v/>
      </c>
      <c r="BB25" s="64">
        <f>-BB42</f>
        <v/>
      </c>
      <c r="BC25" s="64">
        <f>-BC42</f>
        <v/>
      </c>
      <c r="BD25" s="64">
        <f>-BD42</f>
        <v/>
      </c>
      <c r="BE25" s="64">
        <f>-BE42</f>
        <v/>
      </c>
      <c r="BF25" s="64">
        <f>-BF42</f>
        <v/>
      </c>
      <c r="BG25" s="64">
        <f>-BG42</f>
        <v/>
      </c>
      <c r="BH25" s="64">
        <f>-BH42</f>
        <v/>
      </c>
      <c r="BI25" s="64">
        <f>-BI42</f>
        <v/>
      </c>
      <c r="BJ25" s="64">
        <f>-BJ42</f>
        <v/>
      </c>
      <c r="BK25" s="64">
        <f>-BK42</f>
        <v/>
      </c>
    </row>
    <row r="26">
      <c r="B26" s="65" t="inlineStr">
        <is>
          <t>EBIT</t>
        </is>
      </c>
      <c r="C26" s="92" t="inlineStr">
        <is>
          <t>EUR</t>
        </is>
      </c>
      <c r="D26" s="66">
        <f>D23+D25</f>
        <v/>
      </c>
      <c r="E26" s="66">
        <f>E23+E25</f>
        <v/>
      </c>
      <c r="F26" s="66">
        <f>F23+F25</f>
        <v/>
      </c>
      <c r="G26" s="66">
        <f>G23+G25</f>
        <v/>
      </c>
      <c r="H26" s="66">
        <f>H23+H25</f>
        <v/>
      </c>
      <c r="I26" s="66">
        <f>I23+I25</f>
        <v/>
      </c>
      <c r="J26" s="66">
        <f>J23+J25</f>
        <v/>
      </c>
      <c r="K26" s="66">
        <f>K23+K25</f>
        <v/>
      </c>
      <c r="L26" s="66">
        <f>L23+L25</f>
        <v/>
      </c>
      <c r="M26" s="66">
        <f>M23+M25</f>
        <v/>
      </c>
      <c r="N26" s="66">
        <f>N23+N25</f>
        <v/>
      </c>
      <c r="O26" s="66">
        <f>O23+O25</f>
        <v/>
      </c>
      <c r="P26" s="66">
        <f>P23+P25</f>
        <v/>
      </c>
      <c r="Q26" s="66">
        <f>Q23+Q25</f>
        <v/>
      </c>
      <c r="R26" s="66">
        <f>R23+R25</f>
        <v/>
      </c>
      <c r="S26" s="66">
        <f>S23+S25</f>
        <v/>
      </c>
      <c r="T26" s="66">
        <f>T23+T25</f>
        <v/>
      </c>
      <c r="U26" s="66">
        <f>U23+U25</f>
        <v/>
      </c>
      <c r="V26" s="66">
        <f>V23+V25</f>
        <v/>
      </c>
      <c r="W26" s="66">
        <f>W23+W25</f>
        <v/>
      </c>
      <c r="X26" s="66">
        <f>X23+X25</f>
        <v/>
      </c>
      <c r="Y26" s="66">
        <f>Y23+Y25</f>
        <v/>
      </c>
      <c r="Z26" s="66">
        <f>Z23+Z25</f>
        <v/>
      </c>
      <c r="AA26" s="66">
        <f>AA23+AA25</f>
        <v/>
      </c>
      <c r="AB26" s="66">
        <f>AB23+AB25</f>
        <v/>
      </c>
      <c r="AC26" s="66">
        <f>AC23+AC25</f>
        <v/>
      </c>
      <c r="AD26" s="66">
        <f>AD23+AD25</f>
        <v/>
      </c>
      <c r="AE26" s="66">
        <f>AE23+AE25</f>
        <v/>
      </c>
      <c r="AF26" s="66">
        <f>AF23+AF25</f>
        <v/>
      </c>
      <c r="AG26" s="66">
        <f>AG23+AG25</f>
        <v/>
      </c>
      <c r="AH26" s="66">
        <f>AH23+AH25</f>
        <v/>
      </c>
      <c r="AI26" s="66">
        <f>AI23+AI25</f>
        <v/>
      </c>
      <c r="AJ26" s="66">
        <f>AJ23+AJ25</f>
        <v/>
      </c>
      <c r="AK26" s="66">
        <f>AK23+AK25</f>
        <v/>
      </c>
      <c r="AL26" s="66">
        <f>AL23+AL25</f>
        <v/>
      </c>
      <c r="AM26" s="66">
        <f>AM23+AM25</f>
        <v/>
      </c>
      <c r="AN26" s="66">
        <f>AN23+AN25</f>
        <v/>
      </c>
      <c r="AO26" s="66">
        <f>AO23+AO25</f>
        <v/>
      </c>
      <c r="AP26" s="66">
        <f>AP23+AP25</f>
        <v/>
      </c>
      <c r="AQ26" s="66">
        <f>AQ23+AQ25</f>
        <v/>
      </c>
      <c r="AR26" s="66">
        <f>AR23+AR25</f>
        <v/>
      </c>
      <c r="AS26" s="66">
        <f>AS23+AS25</f>
        <v/>
      </c>
      <c r="AT26" s="66">
        <f>AT23+AT25</f>
        <v/>
      </c>
      <c r="AU26" s="66">
        <f>AU23+AU25</f>
        <v/>
      </c>
      <c r="AV26" s="66">
        <f>AV23+AV25</f>
        <v/>
      </c>
      <c r="AW26" s="66">
        <f>AW23+AW25</f>
        <v/>
      </c>
      <c r="AX26" s="66">
        <f>AX23+AX25</f>
        <v/>
      </c>
      <c r="AY26" s="66">
        <f>AY23+AY25</f>
        <v/>
      </c>
      <c r="AZ26" s="66">
        <f>AZ23+AZ25</f>
        <v/>
      </c>
      <c r="BA26" s="66">
        <f>BA23+BA25</f>
        <v/>
      </c>
      <c r="BB26" s="66">
        <f>BB23+BB25</f>
        <v/>
      </c>
      <c r="BC26" s="66">
        <f>BC23+BC25</f>
        <v/>
      </c>
      <c r="BD26" s="66">
        <f>BD23+BD25</f>
        <v/>
      </c>
      <c r="BE26" s="66">
        <f>BE23+BE25</f>
        <v/>
      </c>
      <c r="BF26" s="66">
        <f>BF23+BF25</f>
        <v/>
      </c>
      <c r="BG26" s="66">
        <f>BG23+BG25</f>
        <v/>
      </c>
      <c r="BH26" s="66">
        <f>BH23+BH25</f>
        <v/>
      </c>
      <c r="BI26" s="66">
        <f>BI23+BI25</f>
        <v/>
      </c>
      <c r="BJ26" s="66">
        <f>BJ23+BJ25</f>
        <v/>
      </c>
      <c r="BK26" s="66">
        <f>BK23+BK25</f>
        <v/>
      </c>
    </row>
    <row r="27">
      <c r="B27" s="61" t="inlineStr">
        <is>
          <t>Tax loss pool — opening</t>
        </is>
      </c>
      <c r="C27" s="92" t="inlineStr">
        <is>
          <t>EUR</t>
        </is>
      </c>
      <c r="D27" s="64">
        <f>0</f>
        <v/>
      </c>
      <c r="E27" s="64">
        <f>D30</f>
        <v/>
      </c>
      <c r="F27" s="64">
        <f>E30</f>
        <v/>
      </c>
      <c r="G27" s="64">
        <f>F30</f>
        <v/>
      </c>
      <c r="H27" s="64">
        <f>G30</f>
        <v/>
      </c>
      <c r="I27" s="64">
        <f>H30</f>
        <v/>
      </c>
      <c r="J27" s="64">
        <f>I30</f>
        <v/>
      </c>
      <c r="K27" s="64">
        <f>J30</f>
        <v/>
      </c>
      <c r="L27" s="64">
        <f>K30</f>
        <v/>
      </c>
      <c r="M27" s="64">
        <f>L30</f>
        <v/>
      </c>
      <c r="N27" s="64">
        <f>M30</f>
        <v/>
      </c>
      <c r="O27" s="64">
        <f>N30</f>
        <v/>
      </c>
      <c r="P27" s="64">
        <f>O30</f>
        <v/>
      </c>
      <c r="Q27" s="64">
        <f>P30</f>
        <v/>
      </c>
      <c r="R27" s="64">
        <f>Q30</f>
        <v/>
      </c>
      <c r="S27" s="64">
        <f>R30</f>
        <v/>
      </c>
      <c r="T27" s="64">
        <f>S30</f>
        <v/>
      </c>
      <c r="U27" s="64">
        <f>T30</f>
        <v/>
      </c>
      <c r="V27" s="64">
        <f>U30</f>
        <v/>
      </c>
      <c r="W27" s="64">
        <f>V30</f>
        <v/>
      </c>
      <c r="X27" s="64">
        <f>W30</f>
        <v/>
      </c>
      <c r="Y27" s="64">
        <f>X30</f>
        <v/>
      </c>
      <c r="Z27" s="64">
        <f>Y30</f>
        <v/>
      </c>
      <c r="AA27" s="64">
        <f>Z30</f>
        <v/>
      </c>
      <c r="AB27" s="64">
        <f>AA30</f>
        <v/>
      </c>
      <c r="AC27" s="64">
        <f>AB30</f>
        <v/>
      </c>
      <c r="AD27" s="64">
        <f>AC30</f>
        <v/>
      </c>
      <c r="AE27" s="64">
        <f>AD30</f>
        <v/>
      </c>
      <c r="AF27" s="64">
        <f>AE30</f>
        <v/>
      </c>
      <c r="AG27" s="64">
        <f>AF30</f>
        <v/>
      </c>
      <c r="AH27" s="64">
        <f>AG30</f>
        <v/>
      </c>
      <c r="AI27" s="64">
        <f>AH30</f>
        <v/>
      </c>
      <c r="AJ27" s="64">
        <f>AI30</f>
        <v/>
      </c>
      <c r="AK27" s="64">
        <f>AJ30</f>
        <v/>
      </c>
      <c r="AL27" s="64">
        <f>AK30</f>
        <v/>
      </c>
      <c r="AM27" s="64">
        <f>AL30</f>
        <v/>
      </c>
      <c r="AN27" s="64">
        <f>AM30</f>
        <v/>
      </c>
      <c r="AO27" s="64">
        <f>AN30</f>
        <v/>
      </c>
      <c r="AP27" s="64">
        <f>AO30</f>
        <v/>
      </c>
      <c r="AQ27" s="64">
        <f>AP30</f>
        <v/>
      </c>
      <c r="AR27" s="64">
        <f>AQ30</f>
        <v/>
      </c>
      <c r="AS27" s="64">
        <f>AR30</f>
        <v/>
      </c>
      <c r="AT27" s="64">
        <f>AS30</f>
        <v/>
      </c>
      <c r="AU27" s="64">
        <f>AT30</f>
        <v/>
      </c>
      <c r="AV27" s="64">
        <f>AU30</f>
        <v/>
      </c>
      <c r="AW27" s="64">
        <f>AV30</f>
        <v/>
      </c>
      <c r="AX27" s="64">
        <f>AW30</f>
        <v/>
      </c>
      <c r="AY27" s="64">
        <f>AX30</f>
        <v/>
      </c>
      <c r="AZ27" s="64">
        <f>AY30</f>
        <v/>
      </c>
      <c r="BA27" s="64">
        <f>AZ30</f>
        <v/>
      </c>
      <c r="BB27" s="64">
        <f>BA30</f>
        <v/>
      </c>
      <c r="BC27" s="64">
        <f>BB30</f>
        <v/>
      </c>
      <c r="BD27" s="64">
        <f>BC30</f>
        <v/>
      </c>
      <c r="BE27" s="64">
        <f>BD30</f>
        <v/>
      </c>
      <c r="BF27" s="64">
        <f>BE30</f>
        <v/>
      </c>
      <c r="BG27" s="64">
        <f>BF30</f>
        <v/>
      </c>
      <c r="BH27" s="64">
        <f>BG30</f>
        <v/>
      </c>
      <c r="BI27" s="64">
        <f>BH30</f>
        <v/>
      </c>
      <c r="BJ27" s="64">
        <f>BI30</f>
        <v/>
      </c>
      <c r="BK27" s="64">
        <f>BJ30</f>
        <v/>
      </c>
    </row>
    <row r="28">
      <c r="B28" s="61" t="inlineStr">
        <is>
          <t>Corporation tax</t>
        </is>
      </c>
      <c r="C28" s="92" t="inlineStr">
        <is>
          <t>EUR</t>
        </is>
      </c>
      <c r="D28" s="64">
        <f>-MAX(0,D26-D27)*Inputs!$C$100</f>
        <v/>
      </c>
      <c r="E28" s="64">
        <f>-MAX(0,E26-E27)*Inputs!$C$100</f>
        <v/>
      </c>
      <c r="F28" s="64">
        <f>-MAX(0,F26-F27)*Inputs!$C$100</f>
        <v/>
      </c>
      <c r="G28" s="64">
        <f>-MAX(0,G26-G27)*Inputs!$C$100</f>
        <v/>
      </c>
      <c r="H28" s="64">
        <f>-MAX(0,H26-H27)*Inputs!$C$100</f>
        <v/>
      </c>
      <c r="I28" s="64">
        <f>-MAX(0,I26-I27)*Inputs!$C$100</f>
        <v/>
      </c>
      <c r="J28" s="64">
        <f>-MAX(0,J26-J27)*Inputs!$C$100</f>
        <v/>
      </c>
      <c r="K28" s="64">
        <f>-MAX(0,K26-K27)*Inputs!$C$100</f>
        <v/>
      </c>
      <c r="L28" s="64">
        <f>-MAX(0,L26-L27)*Inputs!$C$100</f>
        <v/>
      </c>
      <c r="M28" s="64">
        <f>-MAX(0,M26-M27)*Inputs!$C$100</f>
        <v/>
      </c>
      <c r="N28" s="64">
        <f>-MAX(0,N26-N27)*Inputs!$C$100</f>
        <v/>
      </c>
      <c r="O28" s="64">
        <f>-MAX(0,O26-O27)*Inputs!$C$100</f>
        <v/>
      </c>
      <c r="P28" s="64">
        <f>-MAX(0,P26-P27)*Inputs!$C$100</f>
        <v/>
      </c>
      <c r="Q28" s="64">
        <f>-MAX(0,Q26-Q27)*Inputs!$C$100</f>
        <v/>
      </c>
      <c r="R28" s="64">
        <f>-MAX(0,R26-R27)*Inputs!$C$100</f>
        <v/>
      </c>
      <c r="S28" s="64">
        <f>-MAX(0,S26-S27)*Inputs!$C$100</f>
        <v/>
      </c>
      <c r="T28" s="64">
        <f>-MAX(0,T26-T27)*Inputs!$C$100</f>
        <v/>
      </c>
      <c r="U28" s="64">
        <f>-MAX(0,U26-U27)*Inputs!$C$100</f>
        <v/>
      </c>
      <c r="V28" s="64">
        <f>-MAX(0,V26-V27)*Inputs!$C$100</f>
        <v/>
      </c>
      <c r="W28" s="64">
        <f>-MAX(0,W26-W27)*Inputs!$C$100</f>
        <v/>
      </c>
      <c r="X28" s="64">
        <f>-MAX(0,X26-X27)*Inputs!$C$100</f>
        <v/>
      </c>
      <c r="Y28" s="64">
        <f>-MAX(0,Y26-Y27)*Inputs!$C$100</f>
        <v/>
      </c>
      <c r="Z28" s="64">
        <f>-MAX(0,Z26-Z27)*Inputs!$C$100</f>
        <v/>
      </c>
      <c r="AA28" s="64">
        <f>-MAX(0,AA26-AA27)*Inputs!$C$100</f>
        <v/>
      </c>
      <c r="AB28" s="64">
        <f>-MAX(0,AB26-AB27)*Inputs!$C$100</f>
        <v/>
      </c>
      <c r="AC28" s="64">
        <f>-MAX(0,AC26-AC27)*Inputs!$C$100</f>
        <v/>
      </c>
      <c r="AD28" s="64">
        <f>-MAX(0,AD26-AD27)*Inputs!$C$100</f>
        <v/>
      </c>
      <c r="AE28" s="64">
        <f>-MAX(0,AE26-AE27)*Inputs!$C$100</f>
        <v/>
      </c>
      <c r="AF28" s="64">
        <f>-MAX(0,AF26-AF27)*Inputs!$C$100</f>
        <v/>
      </c>
      <c r="AG28" s="64">
        <f>-MAX(0,AG26-AG27)*Inputs!$C$100</f>
        <v/>
      </c>
      <c r="AH28" s="64">
        <f>-MAX(0,AH26-AH27)*Inputs!$C$100</f>
        <v/>
      </c>
      <c r="AI28" s="64">
        <f>-MAX(0,AI26-AI27)*Inputs!$C$100</f>
        <v/>
      </c>
      <c r="AJ28" s="64">
        <f>-MAX(0,AJ26-AJ27)*Inputs!$C$100</f>
        <v/>
      </c>
      <c r="AK28" s="64">
        <f>-MAX(0,AK26-AK27)*Inputs!$C$100</f>
        <v/>
      </c>
      <c r="AL28" s="64">
        <f>-MAX(0,AL26-AL27)*Inputs!$C$100</f>
        <v/>
      </c>
      <c r="AM28" s="64">
        <f>-MAX(0,AM26-AM27)*Inputs!$C$100</f>
        <v/>
      </c>
      <c r="AN28" s="64">
        <f>-MAX(0,AN26-AN27)*Inputs!$C$100</f>
        <v/>
      </c>
      <c r="AO28" s="64">
        <f>-MAX(0,AO26-AO27)*Inputs!$C$100</f>
        <v/>
      </c>
      <c r="AP28" s="64">
        <f>-MAX(0,AP26-AP27)*Inputs!$C$100</f>
        <v/>
      </c>
      <c r="AQ28" s="64">
        <f>-MAX(0,AQ26-AQ27)*Inputs!$C$100</f>
        <v/>
      </c>
      <c r="AR28" s="64">
        <f>-MAX(0,AR26-AR27)*Inputs!$C$100</f>
        <v/>
      </c>
      <c r="AS28" s="64">
        <f>-MAX(0,AS26-AS27)*Inputs!$C$100</f>
        <v/>
      </c>
      <c r="AT28" s="64">
        <f>-MAX(0,AT26-AT27)*Inputs!$C$100</f>
        <v/>
      </c>
      <c r="AU28" s="64">
        <f>-MAX(0,AU26-AU27)*Inputs!$C$100</f>
        <v/>
      </c>
      <c r="AV28" s="64">
        <f>-MAX(0,AV26-AV27)*Inputs!$C$100</f>
        <v/>
      </c>
      <c r="AW28" s="64">
        <f>-MAX(0,AW26-AW27)*Inputs!$C$100</f>
        <v/>
      </c>
      <c r="AX28" s="64">
        <f>-MAX(0,AX26-AX27)*Inputs!$C$100</f>
        <v/>
      </c>
      <c r="AY28" s="64">
        <f>-MAX(0,AY26-AY27)*Inputs!$C$100</f>
        <v/>
      </c>
      <c r="AZ28" s="64">
        <f>-MAX(0,AZ26-AZ27)*Inputs!$C$100</f>
        <v/>
      </c>
      <c r="BA28" s="64">
        <f>-MAX(0,BA26-BA27)*Inputs!$C$100</f>
        <v/>
      </c>
      <c r="BB28" s="64">
        <f>-MAX(0,BB26-BB27)*Inputs!$C$100</f>
        <v/>
      </c>
      <c r="BC28" s="64">
        <f>-MAX(0,BC26-BC27)*Inputs!$C$100</f>
        <v/>
      </c>
      <c r="BD28" s="64">
        <f>-MAX(0,BD26-BD27)*Inputs!$C$100</f>
        <v/>
      </c>
      <c r="BE28" s="64">
        <f>-MAX(0,BE26-BE27)*Inputs!$C$100</f>
        <v/>
      </c>
      <c r="BF28" s="64">
        <f>-MAX(0,BF26-BF27)*Inputs!$C$100</f>
        <v/>
      </c>
      <c r="BG28" s="64">
        <f>-MAX(0,BG26-BG27)*Inputs!$C$100</f>
        <v/>
      </c>
      <c r="BH28" s="64">
        <f>-MAX(0,BH26-BH27)*Inputs!$C$100</f>
        <v/>
      </c>
      <c r="BI28" s="64">
        <f>-MAX(0,BI26-BI27)*Inputs!$C$100</f>
        <v/>
      </c>
      <c r="BJ28" s="64">
        <f>-MAX(0,BJ26-BJ27)*Inputs!$C$100</f>
        <v/>
      </c>
      <c r="BK28" s="64">
        <f>-MAX(0,BK26-BK27)*Inputs!$C$100</f>
        <v/>
      </c>
    </row>
    <row r="29">
      <c r="B29" s="69" t="inlineStr">
        <is>
          <t>Net income</t>
        </is>
      </c>
      <c r="C29" s="98" t="inlineStr">
        <is>
          <t>EUR</t>
        </is>
      </c>
      <c r="D29" s="71">
        <f>D26+D28</f>
        <v/>
      </c>
      <c r="E29" s="71">
        <f>E26+E28</f>
        <v/>
      </c>
      <c r="F29" s="71">
        <f>F26+F28</f>
        <v/>
      </c>
      <c r="G29" s="71">
        <f>G26+G28</f>
        <v/>
      </c>
      <c r="H29" s="71">
        <f>H26+H28</f>
        <v/>
      </c>
      <c r="I29" s="71">
        <f>I26+I28</f>
        <v/>
      </c>
      <c r="J29" s="71">
        <f>J26+J28</f>
        <v/>
      </c>
      <c r="K29" s="71">
        <f>K26+K28</f>
        <v/>
      </c>
      <c r="L29" s="71">
        <f>L26+L28</f>
        <v/>
      </c>
      <c r="M29" s="71">
        <f>M26+M28</f>
        <v/>
      </c>
      <c r="N29" s="71">
        <f>N26+N28</f>
        <v/>
      </c>
      <c r="O29" s="71">
        <f>O26+O28</f>
        <v/>
      </c>
      <c r="P29" s="71">
        <f>P26+P28</f>
        <v/>
      </c>
      <c r="Q29" s="71">
        <f>Q26+Q28</f>
        <v/>
      </c>
      <c r="R29" s="71">
        <f>R26+R28</f>
        <v/>
      </c>
      <c r="S29" s="71">
        <f>S26+S28</f>
        <v/>
      </c>
      <c r="T29" s="71">
        <f>T26+T28</f>
        <v/>
      </c>
      <c r="U29" s="71">
        <f>U26+U28</f>
        <v/>
      </c>
      <c r="V29" s="71">
        <f>V26+V28</f>
        <v/>
      </c>
      <c r="W29" s="71">
        <f>W26+W28</f>
        <v/>
      </c>
      <c r="X29" s="71">
        <f>X26+X28</f>
        <v/>
      </c>
      <c r="Y29" s="71">
        <f>Y26+Y28</f>
        <v/>
      </c>
      <c r="Z29" s="71">
        <f>Z26+Z28</f>
        <v/>
      </c>
      <c r="AA29" s="71">
        <f>AA26+AA28</f>
        <v/>
      </c>
      <c r="AB29" s="71">
        <f>AB26+AB28</f>
        <v/>
      </c>
      <c r="AC29" s="71">
        <f>AC26+AC28</f>
        <v/>
      </c>
      <c r="AD29" s="71">
        <f>AD26+AD28</f>
        <v/>
      </c>
      <c r="AE29" s="71">
        <f>AE26+AE28</f>
        <v/>
      </c>
      <c r="AF29" s="71">
        <f>AF26+AF28</f>
        <v/>
      </c>
      <c r="AG29" s="71">
        <f>AG26+AG28</f>
        <v/>
      </c>
      <c r="AH29" s="71">
        <f>AH26+AH28</f>
        <v/>
      </c>
      <c r="AI29" s="71">
        <f>AI26+AI28</f>
        <v/>
      </c>
      <c r="AJ29" s="71">
        <f>AJ26+AJ28</f>
        <v/>
      </c>
      <c r="AK29" s="71">
        <f>AK26+AK28</f>
        <v/>
      </c>
      <c r="AL29" s="71">
        <f>AL26+AL28</f>
        <v/>
      </c>
      <c r="AM29" s="71">
        <f>AM26+AM28</f>
        <v/>
      </c>
      <c r="AN29" s="71">
        <f>AN26+AN28</f>
        <v/>
      </c>
      <c r="AO29" s="71">
        <f>AO26+AO28</f>
        <v/>
      </c>
      <c r="AP29" s="71">
        <f>AP26+AP28</f>
        <v/>
      </c>
      <c r="AQ29" s="71">
        <f>AQ26+AQ28</f>
        <v/>
      </c>
      <c r="AR29" s="71">
        <f>AR26+AR28</f>
        <v/>
      </c>
      <c r="AS29" s="71">
        <f>AS26+AS28</f>
        <v/>
      </c>
      <c r="AT29" s="71">
        <f>AT26+AT28</f>
        <v/>
      </c>
      <c r="AU29" s="71">
        <f>AU26+AU28</f>
        <v/>
      </c>
      <c r="AV29" s="71">
        <f>AV26+AV28</f>
        <v/>
      </c>
      <c r="AW29" s="71">
        <f>AW26+AW28</f>
        <v/>
      </c>
      <c r="AX29" s="71">
        <f>AX26+AX28</f>
        <v/>
      </c>
      <c r="AY29" s="71">
        <f>AY26+AY28</f>
        <v/>
      </c>
      <c r="AZ29" s="71">
        <f>AZ26+AZ28</f>
        <v/>
      </c>
      <c r="BA29" s="71">
        <f>BA26+BA28</f>
        <v/>
      </c>
      <c r="BB29" s="71">
        <f>BB26+BB28</f>
        <v/>
      </c>
      <c r="BC29" s="71">
        <f>BC26+BC28</f>
        <v/>
      </c>
      <c r="BD29" s="71">
        <f>BD26+BD28</f>
        <v/>
      </c>
      <c r="BE29" s="71">
        <f>BE26+BE28</f>
        <v/>
      </c>
      <c r="BF29" s="71">
        <f>BF26+BF28</f>
        <v/>
      </c>
      <c r="BG29" s="71">
        <f>BG26+BG28</f>
        <v/>
      </c>
      <c r="BH29" s="71">
        <f>BH26+BH28</f>
        <v/>
      </c>
      <c r="BI29" s="71">
        <f>BI26+BI28</f>
        <v/>
      </c>
      <c r="BJ29" s="71">
        <f>BJ26+BJ28</f>
        <v/>
      </c>
      <c r="BK29" s="71">
        <f>BK26+BK28</f>
        <v/>
      </c>
    </row>
    <row r="30">
      <c r="B30" s="61" t="inlineStr">
        <is>
          <t>Tax loss pool — closing</t>
        </is>
      </c>
      <c r="C30" s="92" t="inlineStr">
        <is>
          <t>EUR</t>
        </is>
      </c>
      <c r="D30" s="64">
        <f>MAX(0,D27-D26)</f>
        <v/>
      </c>
      <c r="E30" s="64">
        <f>MAX(0,E27-E26)</f>
        <v/>
      </c>
      <c r="F30" s="64">
        <f>MAX(0,F27-F26)</f>
        <v/>
      </c>
      <c r="G30" s="64">
        <f>MAX(0,G27-G26)</f>
        <v/>
      </c>
      <c r="H30" s="64">
        <f>MAX(0,H27-H26)</f>
        <v/>
      </c>
      <c r="I30" s="64">
        <f>MAX(0,I27-I26)</f>
        <v/>
      </c>
      <c r="J30" s="64">
        <f>MAX(0,J27-J26)</f>
        <v/>
      </c>
      <c r="K30" s="64">
        <f>MAX(0,K27-K26)</f>
        <v/>
      </c>
      <c r="L30" s="64">
        <f>MAX(0,L27-L26)</f>
        <v/>
      </c>
      <c r="M30" s="64">
        <f>MAX(0,M27-M26)</f>
        <v/>
      </c>
      <c r="N30" s="64">
        <f>MAX(0,N27-N26)</f>
        <v/>
      </c>
      <c r="O30" s="64">
        <f>MAX(0,O27-O26)</f>
        <v/>
      </c>
      <c r="P30" s="64">
        <f>MAX(0,P27-P26)</f>
        <v/>
      </c>
      <c r="Q30" s="64">
        <f>MAX(0,Q27-Q26)</f>
        <v/>
      </c>
      <c r="R30" s="64">
        <f>MAX(0,R27-R26)</f>
        <v/>
      </c>
      <c r="S30" s="64">
        <f>MAX(0,S27-S26)</f>
        <v/>
      </c>
      <c r="T30" s="64">
        <f>MAX(0,T27-T26)</f>
        <v/>
      </c>
      <c r="U30" s="64">
        <f>MAX(0,U27-U26)</f>
        <v/>
      </c>
      <c r="V30" s="64">
        <f>MAX(0,V27-V26)</f>
        <v/>
      </c>
      <c r="W30" s="64">
        <f>MAX(0,W27-W26)</f>
        <v/>
      </c>
      <c r="X30" s="64">
        <f>MAX(0,X27-X26)</f>
        <v/>
      </c>
      <c r="Y30" s="64">
        <f>MAX(0,Y27-Y26)</f>
        <v/>
      </c>
      <c r="Z30" s="64">
        <f>MAX(0,Z27-Z26)</f>
        <v/>
      </c>
      <c r="AA30" s="64">
        <f>MAX(0,AA27-AA26)</f>
        <v/>
      </c>
      <c r="AB30" s="64">
        <f>MAX(0,AB27-AB26)</f>
        <v/>
      </c>
      <c r="AC30" s="64">
        <f>MAX(0,AC27-AC26)</f>
        <v/>
      </c>
      <c r="AD30" s="64">
        <f>MAX(0,AD27-AD26)</f>
        <v/>
      </c>
      <c r="AE30" s="64">
        <f>MAX(0,AE27-AE26)</f>
        <v/>
      </c>
      <c r="AF30" s="64">
        <f>MAX(0,AF27-AF26)</f>
        <v/>
      </c>
      <c r="AG30" s="64">
        <f>MAX(0,AG27-AG26)</f>
        <v/>
      </c>
      <c r="AH30" s="64">
        <f>MAX(0,AH27-AH26)</f>
        <v/>
      </c>
      <c r="AI30" s="64">
        <f>MAX(0,AI27-AI26)</f>
        <v/>
      </c>
      <c r="AJ30" s="64">
        <f>MAX(0,AJ27-AJ26)</f>
        <v/>
      </c>
      <c r="AK30" s="64">
        <f>MAX(0,AK27-AK26)</f>
        <v/>
      </c>
      <c r="AL30" s="64">
        <f>MAX(0,AL27-AL26)</f>
        <v/>
      </c>
      <c r="AM30" s="64">
        <f>MAX(0,AM27-AM26)</f>
        <v/>
      </c>
      <c r="AN30" s="64">
        <f>MAX(0,AN27-AN26)</f>
        <v/>
      </c>
      <c r="AO30" s="64">
        <f>MAX(0,AO27-AO26)</f>
        <v/>
      </c>
      <c r="AP30" s="64">
        <f>MAX(0,AP27-AP26)</f>
        <v/>
      </c>
      <c r="AQ30" s="64">
        <f>MAX(0,AQ27-AQ26)</f>
        <v/>
      </c>
      <c r="AR30" s="64">
        <f>MAX(0,AR27-AR26)</f>
        <v/>
      </c>
      <c r="AS30" s="64">
        <f>MAX(0,AS27-AS26)</f>
        <v/>
      </c>
      <c r="AT30" s="64">
        <f>MAX(0,AT27-AT26)</f>
        <v/>
      </c>
      <c r="AU30" s="64">
        <f>MAX(0,AU27-AU26)</f>
        <v/>
      </c>
      <c r="AV30" s="64">
        <f>MAX(0,AV27-AV26)</f>
        <v/>
      </c>
      <c r="AW30" s="64">
        <f>MAX(0,AW27-AW26)</f>
        <v/>
      </c>
      <c r="AX30" s="64">
        <f>MAX(0,AX27-AX26)</f>
        <v/>
      </c>
      <c r="AY30" s="64">
        <f>MAX(0,AY27-AY26)</f>
        <v/>
      </c>
      <c r="AZ30" s="64">
        <f>MAX(0,AZ27-AZ26)</f>
        <v/>
      </c>
      <c r="BA30" s="64">
        <f>MAX(0,BA27-BA26)</f>
        <v/>
      </c>
      <c r="BB30" s="64">
        <f>MAX(0,BB27-BB26)</f>
        <v/>
      </c>
      <c r="BC30" s="64">
        <f>MAX(0,BC27-BC26)</f>
        <v/>
      </c>
      <c r="BD30" s="64">
        <f>MAX(0,BD27-BD26)</f>
        <v/>
      </c>
      <c r="BE30" s="64">
        <f>MAX(0,BE27-BE26)</f>
        <v/>
      </c>
      <c r="BF30" s="64">
        <f>MAX(0,BF27-BF26)</f>
        <v/>
      </c>
      <c r="BG30" s="64">
        <f>MAX(0,BG27-BG26)</f>
        <v/>
      </c>
      <c r="BH30" s="64">
        <f>MAX(0,BH27-BH26)</f>
        <v/>
      </c>
      <c r="BI30" s="64">
        <f>MAX(0,BI27-BI26)</f>
        <v/>
      </c>
      <c r="BJ30" s="64">
        <f>MAX(0,BJ27-BJ26)</f>
        <v/>
      </c>
      <c r="BK30" s="64">
        <f>MAX(0,BK27-BK26)</f>
        <v/>
      </c>
    </row>
    <row r="32">
      <c r="B32" s="23" t="inlineStr">
        <is>
          <t>CAPITAL EXPENDITURE  (EUR)</t>
        </is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  <c r="BC32" s="23" t="n"/>
      <c r="BD32" s="23" t="n"/>
      <c r="BE32" s="23" t="n"/>
      <c r="BF32" s="23" t="n"/>
      <c r="BG32" s="23" t="n"/>
      <c r="BH32" s="23" t="n"/>
      <c r="BI32" s="23" t="n"/>
      <c r="BJ32" s="23" t="n"/>
    </row>
    <row r="33">
      <c r="B33" s="61" t="inlineStr">
        <is>
          <t xml:space="preserve">    Voice Care platform build</t>
        </is>
      </c>
      <c r="C33" s="92" t="inlineStr">
        <is>
          <t>EUR</t>
        </is>
      </c>
      <c r="D33" s="64">
        <f>IF(D4&lt;=Inputs!$C$12,Inputs!$C$86/Inputs!$C$12,0)</f>
        <v/>
      </c>
      <c r="E33" s="64">
        <f>IF(E4&lt;=Inputs!$C$12,Inputs!$C$86/Inputs!$C$12,0)</f>
        <v/>
      </c>
      <c r="F33" s="64">
        <f>IF(F4&lt;=Inputs!$C$12,Inputs!$C$86/Inputs!$C$12,0)</f>
        <v/>
      </c>
      <c r="G33" s="64">
        <f>IF(G4&lt;=Inputs!$C$12,Inputs!$C$86/Inputs!$C$12,0)</f>
        <v/>
      </c>
      <c r="H33" s="64">
        <f>IF(H4&lt;=Inputs!$C$12,Inputs!$C$86/Inputs!$C$12,0)</f>
        <v/>
      </c>
      <c r="I33" s="64">
        <f>IF(I4&lt;=Inputs!$C$12,Inputs!$C$86/Inputs!$C$12,0)</f>
        <v/>
      </c>
      <c r="J33" s="64">
        <f>IF(J4&lt;=Inputs!$C$12,Inputs!$C$86/Inputs!$C$12,0)</f>
        <v/>
      </c>
      <c r="K33" s="64">
        <f>IF(K4&lt;=Inputs!$C$12,Inputs!$C$86/Inputs!$C$12,0)</f>
        <v/>
      </c>
      <c r="L33" s="64">
        <f>IF(L4&lt;=Inputs!$C$12,Inputs!$C$86/Inputs!$C$12,0)</f>
        <v/>
      </c>
      <c r="M33" s="64">
        <f>IF(M4&lt;=Inputs!$C$12,Inputs!$C$86/Inputs!$C$12,0)</f>
        <v/>
      </c>
      <c r="N33" s="64">
        <f>IF(N4&lt;=Inputs!$C$12,Inputs!$C$86/Inputs!$C$12,0)</f>
        <v/>
      </c>
      <c r="O33" s="64">
        <f>IF(O4&lt;=Inputs!$C$12,Inputs!$C$86/Inputs!$C$12,0)</f>
        <v/>
      </c>
      <c r="P33" s="64">
        <f>IF(P4&lt;=Inputs!$C$12,Inputs!$C$86/Inputs!$C$12,0)</f>
        <v/>
      </c>
      <c r="Q33" s="64">
        <f>IF(Q4&lt;=Inputs!$C$12,Inputs!$C$86/Inputs!$C$12,0)</f>
        <v/>
      </c>
      <c r="R33" s="64">
        <f>IF(R4&lt;=Inputs!$C$12,Inputs!$C$86/Inputs!$C$12,0)</f>
        <v/>
      </c>
      <c r="S33" s="64">
        <f>IF(S4&lt;=Inputs!$C$12,Inputs!$C$86/Inputs!$C$12,0)</f>
        <v/>
      </c>
      <c r="T33" s="64">
        <f>IF(T4&lt;=Inputs!$C$12,Inputs!$C$86/Inputs!$C$12,0)</f>
        <v/>
      </c>
      <c r="U33" s="64">
        <f>IF(U4&lt;=Inputs!$C$12,Inputs!$C$86/Inputs!$C$12,0)</f>
        <v/>
      </c>
      <c r="V33" s="64">
        <f>IF(V4&lt;=Inputs!$C$12,Inputs!$C$86/Inputs!$C$12,0)</f>
        <v/>
      </c>
      <c r="W33" s="64">
        <f>IF(W4&lt;=Inputs!$C$12,Inputs!$C$86/Inputs!$C$12,0)</f>
        <v/>
      </c>
      <c r="X33" s="64">
        <f>IF(X4&lt;=Inputs!$C$12,Inputs!$C$86/Inputs!$C$12,0)</f>
        <v/>
      </c>
      <c r="Y33" s="64">
        <f>IF(Y4&lt;=Inputs!$C$12,Inputs!$C$86/Inputs!$C$12,0)</f>
        <v/>
      </c>
      <c r="Z33" s="64">
        <f>IF(Z4&lt;=Inputs!$C$12,Inputs!$C$86/Inputs!$C$12,0)</f>
        <v/>
      </c>
      <c r="AA33" s="64">
        <f>IF(AA4&lt;=Inputs!$C$12,Inputs!$C$86/Inputs!$C$12,0)</f>
        <v/>
      </c>
      <c r="AB33" s="64">
        <f>IF(AB4&lt;=Inputs!$C$12,Inputs!$C$86/Inputs!$C$12,0)</f>
        <v/>
      </c>
      <c r="AC33" s="64">
        <f>IF(AC4&lt;=Inputs!$C$12,Inputs!$C$86/Inputs!$C$12,0)</f>
        <v/>
      </c>
      <c r="AD33" s="64">
        <f>IF(AD4&lt;=Inputs!$C$12,Inputs!$C$86/Inputs!$C$12,0)</f>
        <v/>
      </c>
      <c r="AE33" s="64">
        <f>IF(AE4&lt;=Inputs!$C$12,Inputs!$C$86/Inputs!$C$12,0)</f>
        <v/>
      </c>
      <c r="AF33" s="64">
        <f>IF(AF4&lt;=Inputs!$C$12,Inputs!$C$86/Inputs!$C$12,0)</f>
        <v/>
      </c>
      <c r="AG33" s="64">
        <f>IF(AG4&lt;=Inputs!$C$12,Inputs!$C$86/Inputs!$C$12,0)</f>
        <v/>
      </c>
      <c r="AH33" s="64">
        <f>IF(AH4&lt;=Inputs!$C$12,Inputs!$C$86/Inputs!$C$12,0)</f>
        <v/>
      </c>
      <c r="AI33" s="64">
        <f>IF(AI4&lt;=Inputs!$C$12,Inputs!$C$86/Inputs!$C$12,0)</f>
        <v/>
      </c>
      <c r="AJ33" s="64">
        <f>IF(AJ4&lt;=Inputs!$C$12,Inputs!$C$86/Inputs!$C$12,0)</f>
        <v/>
      </c>
      <c r="AK33" s="64">
        <f>IF(AK4&lt;=Inputs!$C$12,Inputs!$C$86/Inputs!$C$12,0)</f>
        <v/>
      </c>
      <c r="AL33" s="64">
        <f>IF(AL4&lt;=Inputs!$C$12,Inputs!$C$86/Inputs!$C$12,0)</f>
        <v/>
      </c>
      <c r="AM33" s="64">
        <f>IF(AM4&lt;=Inputs!$C$12,Inputs!$C$86/Inputs!$C$12,0)</f>
        <v/>
      </c>
      <c r="AN33" s="64">
        <f>IF(AN4&lt;=Inputs!$C$12,Inputs!$C$86/Inputs!$C$12,0)</f>
        <v/>
      </c>
      <c r="AO33" s="64">
        <f>IF(AO4&lt;=Inputs!$C$12,Inputs!$C$86/Inputs!$C$12,0)</f>
        <v/>
      </c>
      <c r="AP33" s="64">
        <f>IF(AP4&lt;=Inputs!$C$12,Inputs!$C$86/Inputs!$C$12,0)</f>
        <v/>
      </c>
      <c r="AQ33" s="64">
        <f>IF(AQ4&lt;=Inputs!$C$12,Inputs!$C$86/Inputs!$C$12,0)</f>
        <v/>
      </c>
      <c r="AR33" s="64">
        <f>IF(AR4&lt;=Inputs!$C$12,Inputs!$C$86/Inputs!$C$12,0)</f>
        <v/>
      </c>
      <c r="AS33" s="64">
        <f>IF(AS4&lt;=Inputs!$C$12,Inputs!$C$86/Inputs!$C$12,0)</f>
        <v/>
      </c>
      <c r="AT33" s="64">
        <f>IF(AT4&lt;=Inputs!$C$12,Inputs!$C$86/Inputs!$C$12,0)</f>
        <v/>
      </c>
      <c r="AU33" s="64">
        <f>IF(AU4&lt;=Inputs!$C$12,Inputs!$C$86/Inputs!$C$12,0)</f>
        <v/>
      </c>
      <c r="AV33" s="64">
        <f>IF(AV4&lt;=Inputs!$C$12,Inputs!$C$86/Inputs!$C$12,0)</f>
        <v/>
      </c>
      <c r="AW33" s="64">
        <f>IF(AW4&lt;=Inputs!$C$12,Inputs!$C$86/Inputs!$C$12,0)</f>
        <v/>
      </c>
      <c r="AX33" s="64">
        <f>IF(AX4&lt;=Inputs!$C$12,Inputs!$C$86/Inputs!$C$12,0)</f>
        <v/>
      </c>
      <c r="AY33" s="64">
        <f>IF(AY4&lt;=Inputs!$C$12,Inputs!$C$86/Inputs!$C$12,0)</f>
        <v/>
      </c>
      <c r="AZ33" s="64">
        <f>IF(AZ4&lt;=Inputs!$C$12,Inputs!$C$86/Inputs!$C$12,0)</f>
        <v/>
      </c>
      <c r="BA33" s="64">
        <f>IF(BA4&lt;=Inputs!$C$12,Inputs!$C$86/Inputs!$C$12,0)</f>
        <v/>
      </c>
      <c r="BB33" s="64">
        <f>IF(BB4&lt;=Inputs!$C$12,Inputs!$C$86/Inputs!$C$12,0)</f>
        <v/>
      </c>
      <c r="BC33" s="64">
        <f>IF(BC4&lt;=Inputs!$C$12,Inputs!$C$86/Inputs!$C$12,0)</f>
        <v/>
      </c>
      <c r="BD33" s="64">
        <f>IF(BD4&lt;=Inputs!$C$12,Inputs!$C$86/Inputs!$C$12,0)</f>
        <v/>
      </c>
      <c r="BE33" s="64">
        <f>IF(BE4&lt;=Inputs!$C$12,Inputs!$C$86/Inputs!$C$12,0)</f>
        <v/>
      </c>
      <c r="BF33" s="64">
        <f>IF(BF4&lt;=Inputs!$C$12,Inputs!$C$86/Inputs!$C$12,0)</f>
        <v/>
      </c>
      <c r="BG33" s="64">
        <f>IF(BG4&lt;=Inputs!$C$12,Inputs!$C$86/Inputs!$C$12,0)</f>
        <v/>
      </c>
      <c r="BH33" s="64">
        <f>IF(BH4&lt;=Inputs!$C$12,Inputs!$C$86/Inputs!$C$12,0)</f>
        <v/>
      </c>
      <c r="BI33" s="64">
        <f>IF(BI4&lt;=Inputs!$C$12,Inputs!$C$86/Inputs!$C$12,0)</f>
        <v/>
      </c>
      <c r="BJ33" s="64">
        <f>IF(BJ4&lt;=Inputs!$C$12,Inputs!$C$86/Inputs!$C$12,0)</f>
        <v/>
      </c>
      <c r="BK33" s="64">
        <f>IF(BK4&lt;=Inputs!$C$12,Inputs!$C$86/Inputs!$C$12,0)</f>
        <v/>
      </c>
    </row>
    <row r="34">
      <c r="B34" s="61" t="inlineStr">
        <is>
          <t xml:space="preserve">    Preventive Care module</t>
        </is>
      </c>
      <c r="C34" s="92" t="inlineStr">
        <is>
          <t>EUR</t>
        </is>
      </c>
      <c r="D34" s="64">
        <f>IF(D4=Inputs!$C$15,Inputs!$C$87,0)</f>
        <v/>
      </c>
      <c r="E34" s="64">
        <f>IF(E4=Inputs!$C$15,Inputs!$C$87,0)</f>
        <v/>
      </c>
      <c r="F34" s="64">
        <f>IF(F4=Inputs!$C$15,Inputs!$C$87,0)</f>
        <v/>
      </c>
      <c r="G34" s="64">
        <f>IF(G4=Inputs!$C$15,Inputs!$C$87,0)</f>
        <v/>
      </c>
      <c r="H34" s="64">
        <f>IF(H4=Inputs!$C$15,Inputs!$C$87,0)</f>
        <v/>
      </c>
      <c r="I34" s="64">
        <f>IF(I4=Inputs!$C$15,Inputs!$C$87,0)</f>
        <v/>
      </c>
      <c r="J34" s="64">
        <f>IF(J4=Inputs!$C$15,Inputs!$C$87,0)</f>
        <v/>
      </c>
      <c r="K34" s="64">
        <f>IF(K4=Inputs!$C$15,Inputs!$C$87,0)</f>
        <v/>
      </c>
      <c r="L34" s="64">
        <f>IF(L4=Inputs!$C$15,Inputs!$C$87,0)</f>
        <v/>
      </c>
      <c r="M34" s="64">
        <f>IF(M4=Inputs!$C$15,Inputs!$C$87,0)</f>
        <v/>
      </c>
      <c r="N34" s="64">
        <f>IF(N4=Inputs!$C$15,Inputs!$C$87,0)</f>
        <v/>
      </c>
      <c r="O34" s="64">
        <f>IF(O4=Inputs!$C$15,Inputs!$C$87,0)</f>
        <v/>
      </c>
      <c r="P34" s="64">
        <f>IF(P4=Inputs!$C$15,Inputs!$C$87,0)</f>
        <v/>
      </c>
      <c r="Q34" s="64">
        <f>IF(Q4=Inputs!$C$15,Inputs!$C$87,0)</f>
        <v/>
      </c>
      <c r="R34" s="64">
        <f>IF(R4=Inputs!$C$15,Inputs!$C$87,0)</f>
        <v/>
      </c>
      <c r="S34" s="64">
        <f>IF(S4=Inputs!$C$15,Inputs!$C$87,0)</f>
        <v/>
      </c>
      <c r="T34" s="64">
        <f>IF(T4=Inputs!$C$15,Inputs!$C$87,0)</f>
        <v/>
      </c>
      <c r="U34" s="64">
        <f>IF(U4=Inputs!$C$15,Inputs!$C$87,0)</f>
        <v/>
      </c>
      <c r="V34" s="64">
        <f>IF(V4=Inputs!$C$15,Inputs!$C$87,0)</f>
        <v/>
      </c>
      <c r="W34" s="64">
        <f>IF(W4=Inputs!$C$15,Inputs!$C$87,0)</f>
        <v/>
      </c>
      <c r="X34" s="64">
        <f>IF(X4=Inputs!$C$15,Inputs!$C$87,0)</f>
        <v/>
      </c>
      <c r="Y34" s="64">
        <f>IF(Y4=Inputs!$C$15,Inputs!$C$87,0)</f>
        <v/>
      </c>
      <c r="Z34" s="64">
        <f>IF(Z4=Inputs!$C$15,Inputs!$C$87,0)</f>
        <v/>
      </c>
      <c r="AA34" s="64">
        <f>IF(AA4=Inputs!$C$15,Inputs!$C$87,0)</f>
        <v/>
      </c>
      <c r="AB34" s="64">
        <f>IF(AB4=Inputs!$C$15,Inputs!$C$87,0)</f>
        <v/>
      </c>
      <c r="AC34" s="64">
        <f>IF(AC4=Inputs!$C$15,Inputs!$C$87,0)</f>
        <v/>
      </c>
      <c r="AD34" s="64">
        <f>IF(AD4=Inputs!$C$15,Inputs!$C$87,0)</f>
        <v/>
      </c>
      <c r="AE34" s="64">
        <f>IF(AE4=Inputs!$C$15,Inputs!$C$87,0)</f>
        <v/>
      </c>
      <c r="AF34" s="64">
        <f>IF(AF4=Inputs!$C$15,Inputs!$C$87,0)</f>
        <v/>
      </c>
      <c r="AG34" s="64">
        <f>IF(AG4=Inputs!$C$15,Inputs!$C$87,0)</f>
        <v/>
      </c>
      <c r="AH34" s="64">
        <f>IF(AH4=Inputs!$C$15,Inputs!$C$87,0)</f>
        <v/>
      </c>
      <c r="AI34" s="64">
        <f>IF(AI4=Inputs!$C$15,Inputs!$C$87,0)</f>
        <v/>
      </c>
      <c r="AJ34" s="64">
        <f>IF(AJ4=Inputs!$C$15,Inputs!$C$87,0)</f>
        <v/>
      </c>
      <c r="AK34" s="64">
        <f>IF(AK4=Inputs!$C$15,Inputs!$C$87,0)</f>
        <v/>
      </c>
      <c r="AL34" s="64">
        <f>IF(AL4=Inputs!$C$15,Inputs!$C$87,0)</f>
        <v/>
      </c>
      <c r="AM34" s="64">
        <f>IF(AM4=Inputs!$C$15,Inputs!$C$87,0)</f>
        <v/>
      </c>
      <c r="AN34" s="64">
        <f>IF(AN4=Inputs!$C$15,Inputs!$C$87,0)</f>
        <v/>
      </c>
      <c r="AO34" s="64">
        <f>IF(AO4=Inputs!$C$15,Inputs!$C$87,0)</f>
        <v/>
      </c>
      <c r="AP34" s="64">
        <f>IF(AP4=Inputs!$C$15,Inputs!$C$87,0)</f>
        <v/>
      </c>
      <c r="AQ34" s="64">
        <f>IF(AQ4=Inputs!$C$15,Inputs!$C$87,0)</f>
        <v/>
      </c>
      <c r="AR34" s="64">
        <f>IF(AR4=Inputs!$C$15,Inputs!$C$87,0)</f>
        <v/>
      </c>
      <c r="AS34" s="64">
        <f>IF(AS4=Inputs!$C$15,Inputs!$C$87,0)</f>
        <v/>
      </c>
      <c r="AT34" s="64">
        <f>IF(AT4=Inputs!$C$15,Inputs!$C$87,0)</f>
        <v/>
      </c>
      <c r="AU34" s="64">
        <f>IF(AU4=Inputs!$C$15,Inputs!$C$87,0)</f>
        <v/>
      </c>
      <c r="AV34" s="64">
        <f>IF(AV4=Inputs!$C$15,Inputs!$C$87,0)</f>
        <v/>
      </c>
      <c r="AW34" s="64">
        <f>IF(AW4=Inputs!$C$15,Inputs!$C$87,0)</f>
        <v/>
      </c>
      <c r="AX34" s="64">
        <f>IF(AX4=Inputs!$C$15,Inputs!$C$87,0)</f>
        <v/>
      </c>
      <c r="AY34" s="64">
        <f>IF(AY4=Inputs!$C$15,Inputs!$C$87,0)</f>
        <v/>
      </c>
      <c r="AZ34" s="64">
        <f>IF(AZ4=Inputs!$C$15,Inputs!$C$87,0)</f>
        <v/>
      </c>
      <c r="BA34" s="64">
        <f>IF(BA4=Inputs!$C$15,Inputs!$C$87,0)</f>
        <v/>
      </c>
      <c r="BB34" s="64">
        <f>IF(BB4=Inputs!$C$15,Inputs!$C$87,0)</f>
        <v/>
      </c>
      <c r="BC34" s="64">
        <f>IF(BC4=Inputs!$C$15,Inputs!$C$87,0)</f>
        <v/>
      </c>
      <c r="BD34" s="64">
        <f>IF(BD4=Inputs!$C$15,Inputs!$C$87,0)</f>
        <v/>
      </c>
      <c r="BE34" s="64">
        <f>IF(BE4=Inputs!$C$15,Inputs!$C$87,0)</f>
        <v/>
      </c>
      <c r="BF34" s="64">
        <f>IF(BF4=Inputs!$C$15,Inputs!$C$87,0)</f>
        <v/>
      </c>
      <c r="BG34" s="64">
        <f>IF(BG4=Inputs!$C$15,Inputs!$C$87,0)</f>
        <v/>
      </c>
      <c r="BH34" s="64">
        <f>IF(BH4=Inputs!$C$15,Inputs!$C$87,0)</f>
        <v/>
      </c>
      <c r="BI34" s="64">
        <f>IF(BI4=Inputs!$C$15,Inputs!$C$87,0)</f>
        <v/>
      </c>
      <c r="BJ34" s="64">
        <f>IF(BJ4=Inputs!$C$15,Inputs!$C$87,0)</f>
        <v/>
      </c>
      <c r="BK34" s="64">
        <f>IF(BK4=Inputs!$C$15,Inputs!$C$87,0)</f>
        <v/>
      </c>
    </row>
    <row r="35">
      <c r="B35" s="61" t="inlineStr">
        <is>
          <t xml:space="preserve">    Spain localisation &amp; compliance</t>
        </is>
      </c>
      <c r="C35" s="92" t="inlineStr">
        <is>
          <t>EUR</t>
        </is>
      </c>
      <c r="D35" s="64">
        <f>IF(D4=Inputs!$C$14,Inputs!$C$88,0)</f>
        <v/>
      </c>
      <c r="E35" s="64">
        <f>IF(E4=Inputs!$C$14,Inputs!$C$88,0)</f>
        <v/>
      </c>
      <c r="F35" s="64">
        <f>IF(F4=Inputs!$C$14,Inputs!$C$88,0)</f>
        <v/>
      </c>
      <c r="G35" s="64">
        <f>IF(G4=Inputs!$C$14,Inputs!$C$88,0)</f>
        <v/>
      </c>
      <c r="H35" s="64">
        <f>IF(H4=Inputs!$C$14,Inputs!$C$88,0)</f>
        <v/>
      </c>
      <c r="I35" s="64">
        <f>IF(I4=Inputs!$C$14,Inputs!$C$88,0)</f>
        <v/>
      </c>
      <c r="J35" s="64">
        <f>IF(J4=Inputs!$C$14,Inputs!$C$88,0)</f>
        <v/>
      </c>
      <c r="K35" s="64">
        <f>IF(K4=Inputs!$C$14,Inputs!$C$88,0)</f>
        <v/>
      </c>
      <c r="L35" s="64">
        <f>IF(L4=Inputs!$C$14,Inputs!$C$88,0)</f>
        <v/>
      </c>
      <c r="M35" s="64">
        <f>IF(M4=Inputs!$C$14,Inputs!$C$88,0)</f>
        <v/>
      </c>
      <c r="N35" s="64">
        <f>IF(N4=Inputs!$C$14,Inputs!$C$88,0)</f>
        <v/>
      </c>
      <c r="O35" s="64">
        <f>IF(O4=Inputs!$C$14,Inputs!$C$88,0)</f>
        <v/>
      </c>
      <c r="P35" s="64">
        <f>IF(P4=Inputs!$C$14,Inputs!$C$88,0)</f>
        <v/>
      </c>
      <c r="Q35" s="64">
        <f>IF(Q4=Inputs!$C$14,Inputs!$C$88,0)</f>
        <v/>
      </c>
      <c r="R35" s="64">
        <f>IF(R4=Inputs!$C$14,Inputs!$C$88,0)</f>
        <v/>
      </c>
      <c r="S35" s="64">
        <f>IF(S4=Inputs!$C$14,Inputs!$C$88,0)</f>
        <v/>
      </c>
      <c r="T35" s="64">
        <f>IF(T4=Inputs!$C$14,Inputs!$C$88,0)</f>
        <v/>
      </c>
      <c r="U35" s="64">
        <f>IF(U4=Inputs!$C$14,Inputs!$C$88,0)</f>
        <v/>
      </c>
      <c r="V35" s="64">
        <f>IF(V4=Inputs!$C$14,Inputs!$C$88,0)</f>
        <v/>
      </c>
      <c r="W35" s="64">
        <f>IF(W4=Inputs!$C$14,Inputs!$C$88,0)</f>
        <v/>
      </c>
      <c r="X35" s="64">
        <f>IF(X4=Inputs!$C$14,Inputs!$C$88,0)</f>
        <v/>
      </c>
      <c r="Y35" s="64">
        <f>IF(Y4=Inputs!$C$14,Inputs!$C$88,0)</f>
        <v/>
      </c>
      <c r="Z35" s="64">
        <f>IF(Z4=Inputs!$C$14,Inputs!$C$88,0)</f>
        <v/>
      </c>
      <c r="AA35" s="64">
        <f>IF(AA4=Inputs!$C$14,Inputs!$C$88,0)</f>
        <v/>
      </c>
      <c r="AB35" s="64">
        <f>IF(AB4=Inputs!$C$14,Inputs!$C$88,0)</f>
        <v/>
      </c>
      <c r="AC35" s="64">
        <f>IF(AC4=Inputs!$C$14,Inputs!$C$88,0)</f>
        <v/>
      </c>
      <c r="AD35" s="64">
        <f>IF(AD4=Inputs!$C$14,Inputs!$C$88,0)</f>
        <v/>
      </c>
      <c r="AE35" s="64">
        <f>IF(AE4=Inputs!$C$14,Inputs!$C$88,0)</f>
        <v/>
      </c>
      <c r="AF35" s="64">
        <f>IF(AF4=Inputs!$C$14,Inputs!$C$88,0)</f>
        <v/>
      </c>
      <c r="AG35" s="64">
        <f>IF(AG4=Inputs!$C$14,Inputs!$C$88,0)</f>
        <v/>
      </c>
      <c r="AH35" s="64">
        <f>IF(AH4=Inputs!$C$14,Inputs!$C$88,0)</f>
        <v/>
      </c>
      <c r="AI35" s="64">
        <f>IF(AI4=Inputs!$C$14,Inputs!$C$88,0)</f>
        <v/>
      </c>
      <c r="AJ35" s="64">
        <f>IF(AJ4=Inputs!$C$14,Inputs!$C$88,0)</f>
        <v/>
      </c>
      <c r="AK35" s="64">
        <f>IF(AK4=Inputs!$C$14,Inputs!$C$88,0)</f>
        <v/>
      </c>
      <c r="AL35" s="64">
        <f>IF(AL4=Inputs!$C$14,Inputs!$C$88,0)</f>
        <v/>
      </c>
      <c r="AM35" s="64">
        <f>IF(AM4=Inputs!$C$14,Inputs!$C$88,0)</f>
        <v/>
      </c>
      <c r="AN35" s="64">
        <f>IF(AN4=Inputs!$C$14,Inputs!$C$88,0)</f>
        <v/>
      </c>
      <c r="AO35" s="64">
        <f>IF(AO4=Inputs!$C$14,Inputs!$C$88,0)</f>
        <v/>
      </c>
      <c r="AP35" s="64">
        <f>IF(AP4=Inputs!$C$14,Inputs!$C$88,0)</f>
        <v/>
      </c>
      <c r="AQ35" s="64">
        <f>IF(AQ4=Inputs!$C$14,Inputs!$C$88,0)</f>
        <v/>
      </c>
      <c r="AR35" s="64">
        <f>IF(AR4=Inputs!$C$14,Inputs!$C$88,0)</f>
        <v/>
      </c>
      <c r="AS35" s="64">
        <f>IF(AS4=Inputs!$C$14,Inputs!$C$88,0)</f>
        <v/>
      </c>
      <c r="AT35" s="64">
        <f>IF(AT4=Inputs!$C$14,Inputs!$C$88,0)</f>
        <v/>
      </c>
      <c r="AU35" s="64">
        <f>IF(AU4=Inputs!$C$14,Inputs!$C$88,0)</f>
        <v/>
      </c>
      <c r="AV35" s="64">
        <f>IF(AV4=Inputs!$C$14,Inputs!$C$88,0)</f>
        <v/>
      </c>
      <c r="AW35" s="64">
        <f>IF(AW4=Inputs!$C$14,Inputs!$C$88,0)</f>
        <v/>
      </c>
      <c r="AX35" s="64">
        <f>IF(AX4=Inputs!$C$14,Inputs!$C$88,0)</f>
        <v/>
      </c>
      <c r="AY35" s="64">
        <f>IF(AY4=Inputs!$C$14,Inputs!$C$88,0)</f>
        <v/>
      </c>
      <c r="AZ35" s="64">
        <f>IF(AZ4=Inputs!$C$14,Inputs!$C$88,0)</f>
        <v/>
      </c>
      <c r="BA35" s="64">
        <f>IF(BA4=Inputs!$C$14,Inputs!$C$88,0)</f>
        <v/>
      </c>
      <c r="BB35" s="64">
        <f>IF(BB4=Inputs!$C$14,Inputs!$C$88,0)</f>
        <v/>
      </c>
      <c r="BC35" s="64">
        <f>IF(BC4=Inputs!$C$14,Inputs!$C$88,0)</f>
        <v/>
      </c>
      <c r="BD35" s="64">
        <f>IF(BD4=Inputs!$C$14,Inputs!$C$88,0)</f>
        <v/>
      </c>
      <c r="BE35" s="64">
        <f>IF(BE4=Inputs!$C$14,Inputs!$C$88,0)</f>
        <v/>
      </c>
      <c r="BF35" s="64">
        <f>IF(BF4=Inputs!$C$14,Inputs!$C$88,0)</f>
        <v/>
      </c>
      <c r="BG35" s="64">
        <f>IF(BG4=Inputs!$C$14,Inputs!$C$88,0)</f>
        <v/>
      </c>
      <c r="BH35" s="64">
        <f>IF(BH4=Inputs!$C$14,Inputs!$C$88,0)</f>
        <v/>
      </c>
      <c r="BI35" s="64">
        <f>IF(BI4=Inputs!$C$14,Inputs!$C$88,0)</f>
        <v/>
      </c>
      <c r="BJ35" s="64">
        <f>IF(BJ4=Inputs!$C$14,Inputs!$C$88,0)</f>
        <v/>
      </c>
      <c r="BK35" s="64">
        <f>IF(BK4=Inputs!$C$14,Inputs!$C$88,0)</f>
        <v/>
      </c>
    </row>
    <row r="36">
      <c r="B36" s="61" t="inlineStr">
        <is>
          <t xml:space="preserve">    Ongoing development capex</t>
        </is>
      </c>
      <c r="C36" s="92" t="inlineStr">
        <is>
          <t>EUR</t>
        </is>
      </c>
      <c r="D36" s="64">
        <f>IF(D5=1,0,(Inputs!$C$86+IF(D4&gt;Inputs!$C$15,Inputs!$C$87,0)+IF(D4&gt;Inputs!$C$14,Inputs!$C$88,0))*Inputs!$C$89/12)</f>
        <v/>
      </c>
      <c r="E36" s="64">
        <f>IF(E5=1,0,(Inputs!$C$86+IF(E4&gt;Inputs!$C$15,Inputs!$C$87,0)+IF(E4&gt;Inputs!$C$14,Inputs!$C$88,0))*Inputs!$C$89/12)</f>
        <v/>
      </c>
      <c r="F36" s="64">
        <f>IF(F5=1,0,(Inputs!$C$86+IF(F4&gt;Inputs!$C$15,Inputs!$C$87,0)+IF(F4&gt;Inputs!$C$14,Inputs!$C$88,0))*Inputs!$C$89/12)</f>
        <v/>
      </c>
      <c r="G36" s="64">
        <f>IF(G5=1,0,(Inputs!$C$86+IF(G4&gt;Inputs!$C$15,Inputs!$C$87,0)+IF(G4&gt;Inputs!$C$14,Inputs!$C$88,0))*Inputs!$C$89/12)</f>
        <v/>
      </c>
      <c r="H36" s="64">
        <f>IF(H5=1,0,(Inputs!$C$86+IF(H4&gt;Inputs!$C$15,Inputs!$C$87,0)+IF(H4&gt;Inputs!$C$14,Inputs!$C$88,0))*Inputs!$C$89/12)</f>
        <v/>
      </c>
      <c r="I36" s="64">
        <f>IF(I5=1,0,(Inputs!$C$86+IF(I4&gt;Inputs!$C$15,Inputs!$C$87,0)+IF(I4&gt;Inputs!$C$14,Inputs!$C$88,0))*Inputs!$C$89/12)</f>
        <v/>
      </c>
      <c r="J36" s="64">
        <f>IF(J5=1,0,(Inputs!$C$86+IF(J4&gt;Inputs!$C$15,Inputs!$C$87,0)+IF(J4&gt;Inputs!$C$14,Inputs!$C$88,0))*Inputs!$C$89/12)</f>
        <v/>
      </c>
      <c r="K36" s="64">
        <f>IF(K5=1,0,(Inputs!$C$86+IF(K4&gt;Inputs!$C$15,Inputs!$C$87,0)+IF(K4&gt;Inputs!$C$14,Inputs!$C$88,0))*Inputs!$C$89/12)</f>
        <v/>
      </c>
      <c r="L36" s="64">
        <f>IF(L5=1,0,(Inputs!$C$86+IF(L4&gt;Inputs!$C$15,Inputs!$C$87,0)+IF(L4&gt;Inputs!$C$14,Inputs!$C$88,0))*Inputs!$C$89/12)</f>
        <v/>
      </c>
      <c r="M36" s="64">
        <f>IF(M5=1,0,(Inputs!$C$86+IF(M4&gt;Inputs!$C$15,Inputs!$C$87,0)+IF(M4&gt;Inputs!$C$14,Inputs!$C$88,0))*Inputs!$C$89/12)</f>
        <v/>
      </c>
      <c r="N36" s="64">
        <f>IF(N5=1,0,(Inputs!$C$86+IF(N4&gt;Inputs!$C$15,Inputs!$C$87,0)+IF(N4&gt;Inputs!$C$14,Inputs!$C$88,0))*Inputs!$C$89/12)</f>
        <v/>
      </c>
      <c r="O36" s="64">
        <f>IF(O5=1,0,(Inputs!$C$86+IF(O4&gt;Inputs!$C$15,Inputs!$C$87,0)+IF(O4&gt;Inputs!$C$14,Inputs!$C$88,0))*Inputs!$C$89/12)</f>
        <v/>
      </c>
      <c r="P36" s="64">
        <f>IF(P5=1,0,(Inputs!$C$86+IF(P4&gt;Inputs!$C$15,Inputs!$C$87,0)+IF(P4&gt;Inputs!$C$14,Inputs!$C$88,0))*Inputs!$C$89/12)</f>
        <v/>
      </c>
      <c r="Q36" s="64">
        <f>IF(Q5=1,0,(Inputs!$C$86+IF(Q4&gt;Inputs!$C$15,Inputs!$C$87,0)+IF(Q4&gt;Inputs!$C$14,Inputs!$C$88,0))*Inputs!$C$89/12)</f>
        <v/>
      </c>
      <c r="R36" s="64">
        <f>IF(R5=1,0,(Inputs!$C$86+IF(R4&gt;Inputs!$C$15,Inputs!$C$87,0)+IF(R4&gt;Inputs!$C$14,Inputs!$C$88,0))*Inputs!$C$89/12)</f>
        <v/>
      </c>
      <c r="S36" s="64">
        <f>IF(S5=1,0,(Inputs!$C$86+IF(S4&gt;Inputs!$C$15,Inputs!$C$87,0)+IF(S4&gt;Inputs!$C$14,Inputs!$C$88,0))*Inputs!$C$89/12)</f>
        <v/>
      </c>
      <c r="T36" s="64">
        <f>IF(T5=1,0,(Inputs!$C$86+IF(T4&gt;Inputs!$C$15,Inputs!$C$87,0)+IF(T4&gt;Inputs!$C$14,Inputs!$C$88,0))*Inputs!$C$89/12)</f>
        <v/>
      </c>
      <c r="U36" s="64">
        <f>IF(U5=1,0,(Inputs!$C$86+IF(U4&gt;Inputs!$C$15,Inputs!$C$87,0)+IF(U4&gt;Inputs!$C$14,Inputs!$C$88,0))*Inputs!$C$89/12)</f>
        <v/>
      </c>
      <c r="V36" s="64">
        <f>IF(V5=1,0,(Inputs!$C$86+IF(V4&gt;Inputs!$C$15,Inputs!$C$87,0)+IF(V4&gt;Inputs!$C$14,Inputs!$C$88,0))*Inputs!$C$89/12)</f>
        <v/>
      </c>
      <c r="W36" s="64">
        <f>IF(W5=1,0,(Inputs!$C$86+IF(W4&gt;Inputs!$C$15,Inputs!$C$87,0)+IF(W4&gt;Inputs!$C$14,Inputs!$C$88,0))*Inputs!$C$89/12)</f>
        <v/>
      </c>
      <c r="X36" s="64">
        <f>IF(X5=1,0,(Inputs!$C$86+IF(X4&gt;Inputs!$C$15,Inputs!$C$87,0)+IF(X4&gt;Inputs!$C$14,Inputs!$C$88,0))*Inputs!$C$89/12)</f>
        <v/>
      </c>
      <c r="Y36" s="64">
        <f>IF(Y5=1,0,(Inputs!$C$86+IF(Y4&gt;Inputs!$C$15,Inputs!$C$87,0)+IF(Y4&gt;Inputs!$C$14,Inputs!$C$88,0))*Inputs!$C$89/12)</f>
        <v/>
      </c>
      <c r="Z36" s="64">
        <f>IF(Z5=1,0,(Inputs!$C$86+IF(Z4&gt;Inputs!$C$15,Inputs!$C$87,0)+IF(Z4&gt;Inputs!$C$14,Inputs!$C$88,0))*Inputs!$C$89/12)</f>
        <v/>
      </c>
      <c r="AA36" s="64">
        <f>IF(AA5=1,0,(Inputs!$C$86+IF(AA4&gt;Inputs!$C$15,Inputs!$C$87,0)+IF(AA4&gt;Inputs!$C$14,Inputs!$C$88,0))*Inputs!$C$89/12)</f>
        <v/>
      </c>
      <c r="AB36" s="64">
        <f>IF(AB5=1,0,(Inputs!$C$86+IF(AB4&gt;Inputs!$C$15,Inputs!$C$87,0)+IF(AB4&gt;Inputs!$C$14,Inputs!$C$88,0))*Inputs!$C$89/12)</f>
        <v/>
      </c>
      <c r="AC36" s="64">
        <f>IF(AC5=1,0,(Inputs!$C$86+IF(AC4&gt;Inputs!$C$15,Inputs!$C$87,0)+IF(AC4&gt;Inputs!$C$14,Inputs!$C$88,0))*Inputs!$C$89/12)</f>
        <v/>
      </c>
      <c r="AD36" s="64">
        <f>IF(AD5=1,0,(Inputs!$C$86+IF(AD4&gt;Inputs!$C$15,Inputs!$C$87,0)+IF(AD4&gt;Inputs!$C$14,Inputs!$C$88,0))*Inputs!$C$89/12)</f>
        <v/>
      </c>
      <c r="AE36" s="64">
        <f>IF(AE5=1,0,(Inputs!$C$86+IF(AE4&gt;Inputs!$C$15,Inputs!$C$87,0)+IF(AE4&gt;Inputs!$C$14,Inputs!$C$88,0))*Inputs!$C$89/12)</f>
        <v/>
      </c>
      <c r="AF36" s="64">
        <f>IF(AF5=1,0,(Inputs!$C$86+IF(AF4&gt;Inputs!$C$15,Inputs!$C$87,0)+IF(AF4&gt;Inputs!$C$14,Inputs!$C$88,0))*Inputs!$C$89/12)</f>
        <v/>
      </c>
      <c r="AG36" s="64">
        <f>IF(AG5=1,0,(Inputs!$C$86+IF(AG4&gt;Inputs!$C$15,Inputs!$C$87,0)+IF(AG4&gt;Inputs!$C$14,Inputs!$C$88,0))*Inputs!$C$89/12)</f>
        <v/>
      </c>
      <c r="AH36" s="64">
        <f>IF(AH5=1,0,(Inputs!$C$86+IF(AH4&gt;Inputs!$C$15,Inputs!$C$87,0)+IF(AH4&gt;Inputs!$C$14,Inputs!$C$88,0))*Inputs!$C$89/12)</f>
        <v/>
      </c>
      <c r="AI36" s="64">
        <f>IF(AI5=1,0,(Inputs!$C$86+IF(AI4&gt;Inputs!$C$15,Inputs!$C$87,0)+IF(AI4&gt;Inputs!$C$14,Inputs!$C$88,0))*Inputs!$C$89/12)</f>
        <v/>
      </c>
      <c r="AJ36" s="64">
        <f>IF(AJ5=1,0,(Inputs!$C$86+IF(AJ4&gt;Inputs!$C$15,Inputs!$C$87,0)+IF(AJ4&gt;Inputs!$C$14,Inputs!$C$88,0))*Inputs!$C$89/12)</f>
        <v/>
      </c>
      <c r="AK36" s="64">
        <f>IF(AK5=1,0,(Inputs!$C$86+IF(AK4&gt;Inputs!$C$15,Inputs!$C$87,0)+IF(AK4&gt;Inputs!$C$14,Inputs!$C$88,0))*Inputs!$C$89/12)</f>
        <v/>
      </c>
      <c r="AL36" s="64">
        <f>IF(AL5=1,0,(Inputs!$C$86+IF(AL4&gt;Inputs!$C$15,Inputs!$C$87,0)+IF(AL4&gt;Inputs!$C$14,Inputs!$C$88,0))*Inputs!$C$89/12)</f>
        <v/>
      </c>
      <c r="AM36" s="64">
        <f>IF(AM5=1,0,(Inputs!$C$86+IF(AM4&gt;Inputs!$C$15,Inputs!$C$87,0)+IF(AM4&gt;Inputs!$C$14,Inputs!$C$88,0))*Inputs!$C$89/12)</f>
        <v/>
      </c>
      <c r="AN36" s="64">
        <f>IF(AN5=1,0,(Inputs!$C$86+IF(AN4&gt;Inputs!$C$15,Inputs!$C$87,0)+IF(AN4&gt;Inputs!$C$14,Inputs!$C$88,0))*Inputs!$C$89/12)</f>
        <v/>
      </c>
      <c r="AO36" s="64">
        <f>IF(AO5=1,0,(Inputs!$C$86+IF(AO4&gt;Inputs!$C$15,Inputs!$C$87,0)+IF(AO4&gt;Inputs!$C$14,Inputs!$C$88,0))*Inputs!$C$89/12)</f>
        <v/>
      </c>
      <c r="AP36" s="64">
        <f>IF(AP5=1,0,(Inputs!$C$86+IF(AP4&gt;Inputs!$C$15,Inputs!$C$87,0)+IF(AP4&gt;Inputs!$C$14,Inputs!$C$88,0))*Inputs!$C$89/12)</f>
        <v/>
      </c>
      <c r="AQ36" s="64">
        <f>IF(AQ5=1,0,(Inputs!$C$86+IF(AQ4&gt;Inputs!$C$15,Inputs!$C$87,0)+IF(AQ4&gt;Inputs!$C$14,Inputs!$C$88,0))*Inputs!$C$89/12)</f>
        <v/>
      </c>
      <c r="AR36" s="64">
        <f>IF(AR5=1,0,(Inputs!$C$86+IF(AR4&gt;Inputs!$C$15,Inputs!$C$87,0)+IF(AR4&gt;Inputs!$C$14,Inputs!$C$88,0))*Inputs!$C$89/12)</f>
        <v/>
      </c>
      <c r="AS36" s="64">
        <f>IF(AS5=1,0,(Inputs!$C$86+IF(AS4&gt;Inputs!$C$15,Inputs!$C$87,0)+IF(AS4&gt;Inputs!$C$14,Inputs!$C$88,0))*Inputs!$C$89/12)</f>
        <v/>
      </c>
      <c r="AT36" s="64">
        <f>IF(AT5=1,0,(Inputs!$C$86+IF(AT4&gt;Inputs!$C$15,Inputs!$C$87,0)+IF(AT4&gt;Inputs!$C$14,Inputs!$C$88,0))*Inputs!$C$89/12)</f>
        <v/>
      </c>
      <c r="AU36" s="64">
        <f>IF(AU5=1,0,(Inputs!$C$86+IF(AU4&gt;Inputs!$C$15,Inputs!$C$87,0)+IF(AU4&gt;Inputs!$C$14,Inputs!$C$88,0))*Inputs!$C$89/12)</f>
        <v/>
      </c>
      <c r="AV36" s="64">
        <f>IF(AV5=1,0,(Inputs!$C$86+IF(AV4&gt;Inputs!$C$15,Inputs!$C$87,0)+IF(AV4&gt;Inputs!$C$14,Inputs!$C$88,0))*Inputs!$C$89/12)</f>
        <v/>
      </c>
      <c r="AW36" s="64">
        <f>IF(AW5=1,0,(Inputs!$C$86+IF(AW4&gt;Inputs!$C$15,Inputs!$C$87,0)+IF(AW4&gt;Inputs!$C$14,Inputs!$C$88,0))*Inputs!$C$89/12)</f>
        <v/>
      </c>
      <c r="AX36" s="64">
        <f>IF(AX5=1,0,(Inputs!$C$86+IF(AX4&gt;Inputs!$C$15,Inputs!$C$87,0)+IF(AX4&gt;Inputs!$C$14,Inputs!$C$88,0))*Inputs!$C$89/12)</f>
        <v/>
      </c>
      <c r="AY36" s="64">
        <f>IF(AY5=1,0,(Inputs!$C$86+IF(AY4&gt;Inputs!$C$15,Inputs!$C$87,0)+IF(AY4&gt;Inputs!$C$14,Inputs!$C$88,0))*Inputs!$C$89/12)</f>
        <v/>
      </c>
      <c r="AZ36" s="64">
        <f>IF(AZ5=1,0,(Inputs!$C$86+IF(AZ4&gt;Inputs!$C$15,Inputs!$C$87,0)+IF(AZ4&gt;Inputs!$C$14,Inputs!$C$88,0))*Inputs!$C$89/12)</f>
        <v/>
      </c>
      <c r="BA36" s="64">
        <f>IF(BA5=1,0,(Inputs!$C$86+IF(BA4&gt;Inputs!$C$15,Inputs!$C$87,0)+IF(BA4&gt;Inputs!$C$14,Inputs!$C$88,0))*Inputs!$C$89/12)</f>
        <v/>
      </c>
      <c r="BB36" s="64">
        <f>IF(BB5=1,0,(Inputs!$C$86+IF(BB4&gt;Inputs!$C$15,Inputs!$C$87,0)+IF(BB4&gt;Inputs!$C$14,Inputs!$C$88,0))*Inputs!$C$89/12)</f>
        <v/>
      </c>
      <c r="BC36" s="64">
        <f>IF(BC5=1,0,(Inputs!$C$86+IF(BC4&gt;Inputs!$C$15,Inputs!$C$87,0)+IF(BC4&gt;Inputs!$C$14,Inputs!$C$88,0))*Inputs!$C$89/12)</f>
        <v/>
      </c>
      <c r="BD36" s="64">
        <f>IF(BD5=1,0,(Inputs!$C$86+IF(BD4&gt;Inputs!$C$15,Inputs!$C$87,0)+IF(BD4&gt;Inputs!$C$14,Inputs!$C$88,0))*Inputs!$C$89/12)</f>
        <v/>
      </c>
      <c r="BE36" s="64">
        <f>IF(BE5=1,0,(Inputs!$C$86+IF(BE4&gt;Inputs!$C$15,Inputs!$C$87,0)+IF(BE4&gt;Inputs!$C$14,Inputs!$C$88,0))*Inputs!$C$89/12)</f>
        <v/>
      </c>
      <c r="BF36" s="64">
        <f>IF(BF5=1,0,(Inputs!$C$86+IF(BF4&gt;Inputs!$C$15,Inputs!$C$87,0)+IF(BF4&gt;Inputs!$C$14,Inputs!$C$88,0))*Inputs!$C$89/12)</f>
        <v/>
      </c>
      <c r="BG36" s="64">
        <f>IF(BG5=1,0,(Inputs!$C$86+IF(BG4&gt;Inputs!$C$15,Inputs!$C$87,0)+IF(BG4&gt;Inputs!$C$14,Inputs!$C$88,0))*Inputs!$C$89/12)</f>
        <v/>
      </c>
      <c r="BH36" s="64">
        <f>IF(BH5=1,0,(Inputs!$C$86+IF(BH4&gt;Inputs!$C$15,Inputs!$C$87,0)+IF(BH4&gt;Inputs!$C$14,Inputs!$C$88,0))*Inputs!$C$89/12)</f>
        <v/>
      </c>
      <c r="BI36" s="64">
        <f>IF(BI5=1,0,(Inputs!$C$86+IF(BI4&gt;Inputs!$C$15,Inputs!$C$87,0)+IF(BI4&gt;Inputs!$C$14,Inputs!$C$88,0))*Inputs!$C$89/12)</f>
        <v/>
      </c>
      <c r="BJ36" s="64">
        <f>IF(BJ5=1,0,(Inputs!$C$86+IF(BJ4&gt;Inputs!$C$15,Inputs!$C$87,0)+IF(BJ4&gt;Inputs!$C$14,Inputs!$C$88,0))*Inputs!$C$89/12)</f>
        <v/>
      </c>
      <c r="BK36" s="64">
        <f>IF(BK5=1,0,(Inputs!$C$86+IF(BK4&gt;Inputs!$C$15,Inputs!$C$87,0)+IF(BK4&gt;Inputs!$C$14,Inputs!$C$88,0))*Inputs!$C$89/12)</f>
        <v/>
      </c>
    </row>
    <row r="37">
      <c r="B37" s="65" t="inlineStr">
        <is>
          <t>Total capital expenditure</t>
        </is>
      </c>
      <c r="C37" s="92" t="inlineStr">
        <is>
          <t>EUR</t>
        </is>
      </c>
      <c r="D37" s="66">
        <f>SUM(D33:D36)</f>
        <v/>
      </c>
      <c r="E37" s="66">
        <f>SUM(E33:E36)</f>
        <v/>
      </c>
      <c r="F37" s="66">
        <f>SUM(F33:F36)</f>
        <v/>
      </c>
      <c r="G37" s="66">
        <f>SUM(G33:G36)</f>
        <v/>
      </c>
      <c r="H37" s="66">
        <f>SUM(H33:H36)</f>
        <v/>
      </c>
      <c r="I37" s="66">
        <f>SUM(I33:I36)</f>
        <v/>
      </c>
      <c r="J37" s="66">
        <f>SUM(J33:J36)</f>
        <v/>
      </c>
      <c r="K37" s="66">
        <f>SUM(K33:K36)</f>
        <v/>
      </c>
      <c r="L37" s="66">
        <f>SUM(L33:L36)</f>
        <v/>
      </c>
      <c r="M37" s="66">
        <f>SUM(M33:M36)</f>
        <v/>
      </c>
      <c r="N37" s="66">
        <f>SUM(N33:N36)</f>
        <v/>
      </c>
      <c r="O37" s="66">
        <f>SUM(O33:O36)</f>
        <v/>
      </c>
      <c r="P37" s="66">
        <f>SUM(P33:P36)</f>
        <v/>
      </c>
      <c r="Q37" s="66">
        <f>SUM(Q33:Q36)</f>
        <v/>
      </c>
      <c r="R37" s="66">
        <f>SUM(R33:R36)</f>
        <v/>
      </c>
      <c r="S37" s="66">
        <f>SUM(S33:S36)</f>
        <v/>
      </c>
      <c r="T37" s="66">
        <f>SUM(T33:T36)</f>
        <v/>
      </c>
      <c r="U37" s="66">
        <f>SUM(U33:U36)</f>
        <v/>
      </c>
      <c r="V37" s="66">
        <f>SUM(V33:V36)</f>
        <v/>
      </c>
      <c r="W37" s="66">
        <f>SUM(W33:W36)</f>
        <v/>
      </c>
      <c r="X37" s="66">
        <f>SUM(X33:X36)</f>
        <v/>
      </c>
      <c r="Y37" s="66">
        <f>SUM(Y33:Y36)</f>
        <v/>
      </c>
      <c r="Z37" s="66">
        <f>SUM(Z33:Z36)</f>
        <v/>
      </c>
      <c r="AA37" s="66">
        <f>SUM(AA33:AA36)</f>
        <v/>
      </c>
      <c r="AB37" s="66">
        <f>SUM(AB33:AB36)</f>
        <v/>
      </c>
      <c r="AC37" s="66">
        <f>SUM(AC33:AC36)</f>
        <v/>
      </c>
      <c r="AD37" s="66">
        <f>SUM(AD33:AD36)</f>
        <v/>
      </c>
      <c r="AE37" s="66">
        <f>SUM(AE33:AE36)</f>
        <v/>
      </c>
      <c r="AF37" s="66">
        <f>SUM(AF33:AF36)</f>
        <v/>
      </c>
      <c r="AG37" s="66">
        <f>SUM(AG33:AG36)</f>
        <v/>
      </c>
      <c r="AH37" s="66">
        <f>SUM(AH33:AH36)</f>
        <v/>
      </c>
      <c r="AI37" s="66">
        <f>SUM(AI33:AI36)</f>
        <v/>
      </c>
      <c r="AJ37" s="66">
        <f>SUM(AJ33:AJ36)</f>
        <v/>
      </c>
      <c r="AK37" s="66">
        <f>SUM(AK33:AK36)</f>
        <v/>
      </c>
      <c r="AL37" s="66">
        <f>SUM(AL33:AL36)</f>
        <v/>
      </c>
      <c r="AM37" s="66">
        <f>SUM(AM33:AM36)</f>
        <v/>
      </c>
      <c r="AN37" s="66">
        <f>SUM(AN33:AN36)</f>
        <v/>
      </c>
      <c r="AO37" s="66">
        <f>SUM(AO33:AO36)</f>
        <v/>
      </c>
      <c r="AP37" s="66">
        <f>SUM(AP33:AP36)</f>
        <v/>
      </c>
      <c r="AQ37" s="66">
        <f>SUM(AQ33:AQ36)</f>
        <v/>
      </c>
      <c r="AR37" s="66">
        <f>SUM(AR33:AR36)</f>
        <v/>
      </c>
      <c r="AS37" s="66">
        <f>SUM(AS33:AS36)</f>
        <v/>
      </c>
      <c r="AT37" s="66">
        <f>SUM(AT33:AT36)</f>
        <v/>
      </c>
      <c r="AU37" s="66">
        <f>SUM(AU33:AU36)</f>
        <v/>
      </c>
      <c r="AV37" s="66">
        <f>SUM(AV33:AV36)</f>
        <v/>
      </c>
      <c r="AW37" s="66">
        <f>SUM(AW33:AW36)</f>
        <v/>
      </c>
      <c r="AX37" s="66">
        <f>SUM(AX33:AX36)</f>
        <v/>
      </c>
      <c r="AY37" s="66">
        <f>SUM(AY33:AY36)</f>
        <v/>
      </c>
      <c r="AZ37" s="66">
        <f>SUM(AZ33:AZ36)</f>
        <v/>
      </c>
      <c r="BA37" s="66">
        <f>SUM(BA33:BA36)</f>
        <v/>
      </c>
      <c r="BB37" s="66">
        <f>SUM(BB33:BB36)</f>
        <v/>
      </c>
      <c r="BC37" s="66">
        <f>SUM(BC33:BC36)</f>
        <v/>
      </c>
      <c r="BD37" s="66">
        <f>SUM(BD33:BD36)</f>
        <v/>
      </c>
      <c r="BE37" s="66">
        <f>SUM(BE33:BE36)</f>
        <v/>
      </c>
      <c r="BF37" s="66">
        <f>SUM(BF33:BF36)</f>
        <v/>
      </c>
      <c r="BG37" s="66">
        <f>SUM(BG33:BG36)</f>
        <v/>
      </c>
      <c r="BH37" s="66">
        <f>SUM(BH33:BH36)</f>
        <v/>
      </c>
      <c r="BI37" s="66">
        <f>SUM(BI33:BI36)</f>
        <v/>
      </c>
      <c r="BJ37" s="66">
        <f>SUM(BJ33:BJ36)</f>
        <v/>
      </c>
      <c r="BK37" s="66">
        <f>SUM(BK33:BK36)</f>
        <v/>
      </c>
    </row>
    <row r="38">
      <c r="B38" s="61" t="inlineStr">
        <is>
          <t>Cumulative capital expenditure</t>
        </is>
      </c>
      <c r="C38" s="92" t="inlineStr">
        <is>
          <t>EUR</t>
        </is>
      </c>
      <c r="D38" s="64">
        <f>D37</f>
        <v/>
      </c>
      <c r="E38" s="64">
        <f>D38+E37</f>
        <v/>
      </c>
      <c r="F38" s="64">
        <f>E38+F37</f>
        <v/>
      </c>
      <c r="G38" s="64">
        <f>F38+G37</f>
        <v/>
      </c>
      <c r="H38" s="64">
        <f>G38+H37</f>
        <v/>
      </c>
      <c r="I38" s="64">
        <f>H38+I37</f>
        <v/>
      </c>
      <c r="J38" s="64">
        <f>I38+J37</f>
        <v/>
      </c>
      <c r="K38" s="64">
        <f>J38+K37</f>
        <v/>
      </c>
      <c r="L38" s="64">
        <f>K38+L37</f>
        <v/>
      </c>
      <c r="M38" s="64">
        <f>L38+M37</f>
        <v/>
      </c>
      <c r="N38" s="64">
        <f>M38+N37</f>
        <v/>
      </c>
      <c r="O38" s="64">
        <f>N38+O37</f>
        <v/>
      </c>
      <c r="P38" s="64">
        <f>O38+P37</f>
        <v/>
      </c>
      <c r="Q38" s="64">
        <f>P38+Q37</f>
        <v/>
      </c>
      <c r="R38" s="64">
        <f>Q38+R37</f>
        <v/>
      </c>
      <c r="S38" s="64">
        <f>R38+S37</f>
        <v/>
      </c>
      <c r="T38" s="64">
        <f>S38+T37</f>
        <v/>
      </c>
      <c r="U38" s="64">
        <f>T38+U37</f>
        <v/>
      </c>
      <c r="V38" s="64">
        <f>U38+V37</f>
        <v/>
      </c>
      <c r="W38" s="64">
        <f>V38+W37</f>
        <v/>
      </c>
      <c r="X38" s="64">
        <f>W38+X37</f>
        <v/>
      </c>
      <c r="Y38" s="64">
        <f>X38+Y37</f>
        <v/>
      </c>
      <c r="Z38" s="64">
        <f>Y38+Z37</f>
        <v/>
      </c>
      <c r="AA38" s="64">
        <f>Z38+AA37</f>
        <v/>
      </c>
      <c r="AB38" s="64">
        <f>AA38+AB37</f>
        <v/>
      </c>
      <c r="AC38" s="64">
        <f>AB38+AC37</f>
        <v/>
      </c>
      <c r="AD38" s="64">
        <f>AC38+AD37</f>
        <v/>
      </c>
      <c r="AE38" s="64">
        <f>AD38+AE37</f>
        <v/>
      </c>
      <c r="AF38" s="64">
        <f>AE38+AF37</f>
        <v/>
      </c>
      <c r="AG38" s="64">
        <f>AF38+AG37</f>
        <v/>
      </c>
      <c r="AH38" s="64">
        <f>AG38+AH37</f>
        <v/>
      </c>
      <c r="AI38" s="64">
        <f>AH38+AI37</f>
        <v/>
      </c>
      <c r="AJ38" s="64">
        <f>AI38+AJ37</f>
        <v/>
      </c>
      <c r="AK38" s="64">
        <f>AJ38+AK37</f>
        <v/>
      </c>
      <c r="AL38" s="64">
        <f>AK38+AL37</f>
        <v/>
      </c>
      <c r="AM38" s="64">
        <f>AL38+AM37</f>
        <v/>
      </c>
      <c r="AN38" s="64">
        <f>AM38+AN37</f>
        <v/>
      </c>
      <c r="AO38" s="64">
        <f>AN38+AO37</f>
        <v/>
      </c>
      <c r="AP38" s="64">
        <f>AO38+AP37</f>
        <v/>
      </c>
      <c r="AQ38" s="64">
        <f>AP38+AQ37</f>
        <v/>
      </c>
      <c r="AR38" s="64">
        <f>AQ38+AR37</f>
        <v/>
      </c>
      <c r="AS38" s="64">
        <f>AR38+AS37</f>
        <v/>
      </c>
      <c r="AT38" s="64">
        <f>AS38+AT37</f>
        <v/>
      </c>
      <c r="AU38" s="64">
        <f>AT38+AU37</f>
        <v/>
      </c>
      <c r="AV38" s="64">
        <f>AU38+AV37</f>
        <v/>
      </c>
      <c r="AW38" s="64">
        <f>AV38+AW37</f>
        <v/>
      </c>
      <c r="AX38" s="64">
        <f>AW38+AX37</f>
        <v/>
      </c>
      <c r="AY38" s="64">
        <f>AX38+AY37</f>
        <v/>
      </c>
      <c r="AZ38" s="64">
        <f>AY38+AZ37</f>
        <v/>
      </c>
      <c r="BA38" s="64">
        <f>AZ38+BA37</f>
        <v/>
      </c>
      <c r="BB38" s="64">
        <f>BA38+BB37</f>
        <v/>
      </c>
      <c r="BC38" s="64">
        <f>BB38+BC37</f>
        <v/>
      </c>
      <c r="BD38" s="64">
        <f>BC38+BD37</f>
        <v/>
      </c>
      <c r="BE38" s="64">
        <f>BD38+BE37</f>
        <v/>
      </c>
      <c r="BF38" s="64">
        <f>BE38+BF37</f>
        <v/>
      </c>
      <c r="BG38" s="64">
        <f>BF38+BG37</f>
        <v/>
      </c>
      <c r="BH38" s="64">
        <f>BG38+BH37</f>
        <v/>
      </c>
      <c r="BI38" s="64">
        <f>BH38+BI37</f>
        <v/>
      </c>
      <c r="BJ38" s="64">
        <f>BI38+BJ37</f>
        <v/>
      </c>
      <c r="BK38" s="64">
        <f>BJ38+BK37</f>
        <v/>
      </c>
    </row>
    <row r="40">
      <c r="B40" s="61" t="inlineStr">
        <is>
          <t>Gross fixed assets</t>
        </is>
      </c>
      <c r="C40" s="92" t="inlineStr">
        <is>
          <t>EUR</t>
        </is>
      </c>
      <c r="D40" s="64">
        <f>D38</f>
        <v/>
      </c>
      <c r="E40" s="64">
        <f>E38</f>
        <v/>
      </c>
      <c r="F40" s="64">
        <f>F38</f>
        <v/>
      </c>
      <c r="G40" s="64">
        <f>G38</f>
        <v/>
      </c>
      <c r="H40" s="64">
        <f>H38</f>
        <v/>
      </c>
      <c r="I40" s="64">
        <f>I38</f>
        <v/>
      </c>
      <c r="J40" s="64">
        <f>J38</f>
        <v/>
      </c>
      <c r="K40" s="64">
        <f>K38</f>
        <v/>
      </c>
      <c r="L40" s="64">
        <f>L38</f>
        <v/>
      </c>
      <c r="M40" s="64">
        <f>M38</f>
        <v/>
      </c>
      <c r="N40" s="64">
        <f>N38</f>
        <v/>
      </c>
      <c r="O40" s="64">
        <f>O38</f>
        <v/>
      </c>
      <c r="P40" s="64">
        <f>P38</f>
        <v/>
      </c>
      <c r="Q40" s="64">
        <f>Q38</f>
        <v/>
      </c>
      <c r="R40" s="64">
        <f>R38</f>
        <v/>
      </c>
      <c r="S40" s="64">
        <f>S38</f>
        <v/>
      </c>
      <c r="T40" s="64">
        <f>T38</f>
        <v/>
      </c>
      <c r="U40" s="64">
        <f>U38</f>
        <v/>
      </c>
      <c r="V40" s="64">
        <f>V38</f>
        <v/>
      </c>
      <c r="W40" s="64">
        <f>W38</f>
        <v/>
      </c>
      <c r="X40" s="64">
        <f>X38</f>
        <v/>
      </c>
      <c r="Y40" s="64">
        <f>Y38</f>
        <v/>
      </c>
      <c r="Z40" s="64">
        <f>Z38</f>
        <v/>
      </c>
      <c r="AA40" s="64">
        <f>AA38</f>
        <v/>
      </c>
      <c r="AB40" s="64">
        <f>AB38</f>
        <v/>
      </c>
      <c r="AC40" s="64">
        <f>AC38</f>
        <v/>
      </c>
      <c r="AD40" s="64">
        <f>AD38</f>
        <v/>
      </c>
      <c r="AE40" s="64">
        <f>AE38</f>
        <v/>
      </c>
      <c r="AF40" s="64">
        <f>AF38</f>
        <v/>
      </c>
      <c r="AG40" s="64">
        <f>AG38</f>
        <v/>
      </c>
      <c r="AH40" s="64">
        <f>AH38</f>
        <v/>
      </c>
      <c r="AI40" s="64">
        <f>AI38</f>
        <v/>
      </c>
      <c r="AJ40" s="64">
        <f>AJ38</f>
        <v/>
      </c>
      <c r="AK40" s="64">
        <f>AK38</f>
        <v/>
      </c>
      <c r="AL40" s="64">
        <f>AL38</f>
        <v/>
      </c>
      <c r="AM40" s="64">
        <f>AM38</f>
        <v/>
      </c>
      <c r="AN40" s="64">
        <f>AN38</f>
        <v/>
      </c>
      <c r="AO40" s="64">
        <f>AO38</f>
        <v/>
      </c>
      <c r="AP40" s="64">
        <f>AP38</f>
        <v/>
      </c>
      <c r="AQ40" s="64">
        <f>AQ38</f>
        <v/>
      </c>
      <c r="AR40" s="64">
        <f>AR38</f>
        <v/>
      </c>
      <c r="AS40" s="64">
        <f>AS38</f>
        <v/>
      </c>
      <c r="AT40" s="64">
        <f>AT38</f>
        <v/>
      </c>
      <c r="AU40" s="64">
        <f>AU38</f>
        <v/>
      </c>
      <c r="AV40" s="64">
        <f>AV38</f>
        <v/>
      </c>
      <c r="AW40" s="64">
        <f>AW38</f>
        <v/>
      </c>
      <c r="AX40" s="64">
        <f>AX38</f>
        <v/>
      </c>
      <c r="AY40" s="64">
        <f>AY38</f>
        <v/>
      </c>
      <c r="AZ40" s="64">
        <f>AZ38</f>
        <v/>
      </c>
      <c r="BA40" s="64">
        <f>BA38</f>
        <v/>
      </c>
      <c r="BB40" s="64">
        <f>BB38</f>
        <v/>
      </c>
      <c r="BC40" s="64">
        <f>BC38</f>
        <v/>
      </c>
      <c r="BD40" s="64">
        <f>BD38</f>
        <v/>
      </c>
      <c r="BE40" s="64">
        <f>BE38</f>
        <v/>
      </c>
      <c r="BF40" s="64">
        <f>BF38</f>
        <v/>
      </c>
      <c r="BG40" s="64">
        <f>BG38</f>
        <v/>
      </c>
      <c r="BH40" s="64">
        <f>BH38</f>
        <v/>
      </c>
      <c r="BI40" s="64">
        <f>BI38</f>
        <v/>
      </c>
      <c r="BJ40" s="64">
        <f>BJ38</f>
        <v/>
      </c>
      <c r="BK40" s="64">
        <f>BK38</f>
        <v/>
      </c>
    </row>
    <row r="41">
      <c r="B41" s="61" t="inlineStr">
        <is>
          <t>Accumulated depreciation</t>
        </is>
      </c>
      <c r="C41" s="92" t="inlineStr">
        <is>
          <t>EUR</t>
        </is>
      </c>
      <c r="D41" s="64">
        <f>D42</f>
        <v/>
      </c>
      <c r="E41" s="64">
        <f>D41+E42</f>
        <v/>
      </c>
      <c r="F41" s="64">
        <f>E41+F42</f>
        <v/>
      </c>
      <c r="G41" s="64">
        <f>F41+G42</f>
        <v/>
      </c>
      <c r="H41" s="64">
        <f>G41+H42</f>
        <v/>
      </c>
      <c r="I41" s="64">
        <f>H41+I42</f>
        <v/>
      </c>
      <c r="J41" s="64">
        <f>I41+J42</f>
        <v/>
      </c>
      <c r="K41" s="64">
        <f>J41+K42</f>
        <v/>
      </c>
      <c r="L41" s="64">
        <f>K41+L42</f>
        <v/>
      </c>
      <c r="M41" s="64">
        <f>L41+M42</f>
        <v/>
      </c>
      <c r="N41" s="64">
        <f>M41+N42</f>
        <v/>
      </c>
      <c r="O41" s="64">
        <f>N41+O42</f>
        <v/>
      </c>
      <c r="P41" s="64">
        <f>O41+P42</f>
        <v/>
      </c>
      <c r="Q41" s="64">
        <f>P41+Q42</f>
        <v/>
      </c>
      <c r="R41" s="64">
        <f>Q41+R42</f>
        <v/>
      </c>
      <c r="S41" s="64">
        <f>R41+S42</f>
        <v/>
      </c>
      <c r="T41" s="64">
        <f>S41+T42</f>
        <v/>
      </c>
      <c r="U41" s="64">
        <f>T41+U42</f>
        <v/>
      </c>
      <c r="V41" s="64">
        <f>U41+V42</f>
        <v/>
      </c>
      <c r="W41" s="64">
        <f>V41+W42</f>
        <v/>
      </c>
      <c r="X41" s="64">
        <f>W41+X42</f>
        <v/>
      </c>
      <c r="Y41" s="64">
        <f>X41+Y42</f>
        <v/>
      </c>
      <c r="Z41" s="64">
        <f>Y41+Z42</f>
        <v/>
      </c>
      <c r="AA41" s="64">
        <f>Z41+AA42</f>
        <v/>
      </c>
      <c r="AB41" s="64">
        <f>AA41+AB42</f>
        <v/>
      </c>
      <c r="AC41" s="64">
        <f>AB41+AC42</f>
        <v/>
      </c>
      <c r="AD41" s="64">
        <f>AC41+AD42</f>
        <v/>
      </c>
      <c r="AE41" s="64">
        <f>AD41+AE42</f>
        <v/>
      </c>
      <c r="AF41" s="64">
        <f>AE41+AF42</f>
        <v/>
      </c>
      <c r="AG41" s="64">
        <f>AF41+AG42</f>
        <v/>
      </c>
      <c r="AH41" s="64">
        <f>AG41+AH42</f>
        <v/>
      </c>
      <c r="AI41" s="64">
        <f>AH41+AI42</f>
        <v/>
      </c>
      <c r="AJ41" s="64">
        <f>AI41+AJ42</f>
        <v/>
      </c>
      <c r="AK41" s="64">
        <f>AJ41+AK42</f>
        <v/>
      </c>
      <c r="AL41" s="64">
        <f>AK41+AL42</f>
        <v/>
      </c>
      <c r="AM41" s="64">
        <f>AL41+AM42</f>
        <v/>
      </c>
      <c r="AN41" s="64">
        <f>AM41+AN42</f>
        <v/>
      </c>
      <c r="AO41" s="64">
        <f>AN41+AO42</f>
        <v/>
      </c>
      <c r="AP41" s="64">
        <f>AO41+AP42</f>
        <v/>
      </c>
      <c r="AQ41" s="64">
        <f>AP41+AQ42</f>
        <v/>
      </c>
      <c r="AR41" s="64">
        <f>AQ41+AR42</f>
        <v/>
      </c>
      <c r="AS41" s="64">
        <f>AR41+AS42</f>
        <v/>
      </c>
      <c r="AT41" s="64">
        <f>AS41+AT42</f>
        <v/>
      </c>
      <c r="AU41" s="64">
        <f>AT41+AU42</f>
        <v/>
      </c>
      <c r="AV41" s="64">
        <f>AU41+AV42</f>
        <v/>
      </c>
      <c r="AW41" s="64">
        <f>AV41+AW42</f>
        <v/>
      </c>
      <c r="AX41" s="64">
        <f>AW41+AX42</f>
        <v/>
      </c>
      <c r="AY41" s="64">
        <f>AX41+AY42</f>
        <v/>
      </c>
      <c r="AZ41" s="64">
        <f>AY41+AZ42</f>
        <v/>
      </c>
      <c r="BA41" s="64">
        <f>AZ41+BA42</f>
        <v/>
      </c>
      <c r="BB41" s="64">
        <f>BA41+BB42</f>
        <v/>
      </c>
      <c r="BC41" s="64">
        <f>BB41+BC42</f>
        <v/>
      </c>
      <c r="BD41" s="64">
        <f>BC41+BD42</f>
        <v/>
      </c>
      <c r="BE41" s="64">
        <f>BD41+BE42</f>
        <v/>
      </c>
      <c r="BF41" s="64">
        <f>BE41+BF42</f>
        <v/>
      </c>
      <c r="BG41" s="64">
        <f>BF41+BG42</f>
        <v/>
      </c>
      <c r="BH41" s="64">
        <f>BG41+BH42</f>
        <v/>
      </c>
      <c r="BI41" s="64">
        <f>BH41+BI42</f>
        <v/>
      </c>
      <c r="BJ41" s="64">
        <f>BI41+BJ42</f>
        <v/>
      </c>
      <c r="BK41" s="64">
        <f>BJ41+BK42</f>
        <v/>
      </c>
    </row>
    <row r="42">
      <c r="B42" s="61" t="inlineStr">
        <is>
          <t>Depreciation charge for the month</t>
        </is>
      </c>
      <c r="C42" s="92" t="inlineStr">
        <is>
          <t>EUR</t>
        </is>
      </c>
      <c r="D42" s="64">
        <f>0</f>
        <v/>
      </c>
      <c r="E42" s="64">
        <f>D38/(Inputs!$C$90*12)</f>
        <v/>
      </c>
      <c r="F42" s="64">
        <f>E38/(Inputs!$C$90*12)</f>
        <v/>
      </c>
      <c r="G42" s="64">
        <f>F38/(Inputs!$C$90*12)</f>
        <v/>
      </c>
      <c r="H42" s="64">
        <f>G38/(Inputs!$C$90*12)</f>
        <v/>
      </c>
      <c r="I42" s="64">
        <f>H38/(Inputs!$C$90*12)</f>
        <v/>
      </c>
      <c r="J42" s="64">
        <f>I38/(Inputs!$C$90*12)</f>
        <v/>
      </c>
      <c r="K42" s="64">
        <f>J38/(Inputs!$C$90*12)</f>
        <v/>
      </c>
      <c r="L42" s="64">
        <f>K38/(Inputs!$C$90*12)</f>
        <v/>
      </c>
      <c r="M42" s="64">
        <f>L38/(Inputs!$C$90*12)</f>
        <v/>
      </c>
      <c r="N42" s="64">
        <f>M38/(Inputs!$C$90*12)</f>
        <v/>
      </c>
      <c r="O42" s="64">
        <f>N38/(Inputs!$C$90*12)</f>
        <v/>
      </c>
      <c r="P42" s="64">
        <f>O38/(Inputs!$C$90*12)</f>
        <v/>
      </c>
      <c r="Q42" s="64">
        <f>P38/(Inputs!$C$90*12)</f>
        <v/>
      </c>
      <c r="R42" s="64">
        <f>Q38/(Inputs!$C$90*12)</f>
        <v/>
      </c>
      <c r="S42" s="64">
        <f>R38/(Inputs!$C$90*12)</f>
        <v/>
      </c>
      <c r="T42" s="64">
        <f>S38/(Inputs!$C$90*12)</f>
        <v/>
      </c>
      <c r="U42" s="64">
        <f>T38/(Inputs!$C$90*12)</f>
        <v/>
      </c>
      <c r="V42" s="64">
        <f>U38/(Inputs!$C$90*12)</f>
        <v/>
      </c>
      <c r="W42" s="64">
        <f>V38/(Inputs!$C$90*12)</f>
        <v/>
      </c>
      <c r="X42" s="64">
        <f>W38/(Inputs!$C$90*12)</f>
        <v/>
      </c>
      <c r="Y42" s="64">
        <f>X38/(Inputs!$C$90*12)</f>
        <v/>
      </c>
      <c r="Z42" s="64">
        <f>Y38/(Inputs!$C$90*12)</f>
        <v/>
      </c>
      <c r="AA42" s="64">
        <f>Z38/(Inputs!$C$90*12)</f>
        <v/>
      </c>
      <c r="AB42" s="64">
        <f>AA38/(Inputs!$C$90*12)</f>
        <v/>
      </c>
      <c r="AC42" s="64">
        <f>AB38/(Inputs!$C$90*12)</f>
        <v/>
      </c>
      <c r="AD42" s="64">
        <f>AC38/(Inputs!$C$90*12)</f>
        <v/>
      </c>
      <c r="AE42" s="64">
        <f>AD38/(Inputs!$C$90*12)</f>
        <v/>
      </c>
      <c r="AF42" s="64">
        <f>AE38/(Inputs!$C$90*12)</f>
        <v/>
      </c>
      <c r="AG42" s="64">
        <f>AF38/(Inputs!$C$90*12)</f>
        <v/>
      </c>
      <c r="AH42" s="64">
        <f>AG38/(Inputs!$C$90*12)</f>
        <v/>
      </c>
      <c r="AI42" s="64">
        <f>AH38/(Inputs!$C$90*12)</f>
        <v/>
      </c>
      <c r="AJ42" s="64">
        <f>AI38/(Inputs!$C$90*12)</f>
        <v/>
      </c>
      <c r="AK42" s="64">
        <f>AJ38/(Inputs!$C$90*12)</f>
        <v/>
      </c>
      <c r="AL42" s="64">
        <f>AK38/(Inputs!$C$90*12)</f>
        <v/>
      </c>
      <c r="AM42" s="64">
        <f>AL38/(Inputs!$C$90*12)</f>
        <v/>
      </c>
      <c r="AN42" s="64">
        <f>AM38/(Inputs!$C$90*12)</f>
        <v/>
      </c>
      <c r="AO42" s="64">
        <f>AN38/(Inputs!$C$90*12)</f>
        <v/>
      </c>
      <c r="AP42" s="64">
        <f>AO38/(Inputs!$C$90*12)</f>
        <v/>
      </c>
      <c r="AQ42" s="64">
        <f>AP38/(Inputs!$C$90*12)</f>
        <v/>
      </c>
      <c r="AR42" s="64">
        <f>AQ38/(Inputs!$C$90*12)</f>
        <v/>
      </c>
      <c r="AS42" s="64">
        <f>AR38/(Inputs!$C$90*12)</f>
        <v/>
      </c>
      <c r="AT42" s="64">
        <f>AS38/(Inputs!$C$90*12)</f>
        <v/>
      </c>
      <c r="AU42" s="64">
        <f>AT38/(Inputs!$C$90*12)</f>
        <v/>
      </c>
      <c r="AV42" s="64">
        <f>AU38/(Inputs!$C$90*12)</f>
        <v/>
      </c>
      <c r="AW42" s="64">
        <f>AV38/(Inputs!$C$90*12)</f>
        <v/>
      </c>
      <c r="AX42" s="64">
        <f>AW38/(Inputs!$C$90*12)</f>
        <v/>
      </c>
      <c r="AY42" s="64">
        <f>AX38/(Inputs!$C$90*12)</f>
        <v/>
      </c>
      <c r="AZ42" s="64">
        <f>AY38/(Inputs!$C$90*12)</f>
        <v/>
      </c>
      <c r="BA42" s="64">
        <f>AZ38/(Inputs!$C$90*12)</f>
        <v/>
      </c>
      <c r="BB42" s="64">
        <f>BA38/(Inputs!$C$90*12)</f>
        <v/>
      </c>
      <c r="BC42" s="64">
        <f>BB38/(Inputs!$C$90*12)</f>
        <v/>
      </c>
      <c r="BD42" s="64">
        <f>BC38/(Inputs!$C$90*12)</f>
        <v/>
      </c>
      <c r="BE42" s="64">
        <f>BD38/(Inputs!$C$90*12)</f>
        <v/>
      </c>
      <c r="BF42" s="64">
        <f>BE38/(Inputs!$C$90*12)</f>
        <v/>
      </c>
      <c r="BG42" s="64">
        <f>BF38/(Inputs!$C$90*12)</f>
        <v/>
      </c>
      <c r="BH42" s="64">
        <f>BG38/(Inputs!$C$90*12)</f>
        <v/>
      </c>
      <c r="BI42" s="64">
        <f>BH38/(Inputs!$C$90*12)</f>
        <v/>
      </c>
      <c r="BJ42" s="64">
        <f>BI38/(Inputs!$C$90*12)</f>
        <v/>
      </c>
      <c r="BK42" s="64">
        <f>BJ38/(Inputs!$C$90*12)</f>
        <v/>
      </c>
    </row>
    <row r="43">
      <c r="B43" s="65" t="inlineStr">
        <is>
          <t>Net fixed assets</t>
        </is>
      </c>
      <c r="C43" s="92" t="inlineStr">
        <is>
          <t>EUR</t>
        </is>
      </c>
      <c r="D43" s="66">
        <f>D40-D41</f>
        <v/>
      </c>
      <c r="E43" s="66">
        <f>E40-E41</f>
        <v/>
      </c>
      <c r="F43" s="66">
        <f>F40-F41</f>
        <v/>
      </c>
      <c r="G43" s="66">
        <f>G40-G41</f>
        <v/>
      </c>
      <c r="H43" s="66">
        <f>H40-H41</f>
        <v/>
      </c>
      <c r="I43" s="66">
        <f>I40-I41</f>
        <v/>
      </c>
      <c r="J43" s="66">
        <f>J40-J41</f>
        <v/>
      </c>
      <c r="K43" s="66">
        <f>K40-K41</f>
        <v/>
      </c>
      <c r="L43" s="66">
        <f>L40-L41</f>
        <v/>
      </c>
      <c r="M43" s="66">
        <f>M40-M41</f>
        <v/>
      </c>
      <c r="N43" s="66">
        <f>N40-N41</f>
        <v/>
      </c>
      <c r="O43" s="66">
        <f>O40-O41</f>
        <v/>
      </c>
      <c r="P43" s="66">
        <f>P40-P41</f>
        <v/>
      </c>
      <c r="Q43" s="66">
        <f>Q40-Q41</f>
        <v/>
      </c>
      <c r="R43" s="66">
        <f>R40-R41</f>
        <v/>
      </c>
      <c r="S43" s="66">
        <f>S40-S41</f>
        <v/>
      </c>
      <c r="T43" s="66">
        <f>T40-T41</f>
        <v/>
      </c>
      <c r="U43" s="66">
        <f>U40-U41</f>
        <v/>
      </c>
      <c r="V43" s="66">
        <f>V40-V41</f>
        <v/>
      </c>
      <c r="W43" s="66">
        <f>W40-W41</f>
        <v/>
      </c>
      <c r="X43" s="66">
        <f>X40-X41</f>
        <v/>
      </c>
      <c r="Y43" s="66">
        <f>Y40-Y41</f>
        <v/>
      </c>
      <c r="Z43" s="66">
        <f>Z40-Z41</f>
        <v/>
      </c>
      <c r="AA43" s="66">
        <f>AA40-AA41</f>
        <v/>
      </c>
      <c r="AB43" s="66">
        <f>AB40-AB41</f>
        <v/>
      </c>
      <c r="AC43" s="66">
        <f>AC40-AC41</f>
        <v/>
      </c>
      <c r="AD43" s="66">
        <f>AD40-AD41</f>
        <v/>
      </c>
      <c r="AE43" s="66">
        <f>AE40-AE41</f>
        <v/>
      </c>
      <c r="AF43" s="66">
        <f>AF40-AF41</f>
        <v/>
      </c>
      <c r="AG43" s="66">
        <f>AG40-AG41</f>
        <v/>
      </c>
      <c r="AH43" s="66">
        <f>AH40-AH41</f>
        <v/>
      </c>
      <c r="AI43" s="66">
        <f>AI40-AI41</f>
        <v/>
      </c>
      <c r="AJ43" s="66">
        <f>AJ40-AJ41</f>
        <v/>
      </c>
      <c r="AK43" s="66">
        <f>AK40-AK41</f>
        <v/>
      </c>
      <c r="AL43" s="66">
        <f>AL40-AL41</f>
        <v/>
      </c>
      <c r="AM43" s="66">
        <f>AM40-AM41</f>
        <v/>
      </c>
      <c r="AN43" s="66">
        <f>AN40-AN41</f>
        <v/>
      </c>
      <c r="AO43" s="66">
        <f>AO40-AO41</f>
        <v/>
      </c>
      <c r="AP43" s="66">
        <f>AP40-AP41</f>
        <v/>
      </c>
      <c r="AQ43" s="66">
        <f>AQ40-AQ41</f>
        <v/>
      </c>
      <c r="AR43" s="66">
        <f>AR40-AR41</f>
        <v/>
      </c>
      <c r="AS43" s="66">
        <f>AS40-AS41</f>
        <v/>
      </c>
      <c r="AT43" s="66">
        <f>AT40-AT41</f>
        <v/>
      </c>
      <c r="AU43" s="66">
        <f>AU40-AU41</f>
        <v/>
      </c>
      <c r="AV43" s="66">
        <f>AV40-AV41</f>
        <v/>
      </c>
      <c r="AW43" s="66">
        <f>AW40-AW41</f>
        <v/>
      </c>
      <c r="AX43" s="66">
        <f>AX40-AX41</f>
        <v/>
      </c>
      <c r="AY43" s="66">
        <f>AY40-AY41</f>
        <v/>
      </c>
      <c r="AZ43" s="66">
        <f>AZ40-AZ41</f>
        <v/>
      </c>
      <c r="BA43" s="66">
        <f>BA40-BA41</f>
        <v/>
      </c>
      <c r="BB43" s="66">
        <f>BB40-BB41</f>
        <v/>
      </c>
      <c r="BC43" s="66">
        <f>BC40-BC41</f>
        <v/>
      </c>
      <c r="BD43" s="66">
        <f>BD40-BD41</f>
        <v/>
      </c>
      <c r="BE43" s="66">
        <f>BE40-BE41</f>
        <v/>
      </c>
      <c r="BF43" s="66">
        <f>BF40-BF41</f>
        <v/>
      </c>
      <c r="BG43" s="66">
        <f>BG40-BG41</f>
        <v/>
      </c>
      <c r="BH43" s="66">
        <f>BH40-BH41</f>
        <v/>
      </c>
      <c r="BI43" s="66">
        <f>BI40-BI41</f>
        <v/>
      </c>
      <c r="BJ43" s="66">
        <f>BJ40-BJ41</f>
        <v/>
      </c>
      <c r="BK43" s="66">
        <f>BK40-BK41</f>
        <v/>
      </c>
    </row>
    <row r="45">
      <c r="B45" s="23" t="inlineStr">
        <is>
          <t>WORKING CAPITAL  (EUR)</t>
        </is>
      </c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3" t="n"/>
      <c r="BH45" s="23" t="n"/>
      <c r="BI45" s="23" t="n"/>
      <c r="BJ45" s="23" t="n"/>
    </row>
    <row r="46">
      <c r="B46" s="61" t="inlineStr">
        <is>
          <t xml:space="preserve">    Net revenue per active customer</t>
        </is>
      </c>
      <c r="C46" s="92" t="inlineStr">
        <is>
          <t>EUR</t>
        </is>
      </c>
      <c r="D46" s="67">
        <f>IFERROR(D10/('Model PT'!D14+'Model ES'!D14),0)</f>
        <v/>
      </c>
      <c r="E46" s="67">
        <f>IFERROR(E10/('Model PT'!E14+'Model ES'!E14),0)</f>
        <v/>
      </c>
      <c r="F46" s="67">
        <f>IFERROR(F10/('Model PT'!F14+'Model ES'!F14),0)</f>
        <v/>
      </c>
      <c r="G46" s="67">
        <f>IFERROR(G10/('Model PT'!G14+'Model ES'!G14),0)</f>
        <v/>
      </c>
      <c r="H46" s="67">
        <f>IFERROR(H10/('Model PT'!H14+'Model ES'!H14),0)</f>
        <v/>
      </c>
      <c r="I46" s="67">
        <f>IFERROR(I10/('Model PT'!I14+'Model ES'!I14),0)</f>
        <v/>
      </c>
      <c r="J46" s="67">
        <f>IFERROR(J10/('Model PT'!J14+'Model ES'!J14),0)</f>
        <v/>
      </c>
      <c r="K46" s="67">
        <f>IFERROR(K10/('Model PT'!K14+'Model ES'!K14),0)</f>
        <v/>
      </c>
      <c r="L46" s="67">
        <f>IFERROR(L10/('Model PT'!L14+'Model ES'!L14),0)</f>
        <v/>
      </c>
      <c r="M46" s="67">
        <f>IFERROR(M10/('Model PT'!M14+'Model ES'!M14),0)</f>
        <v/>
      </c>
      <c r="N46" s="67">
        <f>IFERROR(N10/('Model PT'!N14+'Model ES'!N14),0)</f>
        <v/>
      </c>
      <c r="O46" s="67">
        <f>IFERROR(O10/('Model PT'!O14+'Model ES'!O14),0)</f>
        <v/>
      </c>
      <c r="P46" s="67">
        <f>IFERROR(P10/('Model PT'!P14+'Model ES'!P14),0)</f>
        <v/>
      </c>
      <c r="Q46" s="67">
        <f>IFERROR(Q10/('Model PT'!Q14+'Model ES'!Q14),0)</f>
        <v/>
      </c>
      <c r="R46" s="67">
        <f>IFERROR(R10/('Model PT'!R14+'Model ES'!R14),0)</f>
        <v/>
      </c>
      <c r="S46" s="67">
        <f>IFERROR(S10/('Model PT'!S14+'Model ES'!S14),0)</f>
        <v/>
      </c>
      <c r="T46" s="67">
        <f>IFERROR(T10/('Model PT'!T14+'Model ES'!T14),0)</f>
        <v/>
      </c>
      <c r="U46" s="67">
        <f>IFERROR(U10/('Model PT'!U14+'Model ES'!U14),0)</f>
        <v/>
      </c>
      <c r="V46" s="67">
        <f>IFERROR(V10/('Model PT'!V14+'Model ES'!V14),0)</f>
        <v/>
      </c>
      <c r="W46" s="67">
        <f>IFERROR(W10/('Model PT'!W14+'Model ES'!W14),0)</f>
        <v/>
      </c>
      <c r="X46" s="67">
        <f>IFERROR(X10/('Model PT'!X14+'Model ES'!X14),0)</f>
        <v/>
      </c>
      <c r="Y46" s="67">
        <f>IFERROR(Y10/('Model PT'!Y14+'Model ES'!Y14),0)</f>
        <v/>
      </c>
      <c r="Z46" s="67">
        <f>IFERROR(Z10/('Model PT'!Z14+'Model ES'!Z14),0)</f>
        <v/>
      </c>
      <c r="AA46" s="67">
        <f>IFERROR(AA10/('Model PT'!AA14+'Model ES'!AA14),0)</f>
        <v/>
      </c>
      <c r="AB46" s="67">
        <f>IFERROR(AB10/('Model PT'!AB14+'Model ES'!AB14),0)</f>
        <v/>
      </c>
      <c r="AC46" s="67">
        <f>IFERROR(AC10/('Model PT'!AC14+'Model ES'!AC14),0)</f>
        <v/>
      </c>
      <c r="AD46" s="67">
        <f>IFERROR(AD10/('Model PT'!AD14+'Model ES'!AD14),0)</f>
        <v/>
      </c>
      <c r="AE46" s="67">
        <f>IFERROR(AE10/('Model PT'!AE14+'Model ES'!AE14),0)</f>
        <v/>
      </c>
      <c r="AF46" s="67">
        <f>IFERROR(AF10/('Model PT'!AF14+'Model ES'!AF14),0)</f>
        <v/>
      </c>
      <c r="AG46" s="67">
        <f>IFERROR(AG10/('Model PT'!AG14+'Model ES'!AG14),0)</f>
        <v/>
      </c>
      <c r="AH46" s="67">
        <f>IFERROR(AH10/('Model PT'!AH14+'Model ES'!AH14),0)</f>
        <v/>
      </c>
      <c r="AI46" s="67">
        <f>IFERROR(AI10/('Model PT'!AI14+'Model ES'!AI14),0)</f>
        <v/>
      </c>
      <c r="AJ46" s="67">
        <f>IFERROR(AJ10/('Model PT'!AJ14+'Model ES'!AJ14),0)</f>
        <v/>
      </c>
      <c r="AK46" s="67">
        <f>IFERROR(AK10/('Model PT'!AK14+'Model ES'!AK14),0)</f>
        <v/>
      </c>
      <c r="AL46" s="67">
        <f>IFERROR(AL10/('Model PT'!AL14+'Model ES'!AL14),0)</f>
        <v/>
      </c>
      <c r="AM46" s="67">
        <f>IFERROR(AM10/('Model PT'!AM14+'Model ES'!AM14),0)</f>
        <v/>
      </c>
      <c r="AN46" s="67">
        <f>IFERROR(AN10/('Model PT'!AN14+'Model ES'!AN14),0)</f>
        <v/>
      </c>
      <c r="AO46" s="67">
        <f>IFERROR(AO10/('Model PT'!AO14+'Model ES'!AO14),0)</f>
        <v/>
      </c>
      <c r="AP46" s="67">
        <f>IFERROR(AP10/('Model PT'!AP14+'Model ES'!AP14),0)</f>
        <v/>
      </c>
      <c r="AQ46" s="67">
        <f>IFERROR(AQ10/('Model PT'!AQ14+'Model ES'!AQ14),0)</f>
        <v/>
      </c>
      <c r="AR46" s="67">
        <f>IFERROR(AR10/('Model PT'!AR14+'Model ES'!AR14),0)</f>
        <v/>
      </c>
      <c r="AS46" s="67">
        <f>IFERROR(AS10/('Model PT'!AS14+'Model ES'!AS14),0)</f>
        <v/>
      </c>
      <c r="AT46" s="67">
        <f>IFERROR(AT10/('Model PT'!AT14+'Model ES'!AT14),0)</f>
        <v/>
      </c>
      <c r="AU46" s="67">
        <f>IFERROR(AU10/('Model PT'!AU14+'Model ES'!AU14),0)</f>
        <v/>
      </c>
      <c r="AV46" s="67">
        <f>IFERROR(AV10/('Model PT'!AV14+'Model ES'!AV14),0)</f>
        <v/>
      </c>
      <c r="AW46" s="67">
        <f>IFERROR(AW10/('Model PT'!AW14+'Model ES'!AW14),0)</f>
        <v/>
      </c>
      <c r="AX46" s="67">
        <f>IFERROR(AX10/('Model PT'!AX14+'Model ES'!AX14),0)</f>
        <v/>
      </c>
      <c r="AY46" s="67">
        <f>IFERROR(AY10/('Model PT'!AY14+'Model ES'!AY14),0)</f>
        <v/>
      </c>
      <c r="AZ46" s="67">
        <f>IFERROR(AZ10/('Model PT'!AZ14+'Model ES'!AZ14),0)</f>
        <v/>
      </c>
      <c r="BA46" s="67">
        <f>IFERROR(BA10/('Model PT'!BA14+'Model ES'!BA14),0)</f>
        <v/>
      </c>
      <c r="BB46" s="67">
        <f>IFERROR(BB10/('Model PT'!BB14+'Model ES'!BB14),0)</f>
        <v/>
      </c>
      <c r="BC46" s="67">
        <f>IFERROR(BC10/('Model PT'!BC14+'Model ES'!BC14),0)</f>
        <v/>
      </c>
      <c r="BD46" s="67">
        <f>IFERROR(BD10/('Model PT'!BD14+'Model ES'!BD14),0)</f>
        <v/>
      </c>
      <c r="BE46" s="67">
        <f>IFERROR(BE10/('Model PT'!BE14+'Model ES'!BE14),0)</f>
        <v/>
      </c>
      <c r="BF46" s="67">
        <f>IFERROR(BF10/('Model PT'!BF14+'Model ES'!BF14),0)</f>
        <v/>
      </c>
      <c r="BG46" s="67">
        <f>IFERROR(BG10/('Model PT'!BG14+'Model ES'!BG14),0)</f>
        <v/>
      </c>
      <c r="BH46" s="67">
        <f>IFERROR(BH10/('Model PT'!BH14+'Model ES'!BH14),0)</f>
        <v/>
      </c>
      <c r="BI46" s="67">
        <f>IFERROR(BI10/('Model PT'!BI14+'Model ES'!BI14),0)</f>
        <v/>
      </c>
      <c r="BJ46" s="67">
        <f>IFERROR(BJ10/('Model PT'!BJ14+'Model ES'!BJ14),0)</f>
        <v/>
      </c>
      <c r="BK46" s="67">
        <f>IFERROR(BK10/('Model PT'!BK14+'Model ES'!BK14),0)</f>
        <v/>
      </c>
    </row>
    <row r="47">
      <c r="B47" s="61" t="inlineStr">
        <is>
          <t xml:space="preserve">    Annual-prepay cash collected up front</t>
        </is>
      </c>
      <c r="C47" s="92" t="inlineStr">
        <is>
          <t>EUR</t>
        </is>
      </c>
      <c r="D47" s="64">
        <f>('Model PT'!D11+'Model ES'!D11)*Inputs!$C$95*D46*12*(1-Inputs!$C$96)</f>
        <v/>
      </c>
      <c r="E47" s="64">
        <f>('Model PT'!E11+'Model ES'!E11)*Inputs!$C$95*E46*12*(1-Inputs!$C$96)</f>
        <v/>
      </c>
      <c r="F47" s="64">
        <f>('Model PT'!F11+'Model ES'!F11)*Inputs!$C$95*F46*12*(1-Inputs!$C$96)</f>
        <v/>
      </c>
      <c r="G47" s="64">
        <f>('Model PT'!G11+'Model ES'!G11)*Inputs!$C$95*G46*12*(1-Inputs!$C$96)</f>
        <v/>
      </c>
      <c r="H47" s="64">
        <f>('Model PT'!H11+'Model ES'!H11)*Inputs!$C$95*H46*12*(1-Inputs!$C$96)</f>
        <v/>
      </c>
      <c r="I47" s="64">
        <f>('Model PT'!I11+'Model ES'!I11)*Inputs!$C$95*I46*12*(1-Inputs!$C$96)</f>
        <v/>
      </c>
      <c r="J47" s="64">
        <f>('Model PT'!J11+'Model ES'!J11)*Inputs!$C$95*J46*12*(1-Inputs!$C$96)</f>
        <v/>
      </c>
      <c r="K47" s="64">
        <f>('Model PT'!K11+'Model ES'!K11)*Inputs!$C$95*K46*12*(1-Inputs!$C$96)</f>
        <v/>
      </c>
      <c r="L47" s="64">
        <f>('Model PT'!L11+'Model ES'!L11)*Inputs!$C$95*L46*12*(1-Inputs!$C$96)</f>
        <v/>
      </c>
      <c r="M47" s="64">
        <f>('Model PT'!M11+'Model ES'!M11)*Inputs!$C$95*M46*12*(1-Inputs!$C$96)</f>
        <v/>
      </c>
      <c r="N47" s="64">
        <f>('Model PT'!N11+'Model ES'!N11)*Inputs!$C$95*N46*12*(1-Inputs!$C$96)</f>
        <v/>
      </c>
      <c r="O47" s="64">
        <f>('Model PT'!O11+'Model ES'!O11)*Inputs!$C$95*O46*12*(1-Inputs!$C$96)</f>
        <v/>
      </c>
      <c r="P47" s="64">
        <f>('Model PT'!P11+'Model ES'!P11)*Inputs!$C$95*P46*12*(1-Inputs!$C$96)</f>
        <v/>
      </c>
      <c r="Q47" s="64">
        <f>('Model PT'!Q11+'Model ES'!Q11)*Inputs!$C$95*Q46*12*(1-Inputs!$C$96)</f>
        <v/>
      </c>
      <c r="R47" s="64">
        <f>('Model PT'!R11+'Model ES'!R11)*Inputs!$C$95*R46*12*(1-Inputs!$C$96)</f>
        <v/>
      </c>
      <c r="S47" s="64">
        <f>('Model PT'!S11+'Model ES'!S11)*Inputs!$C$95*S46*12*(1-Inputs!$C$96)</f>
        <v/>
      </c>
      <c r="T47" s="64">
        <f>('Model PT'!T11+'Model ES'!T11)*Inputs!$C$95*T46*12*(1-Inputs!$C$96)</f>
        <v/>
      </c>
      <c r="U47" s="64">
        <f>('Model PT'!U11+'Model ES'!U11)*Inputs!$C$95*U46*12*(1-Inputs!$C$96)</f>
        <v/>
      </c>
      <c r="V47" s="64">
        <f>('Model PT'!V11+'Model ES'!V11)*Inputs!$C$95*V46*12*(1-Inputs!$C$96)</f>
        <v/>
      </c>
      <c r="W47" s="64">
        <f>('Model PT'!W11+'Model ES'!W11)*Inputs!$C$95*W46*12*(1-Inputs!$C$96)</f>
        <v/>
      </c>
      <c r="X47" s="64">
        <f>('Model PT'!X11+'Model ES'!X11)*Inputs!$C$95*X46*12*(1-Inputs!$C$96)</f>
        <v/>
      </c>
      <c r="Y47" s="64">
        <f>('Model PT'!Y11+'Model ES'!Y11)*Inputs!$C$95*Y46*12*(1-Inputs!$C$96)</f>
        <v/>
      </c>
      <c r="Z47" s="64">
        <f>('Model PT'!Z11+'Model ES'!Z11)*Inputs!$C$95*Z46*12*(1-Inputs!$C$96)</f>
        <v/>
      </c>
      <c r="AA47" s="64">
        <f>('Model PT'!AA11+'Model ES'!AA11)*Inputs!$C$95*AA46*12*(1-Inputs!$C$96)</f>
        <v/>
      </c>
      <c r="AB47" s="64">
        <f>('Model PT'!AB11+'Model ES'!AB11)*Inputs!$C$95*AB46*12*(1-Inputs!$C$96)</f>
        <v/>
      </c>
      <c r="AC47" s="64">
        <f>('Model PT'!AC11+'Model ES'!AC11)*Inputs!$C$95*AC46*12*(1-Inputs!$C$96)</f>
        <v/>
      </c>
      <c r="AD47" s="64">
        <f>('Model PT'!AD11+'Model ES'!AD11)*Inputs!$C$95*AD46*12*(1-Inputs!$C$96)</f>
        <v/>
      </c>
      <c r="AE47" s="64">
        <f>('Model PT'!AE11+'Model ES'!AE11)*Inputs!$C$95*AE46*12*(1-Inputs!$C$96)</f>
        <v/>
      </c>
      <c r="AF47" s="64">
        <f>('Model PT'!AF11+'Model ES'!AF11)*Inputs!$C$95*AF46*12*(1-Inputs!$C$96)</f>
        <v/>
      </c>
      <c r="AG47" s="64">
        <f>('Model PT'!AG11+'Model ES'!AG11)*Inputs!$C$95*AG46*12*(1-Inputs!$C$96)</f>
        <v/>
      </c>
      <c r="AH47" s="64">
        <f>('Model PT'!AH11+'Model ES'!AH11)*Inputs!$C$95*AH46*12*(1-Inputs!$C$96)</f>
        <v/>
      </c>
      <c r="AI47" s="64">
        <f>('Model PT'!AI11+'Model ES'!AI11)*Inputs!$C$95*AI46*12*(1-Inputs!$C$96)</f>
        <v/>
      </c>
      <c r="AJ47" s="64">
        <f>('Model PT'!AJ11+'Model ES'!AJ11)*Inputs!$C$95*AJ46*12*(1-Inputs!$C$96)</f>
        <v/>
      </c>
      <c r="AK47" s="64">
        <f>('Model PT'!AK11+'Model ES'!AK11)*Inputs!$C$95*AK46*12*(1-Inputs!$C$96)</f>
        <v/>
      </c>
      <c r="AL47" s="64">
        <f>('Model PT'!AL11+'Model ES'!AL11)*Inputs!$C$95*AL46*12*(1-Inputs!$C$96)</f>
        <v/>
      </c>
      <c r="AM47" s="64">
        <f>('Model PT'!AM11+'Model ES'!AM11)*Inputs!$C$95*AM46*12*(1-Inputs!$C$96)</f>
        <v/>
      </c>
      <c r="AN47" s="64">
        <f>('Model PT'!AN11+'Model ES'!AN11)*Inputs!$C$95*AN46*12*(1-Inputs!$C$96)</f>
        <v/>
      </c>
      <c r="AO47" s="64">
        <f>('Model PT'!AO11+'Model ES'!AO11)*Inputs!$C$95*AO46*12*(1-Inputs!$C$96)</f>
        <v/>
      </c>
      <c r="AP47" s="64">
        <f>('Model PT'!AP11+'Model ES'!AP11)*Inputs!$C$95*AP46*12*(1-Inputs!$C$96)</f>
        <v/>
      </c>
      <c r="AQ47" s="64">
        <f>('Model PT'!AQ11+'Model ES'!AQ11)*Inputs!$C$95*AQ46*12*(1-Inputs!$C$96)</f>
        <v/>
      </c>
      <c r="AR47" s="64">
        <f>('Model PT'!AR11+'Model ES'!AR11)*Inputs!$C$95*AR46*12*(1-Inputs!$C$96)</f>
        <v/>
      </c>
      <c r="AS47" s="64">
        <f>('Model PT'!AS11+'Model ES'!AS11)*Inputs!$C$95*AS46*12*(1-Inputs!$C$96)</f>
        <v/>
      </c>
      <c r="AT47" s="64">
        <f>('Model PT'!AT11+'Model ES'!AT11)*Inputs!$C$95*AT46*12*(1-Inputs!$C$96)</f>
        <v/>
      </c>
      <c r="AU47" s="64">
        <f>('Model PT'!AU11+'Model ES'!AU11)*Inputs!$C$95*AU46*12*(1-Inputs!$C$96)</f>
        <v/>
      </c>
      <c r="AV47" s="64">
        <f>('Model PT'!AV11+'Model ES'!AV11)*Inputs!$C$95*AV46*12*(1-Inputs!$C$96)</f>
        <v/>
      </c>
      <c r="AW47" s="64">
        <f>('Model PT'!AW11+'Model ES'!AW11)*Inputs!$C$95*AW46*12*(1-Inputs!$C$96)</f>
        <v/>
      </c>
      <c r="AX47" s="64">
        <f>('Model PT'!AX11+'Model ES'!AX11)*Inputs!$C$95*AX46*12*(1-Inputs!$C$96)</f>
        <v/>
      </c>
      <c r="AY47" s="64">
        <f>('Model PT'!AY11+'Model ES'!AY11)*Inputs!$C$95*AY46*12*(1-Inputs!$C$96)</f>
        <v/>
      </c>
      <c r="AZ47" s="64">
        <f>('Model PT'!AZ11+'Model ES'!AZ11)*Inputs!$C$95*AZ46*12*(1-Inputs!$C$96)</f>
        <v/>
      </c>
      <c r="BA47" s="64">
        <f>('Model PT'!BA11+'Model ES'!BA11)*Inputs!$C$95*BA46*12*(1-Inputs!$C$96)</f>
        <v/>
      </c>
      <c r="BB47" s="64">
        <f>('Model PT'!BB11+'Model ES'!BB11)*Inputs!$C$95*BB46*12*(1-Inputs!$C$96)</f>
        <v/>
      </c>
      <c r="BC47" s="64">
        <f>('Model PT'!BC11+'Model ES'!BC11)*Inputs!$C$95*BC46*12*(1-Inputs!$C$96)</f>
        <v/>
      </c>
      <c r="BD47" s="64">
        <f>('Model PT'!BD11+'Model ES'!BD11)*Inputs!$C$95*BD46*12*(1-Inputs!$C$96)</f>
        <v/>
      </c>
      <c r="BE47" s="64">
        <f>('Model PT'!BE11+'Model ES'!BE11)*Inputs!$C$95*BE46*12*(1-Inputs!$C$96)</f>
        <v/>
      </c>
      <c r="BF47" s="64">
        <f>('Model PT'!BF11+'Model ES'!BF11)*Inputs!$C$95*BF46*12*(1-Inputs!$C$96)</f>
        <v/>
      </c>
      <c r="BG47" s="64">
        <f>('Model PT'!BG11+'Model ES'!BG11)*Inputs!$C$95*BG46*12*(1-Inputs!$C$96)</f>
        <v/>
      </c>
      <c r="BH47" s="64">
        <f>('Model PT'!BH11+'Model ES'!BH11)*Inputs!$C$95*BH46*12*(1-Inputs!$C$96)</f>
        <v/>
      </c>
      <c r="BI47" s="64">
        <f>('Model PT'!BI11+'Model ES'!BI11)*Inputs!$C$95*BI46*12*(1-Inputs!$C$96)</f>
        <v/>
      </c>
      <c r="BJ47" s="64">
        <f>('Model PT'!BJ11+'Model ES'!BJ11)*Inputs!$C$95*BJ46*12*(1-Inputs!$C$96)</f>
        <v/>
      </c>
      <c r="BK47" s="64">
        <f>('Model PT'!BK11+'Model ES'!BK11)*Inputs!$C$95*BK46*12*(1-Inputs!$C$96)</f>
        <v/>
      </c>
    </row>
    <row r="48">
      <c r="B48" s="61" t="inlineStr">
        <is>
          <t xml:space="preserve">    Receivables</t>
        </is>
      </c>
      <c r="C48" s="92" t="inlineStr">
        <is>
          <t>EUR</t>
        </is>
      </c>
      <c r="D48" s="64">
        <f>D10*(1-Inputs!$C$95)*Inputs!$C$93/Inputs!$C$16</f>
        <v/>
      </c>
      <c r="E48" s="64">
        <f>E10*(1-Inputs!$C$95)*Inputs!$C$93/Inputs!$C$16</f>
        <v/>
      </c>
      <c r="F48" s="64">
        <f>F10*(1-Inputs!$C$95)*Inputs!$C$93/Inputs!$C$16</f>
        <v/>
      </c>
      <c r="G48" s="64">
        <f>G10*(1-Inputs!$C$95)*Inputs!$C$93/Inputs!$C$16</f>
        <v/>
      </c>
      <c r="H48" s="64">
        <f>H10*(1-Inputs!$C$95)*Inputs!$C$93/Inputs!$C$16</f>
        <v/>
      </c>
      <c r="I48" s="64">
        <f>I10*(1-Inputs!$C$95)*Inputs!$C$93/Inputs!$C$16</f>
        <v/>
      </c>
      <c r="J48" s="64">
        <f>J10*(1-Inputs!$C$95)*Inputs!$C$93/Inputs!$C$16</f>
        <v/>
      </c>
      <c r="K48" s="64">
        <f>K10*(1-Inputs!$C$95)*Inputs!$C$93/Inputs!$C$16</f>
        <v/>
      </c>
      <c r="L48" s="64">
        <f>L10*(1-Inputs!$C$95)*Inputs!$C$93/Inputs!$C$16</f>
        <v/>
      </c>
      <c r="M48" s="64">
        <f>M10*(1-Inputs!$C$95)*Inputs!$C$93/Inputs!$C$16</f>
        <v/>
      </c>
      <c r="N48" s="64">
        <f>N10*(1-Inputs!$C$95)*Inputs!$C$93/Inputs!$C$16</f>
        <v/>
      </c>
      <c r="O48" s="64">
        <f>O10*(1-Inputs!$C$95)*Inputs!$C$93/Inputs!$C$16</f>
        <v/>
      </c>
      <c r="P48" s="64">
        <f>P10*(1-Inputs!$C$95)*Inputs!$C$93/Inputs!$C$16</f>
        <v/>
      </c>
      <c r="Q48" s="64">
        <f>Q10*(1-Inputs!$C$95)*Inputs!$C$93/Inputs!$C$16</f>
        <v/>
      </c>
      <c r="R48" s="64">
        <f>R10*(1-Inputs!$C$95)*Inputs!$C$93/Inputs!$C$16</f>
        <v/>
      </c>
      <c r="S48" s="64">
        <f>S10*(1-Inputs!$C$95)*Inputs!$C$93/Inputs!$C$16</f>
        <v/>
      </c>
      <c r="T48" s="64">
        <f>T10*(1-Inputs!$C$95)*Inputs!$C$93/Inputs!$C$16</f>
        <v/>
      </c>
      <c r="U48" s="64">
        <f>U10*(1-Inputs!$C$95)*Inputs!$C$93/Inputs!$C$16</f>
        <v/>
      </c>
      <c r="V48" s="64">
        <f>V10*(1-Inputs!$C$95)*Inputs!$C$93/Inputs!$C$16</f>
        <v/>
      </c>
      <c r="W48" s="64">
        <f>W10*(1-Inputs!$C$95)*Inputs!$C$93/Inputs!$C$16</f>
        <v/>
      </c>
      <c r="X48" s="64">
        <f>X10*(1-Inputs!$C$95)*Inputs!$C$93/Inputs!$C$16</f>
        <v/>
      </c>
      <c r="Y48" s="64">
        <f>Y10*(1-Inputs!$C$95)*Inputs!$C$93/Inputs!$C$16</f>
        <v/>
      </c>
      <c r="Z48" s="64">
        <f>Z10*(1-Inputs!$C$95)*Inputs!$C$93/Inputs!$C$16</f>
        <v/>
      </c>
      <c r="AA48" s="64">
        <f>AA10*(1-Inputs!$C$95)*Inputs!$C$93/Inputs!$C$16</f>
        <v/>
      </c>
      <c r="AB48" s="64">
        <f>AB10*(1-Inputs!$C$95)*Inputs!$C$93/Inputs!$C$16</f>
        <v/>
      </c>
      <c r="AC48" s="64">
        <f>AC10*(1-Inputs!$C$95)*Inputs!$C$93/Inputs!$C$16</f>
        <v/>
      </c>
      <c r="AD48" s="64">
        <f>AD10*(1-Inputs!$C$95)*Inputs!$C$93/Inputs!$C$16</f>
        <v/>
      </c>
      <c r="AE48" s="64">
        <f>AE10*(1-Inputs!$C$95)*Inputs!$C$93/Inputs!$C$16</f>
        <v/>
      </c>
      <c r="AF48" s="64">
        <f>AF10*(1-Inputs!$C$95)*Inputs!$C$93/Inputs!$C$16</f>
        <v/>
      </c>
      <c r="AG48" s="64">
        <f>AG10*(1-Inputs!$C$95)*Inputs!$C$93/Inputs!$C$16</f>
        <v/>
      </c>
      <c r="AH48" s="64">
        <f>AH10*(1-Inputs!$C$95)*Inputs!$C$93/Inputs!$C$16</f>
        <v/>
      </c>
      <c r="AI48" s="64">
        <f>AI10*(1-Inputs!$C$95)*Inputs!$C$93/Inputs!$C$16</f>
        <v/>
      </c>
      <c r="AJ48" s="64">
        <f>AJ10*(1-Inputs!$C$95)*Inputs!$C$93/Inputs!$C$16</f>
        <v/>
      </c>
      <c r="AK48" s="64">
        <f>AK10*(1-Inputs!$C$95)*Inputs!$C$93/Inputs!$C$16</f>
        <v/>
      </c>
      <c r="AL48" s="64">
        <f>AL10*(1-Inputs!$C$95)*Inputs!$C$93/Inputs!$C$16</f>
        <v/>
      </c>
      <c r="AM48" s="64">
        <f>AM10*(1-Inputs!$C$95)*Inputs!$C$93/Inputs!$C$16</f>
        <v/>
      </c>
      <c r="AN48" s="64">
        <f>AN10*(1-Inputs!$C$95)*Inputs!$C$93/Inputs!$C$16</f>
        <v/>
      </c>
      <c r="AO48" s="64">
        <f>AO10*(1-Inputs!$C$95)*Inputs!$C$93/Inputs!$C$16</f>
        <v/>
      </c>
      <c r="AP48" s="64">
        <f>AP10*(1-Inputs!$C$95)*Inputs!$C$93/Inputs!$C$16</f>
        <v/>
      </c>
      <c r="AQ48" s="64">
        <f>AQ10*(1-Inputs!$C$95)*Inputs!$C$93/Inputs!$C$16</f>
        <v/>
      </c>
      <c r="AR48" s="64">
        <f>AR10*(1-Inputs!$C$95)*Inputs!$C$93/Inputs!$C$16</f>
        <v/>
      </c>
      <c r="AS48" s="64">
        <f>AS10*(1-Inputs!$C$95)*Inputs!$C$93/Inputs!$C$16</f>
        <v/>
      </c>
      <c r="AT48" s="64">
        <f>AT10*(1-Inputs!$C$95)*Inputs!$C$93/Inputs!$C$16</f>
        <v/>
      </c>
      <c r="AU48" s="64">
        <f>AU10*(1-Inputs!$C$95)*Inputs!$C$93/Inputs!$C$16</f>
        <v/>
      </c>
      <c r="AV48" s="64">
        <f>AV10*(1-Inputs!$C$95)*Inputs!$C$93/Inputs!$C$16</f>
        <v/>
      </c>
      <c r="AW48" s="64">
        <f>AW10*(1-Inputs!$C$95)*Inputs!$C$93/Inputs!$C$16</f>
        <v/>
      </c>
      <c r="AX48" s="64">
        <f>AX10*(1-Inputs!$C$95)*Inputs!$C$93/Inputs!$C$16</f>
        <v/>
      </c>
      <c r="AY48" s="64">
        <f>AY10*(1-Inputs!$C$95)*Inputs!$C$93/Inputs!$C$16</f>
        <v/>
      </c>
      <c r="AZ48" s="64">
        <f>AZ10*(1-Inputs!$C$95)*Inputs!$C$93/Inputs!$C$16</f>
        <v/>
      </c>
      <c r="BA48" s="64">
        <f>BA10*(1-Inputs!$C$95)*Inputs!$C$93/Inputs!$C$16</f>
        <v/>
      </c>
      <c r="BB48" s="64">
        <f>BB10*(1-Inputs!$C$95)*Inputs!$C$93/Inputs!$C$16</f>
        <v/>
      </c>
      <c r="BC48" s="64">
        <f>BC10*(1-Inputs!$C$95)*Inputs!$C$93/Inputs!$C$16</f>
        <v/>
      </c>
      <c r="BD48" s="64">
        <f>BD10*(1-Inputs!$C$95)*Inputs!$C$93/Inputs!$C$16</f>
        <v/>
      </c>
      <c r="BE48" s="64">
        <f>BE10*(1-Inputs!$C$95)*Inputs!$C$93/Inputs!$C$16</f>
        <v/>
      </c>
      <c r="BF48" s="64">
        <f>BF10*(1-Inputs!$C$95)*Inputs!$C$93/Inputs!$C$16</f>
        <v/>
      </c>
      <c r="BG48" s="64">
        <f>BG10*(1-Inputs!$C$95)*Inputs!$C$93/Inputs!$C$16</f>
        <v/>
      </c>
      <c r="BH48" s="64">
        <f>BH10*(1-Inputs!$C$95)*Inputs!$C$93/Inputs!$C$16</f>
        <v/>
      </c>
      <c r="BI48" s="64">
        <f>BI10*(1-Inputs!$C$95)*Inputs!$C$93/Inputs!$C$16</f>
        <v/>
      </c>
      <c r="BJ48" s="64">
        <f>BJ10*(1-Inputs!$C$95)*Inputs!$C$93/Inputs!$C$16</f>
        <v/>
      </c>
      <c r="BK48" s="64">
        <f>BK10*(1-Inputs!$C$95)*Inputs!$C$93/Inputs!$C$16</f>
        <v/>
      </c>
    </row>
    <row r="49">
      <c r="B49" s="61" t="inlineStr">
        <is>
          <t xml:space="preserve">    Payables</t>
        </is>
      </c>
      <c r="C49" s="92" t="inlineStr">
        <is>
          <t>EUR</t>
        </is>
      </c>
      <c r="D49" s="64">
        <f>(-D13-D22)*Inputs!$C$94/Inputs!$C$16</f>
        <v/>
      </c>
      <c r="E49" s="64">
        <f>(-E13-E22)*Inputs!$C$94/Inputs!$C$16</f>
        <v/>
      </c>
      <c r="F49" s="64">
        <f>(-F13-F22)*Inputs!$C$94/Inputs!$C$16</f>
        <v/>
      </c>
      <c r="G49" s="64">
        <f>(-G13-G22)*Inputs!$C$94/Inputs!$C$16</f>
        <v/>
      </c>
      <c r="H49" s="64">
        <f>(-H13-H22)*Inputs!$C$94/Inputs!$C$16</f>
        <v/>
      </c>
      <c r="I49" s="64">
        <f>(-I13-I22)*Inputs!$C$94/Inputs!$C$16</f>
        <v/>
      </c>
      <c r="J49" s="64">
        <f>(-J13-J22)*Inputs!$C$94/Inputs!$C$16</f>
        <v/>
      </c>
      <c r="K49" s="64">
        <f>(-K13-K22)*Inputs!$C$94/Inputs!$C$16</f>
        <v/>
      </c>
      <c r="L49" s="64">
        <f>(-L13-L22)*Inputs!$C$94/Inputs!$C$16</f>
        <v/>
      </c>
      <c r="M49" s="64">
        <f>(-M13-M22)*Inputs!$C$94/Inputs!$C$16</f>
        <v/>
      </c>
      <c r="N49" s="64">
        <f>(-N13-N22)*Inputs!$C$94/Inputs!$C$16</f>
        <v/>
      </c>
      <c r="O49" s="64">
        <f>(-O13-O22)*Inputs!$C$94/Inputs!$C$16</f>
        <v/>
      </c>
      <c r="P49" s="64">
        <f>(-P13-P22)*Inputs!$C$94/Inputs!$C$16</f>
        <v/>
      </c>
      <c r="Q49" s="64">
        <f>(-Q13-Q22)*Inputs!$C$94/Inputs!$C$16</f>
        <v/>
      </c>
      <c r="R49" s="64">
        <f>(-R13-R22)*Inputs!$C$94/Inputs!$C$16</f>
        <v/>
      </c>
      <c r="S49" s="64">
        <f>(-S13-S22)*Inputs!$C$94/Inputs!$C$16</f>
        <v/>
      </c>
      <c r="T49" s="64">
        <f>(-T13-T22)*Inputs!$C$94/Inputs!$C$16</f>
        <v/>
      </c>
      <c r="U49" s="64">
        <f>(-U13-U22)*Inputs!$C$94/Inputs!$C$16</f>
        <v/>
      </c>
      <c r="V49" s="64">
        <f>(-V13-V22)*Inputs!$C$94/Inputs!$C$16</f>
        <v/>
      </c>
      <c r="W49" s="64">
        <f>(-W13-W22)*Inputs!$C$94/Inputs!$C$16</f>
        <v/>
      </c>
      <c r="X49" s="64">
        <f>(-X13-X22)*Inputs!$C$94/Inputs!$C$16</f>
        <v/>
      </c>
      <c r="Y49" s="64">
        <f>(-Y13-Y22)*Inputs!$C$94/Inputs!$C$16</f>
        <v/>
      </c>
      <c r="Z49" s="64">
        <f>(-Z13-Z22)*Inputs!$C$94/Inputs!$C$16</f>
        <v/>
      </c>
      <c r="AA49" s="64">
        <f>(-AA13-AA22)*Inputs!$C$94/Inputs!$C$16</f>
        <v/>
      </c>
      <c r="AB49" s="64">
        <f>(-AB13-AB22)*Inputs!$C$94/Inputs!$C$16</f>
        <v/>
      </c>
      <c r="AC49" s="64">
        <f>(-AC13-AC22)*Inputs!$C$94/Inputs!$C$16</f>
        <v/>
      </c>
      <c r="AD49" s="64">
        <f>(-AD13-AD22)*Inputs!$C$94/Inputs!$C$16</f>
        <v/>
      </c>
      <c r="AE49" s="64">
        <f>(-AE13-AE22)*Inputs!$C$94/Inputs!$C$16</f>
        <v/>
      </c>
      <c r="AF49" s="64">
        <f>(-AF13-AF22)*Inputs!$C$94/Inputs!$C$16</f>
        <v/>
      </c>
      <c r="AG49" s="64">
        <f>(-AG13-AG22)*Inputs!$C$94/Inputs!$C$16</f>
        <v/>
      </c>
      <c r="AH49" s="64">
        <f>(-AH13-AH22)*Inputs!$C$94/Inputs!$C$16</f>
        <v/>
      </c>
      <c r="AI49" s="64">
        <f>(-AI13-AI22)*Inputs!$C$94/Inputs!$C$16</f>
        <v/>
      </c>
      <c r="AJ49" s="64">
        <f>(-AJ13-AJ22)*Inputs!$C$94/Inputs!$C$16</f>
        <v/>
      </c>
      <c r="AK49" s="64">
        <f>(-AK13-AK22)*Inputs!$C$94/Inputs!$C$16</f>
        <v/>
      </c>
      <c r="AL49" s="64">
        <f>(-AL13-AL22)*Inputs!$C$94/Inputs!$C$16</f>
        <v/>
      </c>
      <c r="AM49" s="64">
        <f>(-AM13-AM22)*Inputs!$C$94/Inputs!$C$16</f>
        <v/>
      </c>
      <c r="AN49" s="64">
        <f>(-AN13-AN22)*Inputs!$C$94/Inputs!$C$16</f>
        <v/>
      </c>
      <c r="AO49" s="64">
        <f>(-AO13-AO22)*Inputs!$C$94/Inputs!$C$16</f>
        <v/>
      </c>
      <c r="AP49" s="64">
        <f>(-AP13-AP22)*Inputs!$C$94/Inputs!$C$16</f>
        <v/>
      </c>
      <c r="AQ49" s="64">
        <f>(-AQ13-AQ22)*Inputs!$C$94/Inputs!$C$16</f>
        <v/>
      </c>
      <c r="AR49" s="64">
        <f>(-AR13-AR22)*Inputs!$C$94/Inputs!$C$16</f>
        <v/>
      </c>
      <c r="AS49" s="64">
        <f>(-AS13-AS22)*Inputs!$C$94/Inputs!$C$16</f>
        <v/>
      </c>
      <c r="AT49" s="64">
        <f>(-AT13-AT22)*Inputs!$C$94/Inputs!$C$16</f>
        <v/>
      </c>
      <c r="AU49" s="64">
        <f>(-AU13-AU22)*Inputs!$C$94/Inputs!$C$16</f>
        <v/>
      </c>
      <c r="AV49" s="64">
        <f>(-AV13-AV22)*Inputs!$C$94/Inputs!$C$16</f>
        <v/>
      </c>
      <c r="AW49" s="64">
        <f>(-AW13-AW22)*Inputs!$C$94/Inputs!$C$16</f>
        <v/>
      </c>
      <c r="AX49" s="64">
        <f>(-AX13-AX22)*Inputs!$C$94/Inputs!$C$16</f>
        <v/>
      </c>
      <c r="AY49" s="64">
        <f>(-AY13-AY22)*Inputs!$C$94/Inputs!$C$16</f>
        <v/>
      </c>
      <c r="AZ49" s="64">
        <f>(-AZ13-AZ22)*Inputs!$C$94/Inputs!$C$16</f>
        <v/>
      </c>
      <c r="BA49" s="64">
        <f>(-BA13-BA22)*Inputs!$C$94/Inputs!$C$16</f>
        <v/>
      </c>
      <c r="BB49" s="64">
        <f>(-BB13-BB22)*Inputs!$C$94/Inputs!$C$16</f>
        <v/>
      </c>
      <c r="BC49" s="64">
        <f>(-BC13-BC22)*Inputs!$C$94/Inputs!$C$16</f>
        <v/>
      </c>
      <c r="BD49" s="64">
        <f>(-BD13-BD22)*Inputs!$C$94/Inputs!$C$16</f>
        <v/>
      </c>
      <c r="BE49" s="64">
        <f>(-BE13-BE22)*Inputs!$C$94/Inputs!$C$16</f>
        <v/>
      </c>
      <c r="BF49" s="64">
        <f>(-BF13-BF22)*Inputs!$C$94/Inputs!$C$16</f>
        <v/>
      </c>
      <c r="BG49" s="64">
        <f>(-BG13-BG22)*Inputs!$C$94/Inputs!$C$16</f>
        <v/>
      </c>
      <c r="BH49" s="64">
        <f>(-BH13-BH22)*Inputs!$C$94/Inputs!$C$16</f>
        <v/>
      </c>
      <c r="BI49" s="64">
        <f>(-BI13-BI22)*Inputs!$C$94/Inputs!$C$16</f>
        <v/>
      </c>
      <c r="BJ49" s="64">
        <f>(-BJ13-BJ22)*Inputs!$C$94/Inputs!$C$16</f>
        <v/>
      </c>
      <c r="BK49" s="64">
        <f>(-BK13-BK22)*Inputs!$C$94/Inputs!$C$16</f>
        <v/>
      </c>
    </row>
    <row r="50">
      <c r="B50" s="61" t="inlineStr">
        <is>
          <t xml:space="preserve">    Deferred revenue (annual prepay)</t>
        </is>
      </c>
      <c r="C50" s="92" t="inlineStr">
        <is>
          <t>EUR</t>
        </is>
      </c>
      <c r="D50" s="64">
        <f>D47</f>
        <v/>
      </c>
      <c r="E50" s="64">
        <f>MAX(0,D50+E47-D50/12)</f>
        <v/>
      </c>
      <c r="F50" s="64">
        <f>MAX(0,E50+F47-E50/12)</f>
        <v/>
      </c>
      <c r="G50" s="64">
        <f>MAX(0,F50+G47-F50/12)</f>
        <v/>
      </c>
      <c r="H50" s="64">
        <f>MAX(0,G50+H47-G50/12)</f>
        <v/>
      </c>
      <c r="I50" s="64">
        <f>MAX(0,H50+I47-H50/12)</f>
        <v/>
      </c>
      <c r="J50" s="64">
        <f>MAX(0,I50+J47-I50/12)</f>
        <v/>
      </c>
      <c r="K50" s="64">
        <f>MAX(0,J50+K47-J50/12)</f>
        <v/>
      </c>
      <c r="L50" s="64">
        <f>MAX(0,K50+L47-K50/12)</f>
        <v/>
      </c>
      <c r="M50" s="64">
        <f>MAX(0,L50+M47-L50/12)</f>
        <v/>
      </c>
      <c r="N50" s="64">
        <f>MAX(0,M50+N47-M50/12)</f>
        <v/>
      </c>
      <c r="O50" s="64">
        <f>MAX(0,N50+O47-N50/12)</f>
        <v/>
      </c>
      <c r="P50" s="64">
        <f>MAX(0,O50+P47-O50/12)</f>
        <v/>
      </c>
      <c r="Q50" s="64">
        <f>MAX(0,P50+Q47-P50/12)</f>
        <v/>
      </c>
      <c r="R50" s="64">
        <f>MAX(0,Q50+R47-Q50/12)</f>
        <v/>
      </c>
      <c r="S50" s="64">
        <f>MAX(0,R50+S47-R50/12)</f>
        <v/>
      </c>
      <c r="T50" s="64">
        <f>MAX(0,S50+T47-S50/12)</f>
        <v/>
      </c>
      <c r="U50" s="64">
        <f>MAX(0,T50+U47-T50/12)</f>
        <v/>
      </c>
      <c r="V50" s="64">
        <f>MAX(0,U50+V47-U50/12)</f>
        <v/>
      </c>
      <c r="W50" s="64">
        <f>MAX(0,V50+W47-V50/12)</f>
        <v/>
      </c>
      <c r="X50" s="64">
        <f>MAX(0,W50+X47-W50/12)</f>
        <v/>
      </c>
      <c r="Y50" s="64">
        <f>MAX(0,X50+Y47-X50/12)</f>
        <v/>
      </c>
      <c r="Z50" s="64">
        <f>MAX(0,Y50+Z47-Y50/12)</f>
        <v/>
      </c>
      <c r="AA50" s="64">
        <f>MAX(0,Z50+AA47-Z50/12)</f>
        <v/>
      </c>
      <c r="AB50" s="64">
        <f>MAX(0,AA50+AB47-AA50/12)</f>
        <v/>
      </c>
      <c r="AC50" s="64">
        <f>MAX(0,AB50+AC47-AB50/12)</f>
        <v/>
      </c>
      <c r="AD50" s="64">
        <f>MAX(0,AC50+AD47-AC50/12)</f>
        <v/>
      </c>
      <c r="AE50" s="64">
        <f>MAX(0,AD50+AE47-AD50/12)</f>
        <v/>
      </c>
      <c r="AF50" s="64">
        <f>MAX(0,AE50+AF47-AE50/12)</f>
        <v/>
      </c>
      <c r="AG50" s="64">
        <f>MAX(0,AF50+AG47-AF50/12)</f>
        <v/>
      </c>
      <c r="AH50" s="64">
        <f>MAX(0,AG50+AH47-AG50/12)</f>
        <v/>
      </c>
      <c r="AI50" s="64">
        <f>MAX(0,AH50+AI47-AH50/12)</f>
        <v/>
      </c>
      <c r="AJ50" s="64">
        <f>MAX(0,AI50+AJ47-AI50/12)</f>
        <v/>
      </c>
      <c r="AK50" s="64">
        <f>MAX(0,AJ50+AK47-AJ50/12)</f>
        <v/>
      </c>
      <c r="AL50" s="64">
        <f>MAX(0,AK50+AL47-AK50/12)</f>
        <v/>
      </c>
      <c r="AM50" s="64">
        <f>MAX(0,AL50+AM47-AL50/12)</f>
        <v/>
      </c>
      <c r="AN50" s="64">
        <f>MAX(0,AM50+AN47-AM50/12)</f>
        <v/>
      </c>
      <c r="AO50" s="64">
        <f>MAX(0,AN50+AO47-AN50/12)</f>
        <v/>
      </c>
      <c r="AP50" s="64">
        <f>MAX(0,AO50+AP47-AO50/12)</f>
        <v/>
      </c>
      <c r="AQ50" s="64">
        <f>MAX(0,AP50+AQ47-AP50/12)</f>
        <v/>
      </c>
      <c r="AR50" s="64">
        <f>MAX(0,AQ50+AR47-AQ50/12)</f>
        <v/>
      </c>
      <c r="AS50" s="64">
        <f>MAX(0,AR50+AS47-AR50/12)</f>
        <v/>
      </c>
      <c r="AT50" s="64">
        <f>MAX(0,AS50+AT47-AS50/12)</f>
        <v/>
      </c>
      <c r="AU50" s="64">
        <f>MAX(0,AT50+AU47-AT50/12)</f>
        <v/>
      </c>
      <c r="AV50" s="64">
        <f>MAX(0,AU50+AV47-AU50/12)</f>
        <v/>
      </c>
      <c r="AW50" s="64">
        <f>MAX(0,AV50+AW47-AV50/12)</f>
        <v/>
      </c>
      <c r="AX50" s="64">
        <f>MAX(0,AW50+AX47-AW50/12)</f>
        <v/>
      </c>
      <c r="AY50" s="64">
        <f>MAX(0,AX50+AY47-AX50/12)</f>
        <v/>
      </c>
      <c r="AZ50" s="64">
        <f>MAX(0,AY50+AZ47-AY50/12)</f>
        <v/>
      </c>
      <c r="BA50" s="64">
        <f>MAX(0,AZ50+BA47-AZ50/12)</f>
        <v/>
      </c>
      <c r="BB50" s="64">
        <f>MAX(0,BA50+BB47-BA50/12)</f>
        <v/>
      </c>
      <c r="BC50" s="64">
        <f>MAX(0,BB50+BC47-BB50/12)</f>
        <v/>
      </c>
      <c r="BD50" s="64">
        <f>MAX(0,BC50+BD47-BC50/12)</f>
        <v/>
      </c>
      <c r="BE50" s="64">
        <f>MAX(0,BD50+BE47-BD50/12)</f>
        <v/>
      </c>
      <c r="BF50" s="64">
        <f>MAX(0,BE50+BF47-BE50/12)</f>
        <v/>
      </c>
      <c r="BG50" s="64">
        <f>MAX(0,BF50+BG47-BF50/12)</f>
        <v/>
      </c>
      <c r="BH50" s="64">
        <f>MAX(0,BG50+BH47-BG50/12)</f>
        <v/>
      </c>
      <c r="BI50" s="64">
        <f>MAX(0,BH50+BI47-BH50/12)</f>
        <v/>
      </c>
      <c r="BJ50" s="64">
        <f>MAX(0,BI50+BJ47-BI50/12)</f>
        <v/>
      </c>
      <c r="BK50" s="64">
        <f>MAX(0,BJ50+BK47-BJ50/12)</f>
        <v/>
      </c>
    </row>
    <row r="51">
      <c r="B51" s="65" t="inlineStr">
        <is>
          <t>Net working capital</t>
        </is>
      </c>
      <c r="C51" s="92" t="inlineStr">
        <is>
          <t>EUR</t>
        </is>
      </c>
      <c r="D51" s="66">
        <f>D48-D49-D50</f>
        <v/>
      </c>
      <c r="E51" s="66">
        <f>E48-E49-E50</f>
        <v/>
      </c>
      <c r="F51" s="66">
        <f>F48-F49-F50</f>
        <v/>
      </c>
      <c r="G51" s="66">
        <f>G48-G49-G50</f>
        <v/>
      </c>
      <c r="H51" s="66">
        <f>H48-H49-H50</f>
        <v/>
      </c>
      <c r="I51" s="66">
        <f>I48-I49-I50</f>
        <v/>
      </c>
      <c r="J51" s="66">
        <f>J48-J49-J50</f>
        <v/>
      </c>
      <c r="K51" s="66">
        <f>K48-K49-K50</f>
        <v/>
      </c>
      <c r="L51" s="66">
        <f>L48-L49-L50</f>
        <v/>
      </c>
      <c r="M51" s="66">
        <f>M48-M49-M50</f>
        <v/>
      </c>
      <c r="N51" s="66">
        <f>N48-N49-N50</f>
        <v/>
      </c>
      <c r="O51" s="66">
        <f>O48-O49-O50</f>
        <v/>
      </c>
      <c r="P51" s="66">
        <f>P48-P49-P50</f>
        <v/>
      </c>
      <c r="Q51" s="66">
        <f>Q48-Q49-Q50</f>
        <v/>
      </c>
      <c r="R51" s="66">
        <f>R48-R49-R50</f>
        <v/>
      </c>
      <c r="S51" s="66">
        <f>S48-S49-S50</f>
        <v/>
      </c>
      <c r="T51" s="66">
        <f>T48-T49-T50</f>
        <v/>
      </c>
      <c r="U51" s="66">
        <f>U48-U49-U50</f>
        <v/>
      </c>
      <c r="V51" s="66">
        <f>V48-V49-V50</f>
        <v/>
      </c>
      <c r="W51" s="66">
        <f>W48-W49-W50</f>
        <v/>
      </c>
      <c r="X51" s="66">
        <f>X48-X49-X50</f>
        <v/>
      </c>
      <c r="Y51" s="66">
        <f>Y48-Y49-Y50</f>
        <v/>
      </c>
      <c r="Z51" s="66">
        <f>Z48-Z49-Z50</f>
        <v/>
      </c>
      <c r="AA51" s="66">
        <f>AA48-AA49-AA50</f>
        <v/>
      </c>
      <c r="AB51" s="66">
        <f>AB48-AB49-AB50</f>
        <v/>
      </c>
      <c r="AC51" s="66">
        <f>AC48-AC49-AC50</f>
        <v/>
      </c>
      <c r="AD51" s="66">
        <f>AD48-AD49-AD50</f>
        <v/>
      </c>
      <c r="AE51" s="66">
        <f>AE48-AE49-AE50</f>
        <v/>
      </c>
      <c r="AF51" s="66">
        <f>AF48-AF49-AF50</f>
        <v/>
      </c>
      <c r="AG51" s="66">
        <f>AG48-AG49-AG50</f>
        <v/>
      </c>
      <c r="AH51" s="66">
        <f>AH48-AH49-AH50</f>
        <v/>
      </c>
      <c r="AI51" s="66">
        <f>AI48-AI49-AI50</f>
        <v/>
      </c>
      <c r="AJ51" s="66">
        <f>AJ48-AJ49-AJ50</f>
        <v/>
      </c>
      <c r="AK51" s="66">
        <f>AK48-AK49-AK50</f>
        <v/>
      </c>
      <c r="AL51" s="66">
        <f>AL48-AL49-AL50</f>
        <v/>
      </c>
      <c r="AM51" s="66">
        <f>AM48-AM49-AM50</f>
        <v/>
      </c>
      <c r="AN51" s="66">
        <f>AN48-AN49-AN50</f>
        <v/>
      </c>
      <c r="AO51" s="66">
        <f>AO48-AO49-AO50</f>
        <v/>
      </c>
      <c r="AP51" s="66">
        <f>AP48-AP49-AP50</f>
        <v/>
      </c>
      <c r="AQ51" s="66">
        <f>AQ48-AQ49-AQ50</f>
        <v/>
      </c>
      <c r="AR51" s="66">
        <f>AR48-AR49-AR50</f>
        <v/>
      </c>
      <c r="AS51" s="66">
        <f>AS48-AS49-AS50</f>
        <v/>
      </c>
      <c r="AT51" s="66">
        <f>AT48-AT49-AT50</f>
        <v/>
      </c>
      <c r="AU51" s="66">
        <f>AU48-AU49-AU50</f>
        <v/>
      </c>
      <c r="AV51" s="66">
        <f>AV48-AV49-AV50</f>
        <v/>
      </c>
      <c r="AW51" s="66">
        <f>AW48-AW49-AW50</f>
        <v/>
      </c>
      <c r="AX51" s="66">
        <f>AX48-AX49-AX50</f>
        <v/>
      </c>
      <c r="AY51" s="66">
        <f>AY48-AY49-AY50</f>
        <v/>
      </c>
      <c r="AZ51" s="66">
        <f>AZ48-AZ49-AZ50</f>
        <v/>
      </c>
      <c r="BA51" s="66">
        <f>BA48-BA49-BA50</f>
        <v/>
      </c>
      <c r="BB51" s="66">
        <f>BB48-BB49-BB50</f>
        <v/>
      </c>
      <c r="BC51" s="66">
        <f>BC48-BC49-BC50</f>
        <v/>
      </c>
      <c r="BD51" s="66">
        <f>BD48-BD49-BD50</f>
        <v/>
      </c>
      <c r="BE51" s="66">
        <f>BE48-BE49-BE50</f>
        <v/>
      </c>
      <c r="BF51" s="66">
        <f>BF48-BF49-BF50</f>
        <v/>
      </c>
      <c r="BG51" s="66">
        <f>BG48-BG49-BG50</f>
        <v/>
      </c>
      <c r="BH51" s="66">
        <f>BH48-BH49-BH50</f>
        <v/>
      </c>
      <c r="BI51" s="66">
        <f>BI48-BI49-BI50</f>
        <v/>
      </c>
      <c r="BJ51" s="66">
        <f>BJ48-BJ49-BJ50</f>
        <v/>
      </c>
      <c r="BK51" s="66">
        <f>BK48-BK49-BK50</f>
        <v/>
      </c>
    </row>
    <row r="52">
      <c r="B52" s="61" t="inlineStr">
        <is>
          <t>Change in net working capital</t>
        </is>
      </c>
      <c r="C52" s="92" t="inlineStr">
        <is>
          <t>EUR</t>
        </is>
      </c>
      <c r="D52" s="64">
        <f>D51</f>
        <v/>
      </c>
      <c r="E52" s="64">
        <f>E51-D51</f>
        <v/>
      </c>
      <c r="F52" s="64">
        <f>F51-E51</f>
        <v/>
      </c>
      <c r="G52" s="64">
        <f>G51-F51</f>
        <v/>
      </c>
      <c r="H52" s="64">
        <f>H51-G51</f>
        <v/>
      </c>
      <c r="I52" s="64">
        <f>I51-H51</f>
        <v/>
      </c>
      <c r="J52" s="64">
        <f>J51-I51</f>
        <v/>
      </c>
      <c r="K52" s="64">
        <f>K51-J51</f>
        <v/>
      </c>
      <c r="L52" s="64">
        <f>L51-K51</f>
        <v/>
      </c>
      <c r="M52" s="64">
        <f>M51-L51</f>
        <v/>
      </c>
      <c r="N52" s="64">
        <f>N51-M51</f>
        <v/>
      </c>
      <c r="O52" s="64">
        <f>O51-N51</f>
        <v/>
      </c>
      <c r="P52" s="64">
        <f>P51-O51</f>
        <v/>
      </c>
      <c r="Q52" s="64">
        <f>Q51-P51</f>
        <v/>
      </c>
      <c r="R52" s="64">
        <f>R51-Q51</f>
        <v/>
      </c>
      <c r="S52" s="64">
        <f>S51-R51</f>
        <v/>
      </c>
      <c r="T52" s="64">
        <f>T51-S51</f>
        <v/>
      </c>
      <c r="U52" s="64">
        <f>U51-T51</f>
        <v/>
      </c>
      <c r="V52" s="64">
        <f>V51-U51</f>
        <v/>
      </c>
      <c r="W52" s="64">
        <f>W51-V51</f>
        <v/>
      </c>
      <c r="X52" s="64">
        <f>X51-W51</f>
        <v/>
      </c>
      <c r="Y52" s="64">
        <f>Y51-X51</f>
        <v/>
      </c>
      <c r="Z52" s="64">
        <f>Z51-Y51</f>
        <v/>
      </c>
      <c r="AA52" s="64">
        <f>AA51-Z51</f>
        <v/>
      </c>
      <c r="AB52" s="64">
        <f>AB51-AA51</f>
        <v/>
      </c>
      <c r="AC52" s="64">
        <f>AC51-AB51</f>
        <v/>
      </c>
      <c r="AD52" s="64">
        <f>AD51-AC51</f>
        <v/>
      </c>
      <c r="AE52" s="64">
        <f>AE51-AD51</f>
        <v/>
      </c>
      <c r="AF52" s="64">
        <f>AF51-AE51</f>
        <v/>
      </c>
      <c r="AG52" s="64">
        <f>AG51-AF51</f>
        <v/>
      </c>
      <c r="AH52" s="64">
        <f>AH51-AG51</f>
        <v/>
      </c>
      <c r="AI52" s="64">
        <f>AI51-AH51</f>
        <v/>
      </c>
      <c r="AJ52" s="64">
        <f>AJ51-AI51</f>
        <v/>
      </c>
      <c r="AK52" s="64">
        <f>AK51-AJ51</f>
        <v/>
      </c>
      <c r="AL52" s="64">
        <f>AL51-AK51</f>
        <v/>
      </c>
      <c r="AM52" s="64">
        <f>AM51-AL51</f>
        <v/>
      </c>
      <c r="AN52" s="64">
        <f>AN51-AM51</f>
        <v/>
      </c>
      <c r="AO52" s="64">
        <f>AO51-AN51</f>
        <v/>
      </c>
      <c r="AP52" s="64">
        <f>AP51-AO51</f>
        <v/>
      </c>
      <c r="AQ52" s="64">
        <f>AQ51-AP51</f>
        <v/>
      </c>
      <c r="AR52" s="64">
        <f>AR51-AQ51</f>
        <v/>
      </c>
      <c r="AS52" s="64">
        <f>AS51-AR51</f>
        <v/>
      </c>
      <c r="AT52" s="64">
        <f>AT51-AS51</f>
        <v/>
      </c>
      <c r="AU52" s="64">
        <f>AU51-AT51</f>
        <v/>
      </c>
      <c r="AV52" s="64">
        <f>AV51-AU51</f>
        <v/>
      </c>
      <c r="AW52" s="64">
        <f>AW51-AV51</f>
        <v/>
      </c>
      <c r="AX52" s="64">
        <f>AX51-AW51</f>
        <v/>
      </c>
      <c r="AY52" s="64">
        <f>AY51-AX51</f>
        <v/>
      </c>
      <c r="AZ52" s="64">
        <f>AZ51-AY51</f>
        <v/>
      </c>
      <c r="BA52" s="64">
        <f>BA51-AZ51</f>
        <v/>
      </c>
      <c r="BB52" s="64">
        <f>BB51-BA51</f>
        <v/>
      </c>
      <c r="BC52" s="64">
        <f>BC51-BB51</f>
        <v/>
      </c>
      <c r="BD52" s="64">
        <f>BD51-BC51</f>
        <v/>
      </c>
      <c r="BE52" s="64">
        <f>BE51-BD51</f>
        <v/>
      </c>
      <c r="BF52" s="64">
        <f>BF51-BE51</f>
        <v/>
      </c>
      <c r="BG52" s="64">
        <f>BG51-BF51</f>
        <v/>
      </c>
      <c r="BH52" s="64">
        <f>BH51-BG51</f>
        <v/>
      </c>
      <c r="BI52" s="64">
        <f>BI51-BH51</f>
        <v/>
      </c>
      <c r="BJ52" s="64">
        <f>BJ51-BI51</f>
        <v/>
      </c>
      <c r="BK52" s="64">
        <f>BK51-BJ51</f>
        <v/>
      </c>
    </row>
    <row r="54">
      <c r="B54" s="23" t="inlineStr">
        <is>
          <t>CASH FLOW  (EUR)</t>
        </is>
      </c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  <c r="AZ54" s="23" t="n"/>
      <c r="BA54" s="23" t="n"/>
      <c r="BB54" s="23" t="n"/>
      <c r="BC54" s="23" t="n"/>
      <c r="BD54" s="23" t="n"/>
      <c r="BE54" s="23" t="n"/>
      <c r="BF54" s="23" t="n"/>
      <c r="BG54" s="23" t="n"/>
      <c r="BH54" s="23" t="n"/>
      <c r="BI54" s="23" t="n"/>
      <c r="BJ54" s="23" t="n"/>
    </row>
    <row r="55">
      <c r="B55" s="61" t="inlineStr">
        <is>
          <t xml:space="preserve">    EBITDA</t>
        </is>
      </c>
      <c r="C55" s="92" t="inlineStr">
        <is>
          <t>EUR</t>
        </is>
      </c>
      <c r="D55" s="64">
        <f>D23</f>
        <v/>
      </c>
      <c r="E55" s="64">
        <f>E23</f>
        <v/>
      </c>
      <c r="F55" s="64">
        <f>F23</f>
        <v/>
      </c>
      <c r="G55" s="64">
        <f>G23</f>
        <v/>
      </c>
      <c r="H55" s="64">
        <f>H23</f>
        <v/>
      </c>
      <c r="I55" s="64">
        <f>I23</f>
        <v/>
      </c>
      <c r="J55" s="64">
        <f>J23</f>
        <v/>
      </c>
      <c r="K55" s="64">
        <f>K23</f>
        <v/>
      </c>
      <c r="L55" s="64">
        <f>L23</f>
        <v/>
      </c>
      <c r="M55" s="64">
        <f>M23</f>
        <v/>
      </c>
      <c r="N55" s="64">
        <f>N23</f>
        <v/>
      </c>
      <c r="O55" s="64">
        <f>O23</f>
        <v/>
      </c>
      <c r="P55" s="64">
        <f>P23</f>
        <v/>
      </c>
      <c r="Q55" s="64">
        <f>Q23</f>
        <v/>
      </c>
      <c r="R55" s="64">
        <f>R23</f>
        <v/>
      </c>
      <c r="S55" s="64">
        <f>S23</f>
        <v/>
      </c>
      <c r="T55" s="64">
        <f>T23</f>
        <v/>
      </c>
      <c r="U55" s="64">
        <f>U23</f>
        <v/>
      </c>
      <c r="V55" s="64">
        <f>V23</f>
        <v/>
      </c>
      <c r="W55" s="64">
        <f>W23</f>
        <v/>
      </c>
      <c r="X55" s="64">
        <f>X23</f>
        <v/>
      </c>
      <c r="Y55" s="64">
        <f>Y23</f>
        <v/>
      </c>
      <c r="Z55" s="64">
        <f>Z23</f>
        <v/>
      </c>
      <c r="AA55" s="64">
        <f>AA23</f>
        <v/>
      </c>
      <c r="AB55" s="64">
        <f>AB23</f>
        <v/>
      </c>
      <c r="AC55" s="64">
        <f>AC23</f>
        <v/>
      </c>
      <c r="AD55" s="64">
        <f>AD23</f>
        <v/>
      </c>
      <c r="AE55" s="64">
        <f>AE23</f>
        <v/>
      </c>
      <c r="AF55" s="64">
        <f>AF23</f>
        <v/>
      </c>
      <c r="AG55" s="64">
        <f>AG23</f>
        <v/>
      </c>
      <c r="AH55" s="64">
        <f>AH23</f>
        <v/>
      </c>
      <c r="AI55" s="64">
        <f>AI23</f>
        <v/>
      </c>
      <c r="AJ55" s="64">
        <f>AJ23</f>
        <v/>
      </c>
      <c r="AK55" s="64">
        <f>AK23</f>
        <v/>
      </c>
      <c r="AL55" s="64">
        <f>AL23</f>
        <v/>
      </c>
      <c r="AM55" s="64">
        <f>AM23</f>
        <v/>
      </c>
      <c r="AN55" s="64">
        <f>AN23</f>
        <v/>
      </c>
      <c r="AO55" s="64">
        <f>AO23</f>
        <v/>
      </c>
      <c r="AP55" s="64">
        <f>AP23</f>
        <v/>
      </c>
      <c r="AQ55" s="64">
        <f>AQ23</f>
        <v/>
      </c>
      <c r="AR55" s="64">
        <f>AR23</f>
        <v/>
      </c>
      <c r="AS55" s="64">
        <f>AS23</f>
        <v/>
      </c>
      <c r="AT55" s="64">
        <f>AT23</f>
        <v/>
      </c>
      <c r="AU55" s="64">
        <f>AU23</f>
        <v/>
      </c>
      <c r="AV55" s="64">
        <f>AV23</f>
        <v/>
      </c>
      <c r="AW55" s="64">
        <f>AW23</f>
        <v/>
      </c>
      <c r="AX55" s="64">
        <f>AX23</f>
        <v/>
      </c>
      <c r="AY55" s="64">
        <f>AY23</f>
        <v/>
      </c>
      <c r="AZ55" s="64">
        <f>AZ23</f>
        <v/>
      </c>
      <c r="BA55" s="64">
        <f>BA23</f>
        <v/>
      </c>
      <c r="BB55" s="64">
        <f>BB23</f>
        <v/>
      </c>
      <c r="BC55" s="64">
        <f>BC23</f>
        <v/>
      </c>
      <c r="BD55" s="64">
        <f>BD23</f>
        <v/>
      </c>
      <c r="BE55" s="64">
        <f>BE23</f>
        <v/>
      </c>
      <c r="BF55" s="64">
        <f>BF23</f>
        <v/>
      </c>
      <c r="BG55" s="64">
        <f>BG23</f>
        <v/>
      </c>
      <c r="BH55" s="64">
        <f>BH23</f>
        <v/>
      </c>
      <c r="BI55" s="64">
        <f>BI23</f>
        <v/>
      </c>
      <c r="BJ55" s="64">
        <f>BJ23</f>
        <v/>
      </c>
      <c r="BK55" s="64">
        <f>BK23</f>
        <v/>
      </c>
    </row>
    <row r="56">
      <c r="B56" s="61" t="inlineStr">
        <is>
          <t xml:space="preserve">    Corporation tax paid</t>
        </is>
      </c>
      <c r="C56" s="92" t="inlineStr">
        <is>
          <t>EUR</t>
        </is>
      </c>
      <c r="D56" s="64">
        <f>D28</f>
        <v/>
      </c>
      <c r="E56" s="64">
        <f>E28</f>
        <v/>
      </c>
      <c r="F56" s="64">
        <f>F28</f>
        <v/>
      </c>
      <c r="G56" s="64">
        <f>G28</f>
        <v/>
      </c>
      <c r="H56" s="64">
        <f>H28</f>
        <v/>
      </c>
      <c r="I56" s="64">
        <f>I28</f>
        <v/>
      </c>
      <c r="J56" s="64">
        <f>J28</f>
        <v/>
      </c>
      <c r="K56" s="64">
        <f>K28</f>
        <v/>
      </c>
      <c r="L56" s="64">
        <f>L28</f>
        <v/>
      </c>
      <c r="M56" s="64">
        <f>M28</f>
        <v/>
      </c>
      <c r="N56" s="64">
        <f>N28</f>
        <v/>
      </c>
      <c r="O56" s="64">
        <f>O28</f>
        <v/>
      </c>
      <c r="P56" s="64">
        <f>P28</f>
        <v/>
      </c>
      <c r="Q56" s="64">
        <f>Q28</f>
        <v/>
      </c>
      <c r="R56" s="64">
        <f>R28</f>
        <v/>
      </c>
      <c r="S56" s="64">
        <f>S28</f>
        <v/>
      </c>
      <c r="T56" s="64">
        <f>T28</f>
        <v/>
      </c>
      <c r="U56" s="64">
        <f>U28</f>
        <v/>
      </c>
      <c r="V56" s="64">
        <f>V28</f>
        <v/>
      </c>
      <c r="W56" s="64">
        <f>W28</f>
        <v/>
      </c>
      <c r="X56" s="64">
        <f>X28</f>
        <v/>
      </c>
      <c r="Y56" s="64">
        <f>Y28</f>
        <v/>
      </c>
      <c r="Z56" s="64">
        <f>Z28</f>
        <v/>
      </c>
      <c r="AA56" s="64">
        <f>AA28</f>
        <v/>
      </c>
      <c r="AB56" s="64">
        <f>AB28</f>
        <v/>
      </c>
      <c r="AC56" s="64">
        <f>AC28</f>
        <v/>
      </c>
      <c r="AD56" s="64">
        <f>AD28</f>
        <v/>
      </c>
      <c r="AE56" s="64">
        <f>AE28</f>
        <v/>
      </c>
      <c r="AF56" s="64">
        <f>AF28</f>
        <v/>
      </c>
      <c r="AG56" s="64">
        <f>AG28</f>
        <v/>
      </c>
      <c r="AH56" s="64">
        <f>AH28</f>
        <v/>
      </c>
      <c r="AI56" s="64">
        <f>AI28</f>
        <v/>
      </c>
      <c r="AJ56" s="64">
        <f>AJ28</f>
        <v/>
      </c>
      <c r="AK56" s="64">
        <f>AK28</f>
        <v/>
      </c>
      <c r="AL56" s="64">
        <f>AL28</f>
        <v/>
      </c>
      <c r="AM56" s="64">
        <f>AM28</f>
        <v/>
      </c>
      <c r="AN56" s="64">
        <f>AN28</f>
        <v/>
      </c>
      <c r="AO56" s="64">
        <f>AO28</f>
        <v/>
      </c>
      <c r="AP56" s="64">
        <f>AP28</f>
        <v/>
      </c>
      <c r="AQ56" s="64">
        <f>AQ28</f>
        <v/>
      </c>
      <c r="AR56" s="64">
        <f>AR28</f>
        <v/>
      </c>
      <c r="AS56" s="64">
        <f>AS28</f>
        <v/>
      </c>
      <c r="AT56" s="64">
        <f>AT28</f>
        <v/>
      </c>
      <c r="AU56" s="64">
        <f>AU28</f>
        <v/>
      </c>
      <c r="AV56" s="64">
        <f>AV28</f>
        <v/>
      </c>
      <c r="AW56" s="64">
        <f>AW28</f>
        <v/>
      </c>
      <c r="AX56" s="64">
        <f>AX28</f>
        <v/>
      </c>
      <c r="AY56" s="64">
        <f>AY28</f>
        <v/>
      </c>
      <c r="AZ56" s="64">
        <f>AZ28</f>
        <v/>
      </c>
      <c r="BA56" s="64">
        <f>BA28</f>
        <v/>
      </c>
      <c r="BB56" s="64">
        <f>BB28</f>
        <v/>
      </c>
      <c r="BC56" s="64">
        <f>BC28</f>
        <v/>
      </c>
      <c r="BD56" s="64">
        <f>BD28</f>
        <v/>
      </c>
      <c r="BE56" s="64">
        <f>BE28</f>
        <v/>
      </c>
      <c r="BF56" s="64">
        <f>BF28</f>
        <v/>
      </c>
      <c r="BG56" s="64">
        <f>BG28</f>
        <v/>
      </c>
      <c r="BH56" s="64">
        <f>BH28</f>
        <v/>
      </c>
      <c r="BI56" s="64">
        <f>BI28</f>
        <v/>
      </c>
      <c r="BJ56" s="64">
        <f>BJ28</f>
        <v/>
      </c>
      <c r="BK56" s="64">
        <f>BK28</f>
        <v/>
      </c>
    </row>
    <row r="57">
      <c r="B57" s="61" t="inlineStr">
        <is>
          <t xml:space="preserve">    Capital expenditure</t>
        </is>
      </c>
      <c r="C57" s="92" t="inlineStr">
        <is>
          <t>EUR</t>
        </is>
      </c>
      <c r="D57" s="64">
        <f>-D37</f>
        <v/>
      </c>
      <c r="E57" s="64">
        <f>-E37</f>
        <v/>
      </c>
      <c r="F57" s="64">
        <f>-F37</f>
        <v/>
      </c>
      <c r="G57" s="64">
        <f>-G37</f>
        <v/>
      </c>
      <c r="H57" s="64">
        <f>-H37</f>
        <v/>
      </c>
      <c r="I57" s="64">
        <f>-I37</f>
        <v/>
      </c>
      <c r="J57" s="64">
        <f>-J37</f>
        <v/>
      </c>
      <c r="K57" s="64">
        <f>-K37</f>
        <v/>
      </c>
      <c r="L57" s="64">
        <f>-L37</f>
        <v/>
      </c>
      <c r="M57" s="64">
        <f>-M37</f>
        <v/>
      </c>
      <c r="N57" s="64">
        <f>-N37</f>
        <v/>
      </c>
      <c r="O57" s="64">
        <f>-O37</f>
        <v/>
      </c>
      <c r="P57" s="64">
        <f>-P37</f>
        <v/>
      </c>
      <c r="Q57" s="64">
        <f>-Q37</f>
        <v/>
      </c>
      <c r="R57" s="64">
        <f>-R37</f>
        <v/>
      </c>
      <c r="S57" s="64">
        <f>-S37</f>
        <v/>
      </c>
      <c r="T57" s="64">
        <f>-T37</f>
        <v/>
      </c>
      <c r="U57" s="64">
        <f>-U37</f>
        <v/>
      </c>
      <c r="V57" s="64">
        <f>-V37</f>
        <v/>
      </c>
      <c r="W57" s="64">
        <f>-W37</f>
        <v/>
      </c>
      <c r="X57" s="64">
        <f>-X37</f>
        <v/>
      </c>
      <c r="Y57" s="64">
        <f>-Y37</f>
        <v/>
      </c>
      <c r="Z57" s="64">
        <f>-Z37</f>
        <v/>
      </c>
      <c r="AA57" s="64">
        <f>-AA37</f>
        <v/>
      </c>
      <c r="AB57" s="64">
        <f>-AB37</f>
        <v/>
      </c>
      <c r="AC57" s="64">
        <f>-AC37</f>
        <v/>
      </c>
      <c r="AD57" s="64">
        <f>-AD37</f>
        <v/>
      </c>
      <c r="AE57" s="64">
        <f>-AE37</f>
        <v/>
      </c>
      <c r="AF57" s="64">
        <f>-AF37</f>
        <v/>
      </c>
      <c r="AG57" s="64">
        <f>-AG37</f>
        <v/>
      </c>
      <c r="AH57" s="64">
        <f>-AH37</f>
        <v/>
      </c>
      <c r="AI57" s="64">
        <f>-AI37</f>
        <v/>
      </c>
      <c r="AJ57" s="64">
        <f>-AJ37</f>
        <v/>
      </c>
      <c r="AK57" s="64">
        <f>-AK37</f>
        <v/>
      </c>
      <c r="AL57" s="64">
        <f>-AL37</f>
        <v/>
      </c>
      <c r="AM57" s="64">
        <f>-AM37</f>
        <v/>
      </c>
      <c r="AN57" s="64">
        <f>-AN37</f>
        <v/>
      </c>
      <c r="AO57" s="64">
        <f>-AO37</f>
        <v/>
      </c>
      <c r="AP57" s="64">
        <f>-AP37</f>
        <v/>
      </c>
      <c r="AQ57" s="64">
        <f>-AQ37</f>
        <v/>
      </c>
      <c r="AR57" s="64">
        <f>-AR37</f>
        <v/>
      </c>
      <c r="AS57" s="64">
        <f>-AS37</f>
        <v/>
      </c>
      <c r="AT57" s="64">
        <f>-AT37</f>
        <v/>
      </c>
      <c r="AU57" s="64">
        <f>-AU37</f>
        <v/>
      </c>
      <c r="AV57" s="64">
        <f>-AV37</f>
        <v/>
      </c>
      <c r="AW57" s="64">
        <f>-AW37</f>
        <v/>
      </c>
      <c r="AX57" s="64">
        <f>-AX37</f>
        <v/>
      </c>
      <c r="AY57" s="64">
        <f>-AY37</f>
        <v/>
      </c>
      <c r="AZ57" s="64">
        <f>-AZ37</f>
        <v/>
      </c>
      <c r="BA57" s="64">
        <f>-BA37</f>
        <v/>
      </c>
      <c r="BB57" s="64">
        <f>-BB37</f>
        <v/>
      </c>
      <c r="BC57" s="64">
        <f>-BC37</f>
        <v/>
      </c>
      <c r="BD57" s="64">
        <f>-BD37</f>
        <v/>
      </c>
      <c r="BE57" s="64">
        <f>-BE37</f>
        <v/>
      </c>
      <c r="BF57" s="64">
        <f>-BF37</f>
        <v/>
      </c>
      <c r="BG57" s="64">
        <f>-BG37</f>
        <v/>
      </c>
      <c r="BH57" s="64">
        <f>-BH37</f>
        <v/>
      </c>
      <c r="BI57" s="64">
        <f>-BI37</f>
        <v/>
      </c>
      <c r="BJ57" s="64">
        <f>-BJ37</f>
        <v/>
      </c>
      <c r="BK57" s="64">
        <f>-BK37</f>
        <v/>
      </c>
    </row>
    <row r="58">
      <c r="B58" s="61" t="inlineStr">
        <is>
          <t xml:space="preserve">    Change in working capital</t>
        </is>
      </c>
      <c r="C58" s="92" t="inlineStr">
        <is>
          <t>EUR</t>
        </is>
      </c>
      <c r="D58" s="64">
        <f>-D52</f>
        <v/>
      </c>
      <c r="E58" s="64">
        <f>-E52</f>
        <v/>
      </c>
      <c r="F58" s="64">
        <f>-F52</f>
        <v/>
      </c>
      <c r="G58" s="64">
        <f>-G52</f>
        <v/>
      </c>
      <c r="H58" s="64">
        <f>-H52</f>
        <v/>
      </c>
      <c r="I58" s="64">
        <f>-I52</f>
        <v/>
      </c>
      <c r="J58" s="64">
        <f>-J52</f>
        <v/>
      </c>
      <c r="K58" s="64">
        <f>-K52</f>
        <v/>
      </c>
      <c r="L58" s="64">
        <f>-L52</f>
        <v/>
      </c>
      <c r="M58" s="64">
        <f>-M52</f>
        <v/>
      </c>
      <c r="N58" s="64">
        <f>-N52</f>
        <v/>
      </c>
      <c r="O58" s="64">
        <f>-O52</f>
        <v/>
      </c>
      <c r="P58" s="64">
        <f>-P52</f>
        <v/>
      </c>
      <c r="Q58" s="64">
        <f>-Q52</f>
        <v/>
      </c>
      <c r="R58" s="64">
        <f>-R52</f>
        <v/>
      </c>
      <c r="S58" s="64">
        <f>-S52</f>
        <v/>
      </c>
      <c r="T58" s="64">
        <f>-T52</f>
        <v/>
      </c>
      <c r="U58" s="64">
        <f>-U52</f>
        <v/>
      </c>
      <c r="V58" s="64">
        <f>-V52</f>
        <v/>
      </c>
      <c r="W58" s="64">
        <f>-W52</f>
        <v/>
      </c>
      <c r="X58" s="64">
        <f>-X52</f>
        <v/>
      </c>
      <c r="Y58" s="64">
        <f>-Y52</f>
        <v/>
      </c>
      <c r="Z58" s="64">
        <f>-Z52</f>
        <v/>
      </c>
      <c r="AA58" s="64">
        <f>-AA52</f>
        <v/>
      </c>
      <c r="AB58" s="64">
        <f>-AB52</f>
        <v/>
      </c>
      <c r="AC58" s="64">
        <f>-AC52</f>
        <v/>
      </c>
      <c r="AD58" s="64">
        <f>-AD52</f>
        <v/>
      </c>
      <c r="AE58" s="64">
        <f>-AE52</f>
        <v/>
      </c>
      <c r="AF58" s="64">
        <f>-AF52</f>
        <v/>
      </c>
      <c r="AG58" s="64">
        <f>-AG52</f>
        <v/>
      </c>
      <c r="AH58" s="64">
        <f>-AH52</f>
        <v/>
      </c>
      <c r="AI58" s="64">
        <f>-AI52</f>
        <v/>
      </c>
      <c r="AJ58" s="64">
        <f>-AJ52</f>
        <v/>
      </c>
      <c r="AK58" s="64">
        <f>-AK52</f>
        <v/>
      </c>
      <c r="AL58" s="64">
        <f>-AL52</f>
        <v/>
      </c>
      <c r="AM58" s="64">
        <f>-AM52</f>
        <v/>
      </c>
      <c r="AN58" s="64">
        <f>-AN52</f>
        <v/>
      </c>
      <c r="AO58" s="64">
        <f>-AO52</f>
        <v/>
      </c>
      <c r="AP58" s="64">
        <f>-AP52</f>
        <v/>
      </c>
      <c r="AQ58" s="64">
        <f>-AQ52</f>
        <v/>
      </c>
      <c r="AR58" s="64">
        <f>-AR52</f>
        <v/>
      </c>
      <c r="AS58" s="64">
        <f>-AS52</f>
        <v/>
      </c>
      <c r="AT58" s="64">
        <f>-AT52</f>
        <v/>
      </c>
      <c r="AU58" s="64">
        <f>-AU52</f>
        <v/>
      </c>
      <c r="AV58" s="64">
        <f>-AV52</f>
        <v/>
      </c>
      <c r="AW58" s="64">
        <f>-AW52</f>
        <v/>
      </c>
      <c r="AX58" s="64">
        <f>-AX52</f>
        <v/>
      </c>
      <c r="AY58" s="64">
        <f>-AY52</f>
        <v/>
      </c>
      <c r="AZ58" s="64">
        <f>-AZ52</f>
        <v/>
      </c>
      <c r="BA58" s="64">
        <f>-BA52</f>
        <v/>
      </c>
      <c r="BB58" s="64">
        <f>-BB52</f>
        <v/>
      </c>
      <c r="BC58" s="64">
        <f>-BC52</f>
        <v/>
      </c>
      <c r="BD58" s="64">
        <f>-BD52</f>
        <v/>
      </c>
      <c r="BE58" s="64">
        <f>-BE52</f>
        <v/>
      </c>
      <c r="BF58" s="64">
        <f>-BF52</f>
        <v/>
      </c>
      <c r="BG58" s="64">
        <f>-BG52</f>
        <v/>
      </c>
      <c r="BH58" s="64">
        <f>-BH52</f>
        <v/>
      </c>
      <c r="BI58" s="64">
        <f>-BI52</f>
        <v/>
      </c>
      <c r="BJ58" s="64">
        <f>-BJ52</f>
        <v/>
      </c>
      <c r="BK58" s="64">
        <f>-BK52</f>
        <v/>
      </c>
    </row>
    <row r="59">
      <c r="B59" s="69" t="inlineStr">
        <is>
          <t>Free cash flow</t>
        </is>
      </c>
      <c r="C59" s="98" t="inlineStr">
        <is>
          <t>EUR</t>
        </is>
      </c>
      <c r="D59" s="71">
        <f>SUM(D55:D58)</f>
        <v/>
      </c>
      <c r="E59" s="71">
        <f>SUM(E55:E58)</f>
        <v/>
      </c>
      <c r="F59" s="71">
        <f>SUM(F55:F58)</f>
        <v/>
      </c>
      <c r="G59" s="71">
        <f>SUM(G55:G58)</f>
        <v/>
      </c>
      <c r="H59" s="71">
        <f>SUM(H55:H58)</f>
        <v/>
      </c>
      <c r="I59" s="71">
        <f>SUM(I55:I58)</f>
        <v/>
      </c>
      <c r="J59" s="71">
        <f>SUM(J55:J58)</f>
        <v/>
      </c>
      <c r="K59" s="71">
        <f>SUM(K55:K58)</f>
        <v/>
      </c>
      <c r="L59" s="71">
        <f>SUM(L55:L58)</f>
        <v/>
      </c>
      <c r="M59" s="71">
        <f>SUM(M55:M58)</f>
        <v/>
      </c>
      <c r="N59" s="71">
        <f>SUM(N55:N58)</f>
        <v/>
      </c>
      <c r="O59" s="71">
        <f>SUM(O55:O58)</f>
        <v/>
      </c>
      <c r="P59" s="71">
        <f>SUM(P55:P58)</f>
        <v/>
      </c>
      <c r="Q59" s="71">
        <f>SUM(Q55:Q58)</f>
        <v/>
      </c>
      <c r="R59" s="71">
        <f>SUM(R55:R58)</f>
        <v/>
      </c>
      <c r="S59" s="71">
        <f>SUM(S55:S58)</f>
        <v/>
      </c>
      <c r="T59" s="71">
        <f>SUM(T55:T58)</f>
        <v/>
      </c>
      <c r="U59" s="71">
        <f>SUM(U55:U58)</f>
        <v/>
      </c>
      <c r="V59" s="71">
        <f>SUM(V55:V58)</f>
        <v/>
      </c>
      <c r="W59" s="71">
        <f>SUM(W55:W58)</f>
        <v/>
      </c>
      <c r="X59" s="71">
        <f>SUM(X55:X58)</f>
        <v/>
      </c>
      <c r="Y59" s="71">
        <f>SUM(Y55:Y58)</f>
        <v/>
      </c>
      <c r="Z59" s="71">
        <f>SUM(Z55:Z58)</f>
        <v/>
      </c>
      <c r="AA59" s="71">
        <f>SUM(AA55:AA58)</f>
        <v/>
      </c>
      <c r="AB59" s="71">
        <f>SUM(AB55:AB58)</f>
        <v/>
      </c>
      <c r="AC59" s="71">
        <f>SUM(AC55:AC58)</f>
        <v/>
      </c>
      <c r="AD59" s="71">
        <f>SUM(AD55:AD58)</f>
        <v/>
      </c>
      <c r="AE59" s="71">
        <f>SUM(AE55:AE58)</f>
        <v/>
      </c>
      <c r="AF59" s="71">
        <f>SUM(AF55:AF58)</f>
        <v/>
      </c>
      <c r="AG59" s="71">
        <f>SUM(AG55:AG58)</f>
        <v/>
      </c>
      <c r="AH59" s="71">
        <f>SUM(AH55:AH58)</f>
        <v/>
      </c>
      <c r="AI59" s="71">
        <f>SUM(AI55:AI58)</f>
        <v/>
      </c>
      <c r="AJ59" s="71">
        <f>SUM(AJ55:AJ58)</f>
        <v/>
      </c>
      <c r="AK59" s="71">
        <f>SUM(AK55:AK58)</f>
        <v/>
      </c>
      <c r="AL59" s="71">
        <f>SUM(AL55:AL58)</f>
        <v/>
      </c>
      <c r="AM59" s="71">
        <f>SUM(AM55:AM58)</f>
        <v/>
      </c>
      <c r="AN59" s="71">
        <f>SUM(AN55:AN58)</f>
        <v/>
      </c>
      <c r="AO59" s="71">
        <f>SUM(AO55:AO58)</f>
        <v/>
      </c>
      <c r="AP59" s="71">
        <f>SUM(AP55:AP58)</f>
        <v/>
      </c>
      <c r="AQ59" s="71">
        <f>SUM(AQ55:AQ58)</f>
        <v/>
      </c>
      <c r="AR59" s="71">
        <f>SUM(AR55:AR58)</f>
        <v/>
      </c>
      <c r="AS59" s="71">
        <f>SUM(AS55:AS58)</f>
        <v/>
      </c>
      <c r="AT59" s="71">
        <f>SUM(AT55:AT58)</f>
        <v/>
      </c>
      <c r="AU59" s="71">
        <f>SUM(AU55:AU58)</f>
        <v/>
      </c>
      <c r="AV59" s="71">
        <f>SUM(AV55:AV58)</f>
        <v/>
      </c>
      <c r="AW59" s="71">
        <f>SUM(AW55:AW58)</f>
        <v/>
      </c>
      <c r="AX59" s="71">
        <f>SUM(AX55:AX58)</f>
        <v/>
      </c>
      <c r="AY59" s="71">
        <f>SUM(AY55:AY58)</f>
        <v/>
      </c>
      <c r="AZ59" s="71">
        <f>SUM(AZ55:AZ58)</f>
        <v/>
      </c>
      <c r="BA59" s="71">
        <f>SUM(BA55:BA58)</f>
        <v/>
      </c>
      <c r="BB59" s="71">
        <f>SUM(BB55:BB58)</f>
        <v/>
      </c>
      <c r="BC59" s="71">
        <f>SUM(BC55:BC58)</f>
        <v/>
      </c>
      <c r="BD59" s="71">
        <f>SUM(BD55:BD58)</f>
        <v/>
      </c>
      <c r="BE59" s="71">
        <f>SUM(BE55:BE58)</f>
        <v/>
      </c>
      <c r="BF59" s="71">
        <f>SUM(BF55:BF58)</f>
        <v/>
      </c>
      <c r="BG59" s="71">
        <f>SUM(BG55:BG58)</f>
        <v/>
      </c>
      <c r="BH59" s="71">
        <f>SUM(BH55:BH58)</f>
        <v/>
      </c>
      <c r="BI59" s="71">
        <f>SUM(BI55:BI58)</f>
        <v/>
      </c>
      <c r="BJ59" s="71">
        <f>SUM(BJ55:BJ58)</f>
        <v/>
      </c>
      <c r="BK59" s="71">
        <f>SUM(BK55:BK58)</f>
        <v/>
      </c>
    </row>
    <row r="60">
      <c r="B60" s="61" t="inlineStr">
        <is>
          <t>Cumulative free cash flow</t>
        </is>
      </c>
      <c r="C60" s="92" t="inlineStr">
        <is>
          <t>EUR</t>
        </is>
      </c>
      <c r="D60" s="64">
        <f>D59</f>
        <v/>
      </c>
      <c r="E60" s="64">
        <f>D60+E59</f>
        <v/>
      </c>
      <c r="F60" s="64">
        <f>E60+F59</f>
        <v/>
      </c>
      <c r="G60" s="64">
        <f>F60+G59</f>
        <v/>
      </c>
      <c r="H60" s="64">
        <f>G60+H59</f>
        <v/>
      </c>
      <c r="I60" s="64">
        <f>H60+I59</f>
        <v/>
      </c>
      <c r="J60" s="64">
        <f>I60+J59</f>
        <v/>
      </c>
      <c r="K60" s="64">
        <f>J60+K59</f>
        <v/>
      </c>
      <c r="L60" s="64">
        <f>K60+L59</f>
        <v/>
      </c>
      <c r="M60" s="64">
        <f>L60+M59</f>
        <v/>
      </c>
      <c r="N60" s="64">
        <f>M60+N59</f>
        <v/>
      </c>
      <c r="O60" s="64">
        <f>N60+O59</f>
        <v/>
      </c>
      <c r="P60" s="64">
        <f>O60+P59</f>
        <v/>
      </c>
      <c r="Q60" s="64">
        <f>P60+Q59</f>
        <v/>
      </c>
      <c r="R60" s="64">
        <f>Q60+R59</f>
        <v/>
      </c>
      <c r="S60" s="64">
        <f>R60+S59</f>
        <v/>
      </c>
      <c r="T60" s="64">
        <f>S60+T59</f>
        <v/>
      </c>
      <c r="U60" s="64">
        <f>T60+U59</f>
        <v/>
      </c>
      <c r="V60" s="64">
        <f>U60+V59</f>
        <v/>
      </c>
      <c r="W60" s="64">
        <f>V60+W59</f>
        <v/>
      </c>
      <c r="X60" s="64">
        <f>W60+X59</f>
        <v/>
      </c>
      <c r="Y60" s="64">
        <f>X60+Y59</f>
        <v/>
      </c>
      <c r="Z60" s="64">
        <f>Y60+Z59</f>
        <v/>
      </c>
      <c r="AA60" s="64">
        <f>Z60+AA59</f>
        <v/>
      </c>
      <c r="AB60" s="64">
        <f>AA60+AB59</f>
        <v/>
      </c>
      <c r="AC60" s="64">
        <f>AB60+AC59</f>
        <v/>
      </c>
      <c r="AD60" s="64">
        <f>AC60+AD59</f>
        <v/>
      </c>
      <c r="AE60" s="64">
        <f>AD60+AE59</f>
        <v/>
      </c>
      <c r="AF60" s="64">
        <f>AE60+AF59</f>
        <v/>
      </c>
      <c r="AG60" s="64">
        <f>AF60+AG59</f>
        <v/>
      </c>
      <c r="AH60" s="64">
        <f>AG60+AH59</f>
        <v/>
      </c>
      <c r="AI60" s="64">
        <f>AH60+AI59</f>
        <v/>
      </c>
      <c r="AJ60" s="64">
        <f>AI60+AJ59</f>
        <v/>
      </c>
      <c r="AK60" s="64">
        <f>AJ60+AK59</f>
        <v/>
      </c>
      <c r="AL60" s="64">
        <f>AK60+AL59</f>
        <v/>
      </c>
      <c r="AM60" s="64">
        <f>AL60+AM59</f>
        <v/>
      </c>
      <c r="AN60" s="64">
        <f>AM60+AN59</f>
        <v/>
      </c>
      <c r="AO60" s="64">
        <f>AN60+AO59</f>
        <v/>
      </c>
      <c r="AP60" s="64">
        <f>AO60+AP59</f>
        <v/>
      </c>
      <c r="AQ60" s="64">
        <f>AP60+AQ59</f>
        <v/>
      </c>
      <c r="AR60" s="64">
        <f>AQ60+AR59</f>
        <v/>
      </c>
      <c r="AS60" s="64">
        <f>AR60+AS59</f>
        <v/>
      </c>
      <c r="AT60" s="64">
        <f>AS60+AT59</f>
        <v/>
      </c>
      <c r="AU60" s="64">
        <f>AT60+AU59</f>
        <v/>
      </c>
      <c r="AV60" s="64">
        <f>AU60+AV59</f>
        <v/>
      </c>
      <c r="AW60" s="64">
        <f>AV60+AW59</f>
        <v/>
      </c>
      <c r="AX60" s="64">
        <f>AW60+AX59</f>
        <v/>
      </c>
      <c r="AY60" s="64">
        <f>AX60+AY59</f>
        <v/>
      </c>
      <c r="AZ60" s="64">
        <f>AY60+AZ59</f>
        <v/>
      </c>
      <c r="BA60" s="64">
        <f>AZ60+BA59</f>
        <v/>
      </c>
      <c r="BB60" s="64">
        <f>BA60+BB59</f>
        <v/>
      </c>
      <c r="BC60" s="64">
        <f>BB60+BC59</f>
        <v/>
      </c>
      <c r="BD60" s="64">
        <f>BC60+BD59</f>
        <v/>
      </c>
      <c r="BE60" s="64">
        <f>BD60+BE59</f>
        <v/>
      </c>
      <c r="BF60" s="64">
        <f>BE60+BF59</f>
        <v/>
      </c>
      <c r="BG60" s="64">
        <f>BF60+BG59</f>
        <v/>
      </c>
      <c r="BH60" s="64">
        <f>BG60+BH59</f>
        <v/>
      </c>
      <c r="BI60" s="64">
        <f>BH60+BI59</f>
        <v/>
      </c>
      <c r="BJ60" s="64">
        <f>BI60+BJ59</f>
        <v/>
      </c>
      <c r="BK60" s="64">
        <f>BJ60+BK59</f>
        <v/>
      </c>
    </row>
    <row r="61">
      <c r="B61" s="61" t="inlineStr">
        <is>
          <t>Cash before founders' injection</t>
        </is>
      </c>
      <c r="C61" s="92" t="inlineStr">
        <is>
          <t>EUR</t>
        </is>
      </c>
      <c r="D61" s="64">
        <f>D59</f>
        <v/>
      </c>
      <c r="E61" s="64">
        <f>D64+E59</f>
        <v/>
      </c>
      <c r="F61" s="64">
        <f>E64+F59</f>
        <v/>
      </c>
      <c r="G61" s="64">
        <f>F64+G59</f>
        <v/>
      </c>
      <c r="H61" s="64">
        <f>G64+H59</f>
        <v/>
      </c>
      <c r="I61" s="64">
        <f>H64+I59</f>
        <v/>
      </c>
      <c r="J61" s="64">
        <f>I64+J59</f>
        <v/>
      </c>
      <c r="K61" s="64">
        <f>J64+K59</f>
        <v/>
      </c>
      <c r="L61" s="64">
        <f>K64+L59</f>
        <v/>
      </c>
      <c r="M61" s="64">
        <f>L64+M59</f>
        <v/>
      </c>
      <c r="N61" s="64">
        <f>M64+N59</f>
        <v/>
      </c>
      <c r="O61" s="64">
        <f>N64+O59</f>
        <v/>
      </c>
      <c r="P61" s="64">
        <f>O64+P59</f>
        <v/>
      </c>
      <c r="Q61" s="64">
        <f>P64+Q59</f>
        <v/>
      </c>
      <c r="R61" s="64">
        <f>Q64+R59</f>
        <v/>
      </c>
      <c r="S61" s="64">
        <f>R64+S59</f>
        <v/>
      </c>
      <c r="T61" s="64">
        <f>S64+T59</f>
        <v/>
      </c>
      <c r="U61" s="64">
        <f>T64+U59</f>
        <v/>
      </c>
      <c r="V61" s="64">
        <f>U64+V59</f>
        <v/>
      </c>
      <c r="W61" s="64">
        <f>V64+W59</f>
        <v/>
      </c>
      <c r="X61" s="64">
        <f>W64+X59</f>
        <v/>
      </c>
      <c r="Y61" s="64">
        <f>X64+Y59</f>
        <v/>
      </c>
      <c r="Z61" s="64">
        <f>Y64+Z59</f>
        <v/>
      </c>
      <c r="AA61" s="64">
        <f>Z64+AA59</f>
        <v/>
      </c>
      <c r="AB61" s="64">
        <f>AA64+AB59</f>
        <v/>
      </c>
      <c r="AC61" s="64">
        <f>AB64+AC59</f>
        <v/>
      </c>
      <c r="AD61" s="64">
        <f>AC64+AD59</f>
        <v/>
      </c>
      <c r="AE61" s="64">
        <f>AD64+AE59</f>
        <v/>
      </c>
      <c r="AF61" s="64">
        <f>AE64+AF59</f>
        <v/>
      </c>
      <c r="AG61" s="64">
        <f>AF64+AG59</f>
        <v/>
      </c>
      <c r="AH61" s="64">
        <f>AG64+AH59</f>
        <v/>
      </c>
      <c r="AI61" s="64">
        <f>AH64+AI59</f>
        <v/>
      </c>
      <c r="AJ61" s="64">
        <f>AI64+AJ59</f>
        <v/>
      </c>
      <c r="AK61" s="64">
        <f>AJ64+AK59</f>
        <v/>
      </c>
      <c r="AL61" s="64">
        <f>AK64+AL59</f>
        <v/>
      </c>
      <c r="AM61" s="64">
        <f>AL64+AM59</f>
        <v/>
      </c>
      <c r="AN61" s="64">
        <f>AM64+AN59</f>
        <v/>
      </c>
      <c r="AO61" s="64">
        <f>AN64+AO59</f>
        <v/>
      </c>
      <c r="AP61" s="64">
        <f>AO64+AP59</f>
        <v/>
      </c>
      <c r="AQ61" s="64">
        <f>AP64+AQ59</f>
        <v/>
      </c>
      <c r="AR61" s="64">
        <f>AQ64+AR59</f>
        <v/>
      </c>
      <c r="AS61" s="64">
        <f>AR64+AS59</f>
        <v/>
      </c>
      <c r="AT61" s="64">
        <f>AS64+AT59</f>
        <v/>
      </c>
      <c r="AU61" s="64">
        <f>AT64+AU59</f>
        <v/>
      </c>
      <c r="AV61" s="64">
        <f>AU64+AV59</f>
        <v/>
      </c>
      <c r="AW61" s="64">
        <f>AV64+AW59</f>
        <v/>
      </c>
      <c r="AX61" s="64">
        <f>AW64+AX59</f>
        <v/>
      </c>
      <c r="AY61" s="64">
        <f>AX64+AY59</f>
        <v/>
      </c>
      <c r="AZ61" s="64">
        <f>AY64+AZ59</f>
        <v/>
      </c>
      <c r="BA61" s="64">
        <f>AZ64+BA59</f>
        <v/>
      </c>
      <c r="BB61" s="64">
        <f>BA64+BB59</f>
        <v/>
      </c>
      <c r="BC61" s="64">
        <f>BB64+BC59</f>
        <v/>
      </c>
      <c r="BD61" s="64">
        <f>BC64+BD59</f>
        <v/>
      </c>
      <c r="BE61" s="64">
        <f>BD64+BE59</f>
        <v/>
      </c>
      <c r="BF61" s="64">
        <f>BE64+BF59</f>
        <v/>
      </c>
      <c r="BG61" s="64">
        <f>BF64+BG59</f>
        <v/>
      </c>
      <c r="BH61" s="64">
        <f>BG64+BH59</f>
        <v/>
      </c>
      <c r="BI61" s="64">
        <f>BH64+BI59</f>
        <v/>
      </c>
      <c r="BJ61" s="64">
        <f>BI64+BJ59</f>
        <v/>
      </c>
      <c r="BK61" s="64">
        <f>BJ64+BK59</f>
        <v/>
      </c>
    </row>
    <row r="62">
      <c r="B62" s="74" t="inlineStr">
        <is>
          <t>Founders' equity injected</t>
        </is>
      </c>
      <c r="C62" s="108" t="inlineStr">
        <is>
          <t>EUR</t>
        </is>
      </c>
      <c r="D62" s="76">
        <f>MAX(0,Inputs!$C$97-D61)</f>
        <v/>
      </c>
      <c r="E62" s="76">
        <f>MAX(0,Inputs!$C$97-E61)</f>
        <v/>
      </c>
      <c r="F62" s="76">
        <f>MAX(0,Inputs!$C$97-F61)</f>
        <v/>
      </c>
      <c r="G62" s="76">
        <f>MAX(0,Inputs!$C$97-G61)</f>
        <v/>
      </c>
      <c r="H62" s="76">
        <f>MAX(0,Inputs!$C$97-H61)</f>
        <v/>
      </c>
      <c r="I62" s="76">
        <f>MAX(0,Inputs!$C$97-I61)</f>
        <v/>
      </c>
      <c r="J62" s="76">
        <f>MAX(0,Inputs!$C$97-J61)</f>
        <v/>
      </c>
      <c r="K62" s="76">
        <f>MAX(0,Inputs!$C$97-K61)</f>
        <v/>
      </c>
      <c r="L62" s="76">
        <f>MAX(0,Inputs!$C$97-L61)</f>
        <v/>
      </c>
      <c r="M62" s="76">
        <f>MAX(0,Inputs!$C$97-M61)</f>
        <v/>
      </c>
      <c r="N62" s="76">
        <f>MAX(0,Inputs!$C$97-N61)</f>
        <v/>
      </c>
      <c r="O62" s="76">
        <f>MAX(0,Inputs!$C$97-O61)</f>
        <v/>
      </c>
      <c r="P62" s="76">
        <f>MAX(0,Inputs!$C$97-P61)</f>
        <v/>
      </c>
      <c r="Q62" s="76">
        <f>MAX(0,Inputs!$C$97-Q61)</f>
        <v/>
      </c>
      <c r="R62" s="76">
        <f>MAX(0,Inputs!$C$97-R61)</f>
        <v/>
      </c>
      <c r="S62" s="76">
        <f>MAX(0,Inputs!$C$97-S61)</f>
        <v/>
      </c>
      <c r="T62" s="76">
        <f>MAX(0,Inputs!$C$97-T61)</f>
        <v/>
      </c>
      <c r="U62" s="76">
        <f>MAX(0,Inputs!$C$97-U61)</f>
        <v/>
      </c>
      <c r="V62" s="76">
        <f>MAX(0,Inputs!$C$97-V61)</f>
        <v/>
      </c>
      <c r="W62" s="76">
        <f>MAX(0,Inputs!$C$97-W61)</f>
        <v/>
      </c>
      <c r="X62" s="76">
        <f>MAX(0,Inputs!$C$97-X61)</f>
        <v/>
      </c>
      <c r="Y62" s="76">
        <f>MAX(0,Inputs!$C$97-Y61)</f>
        <v/>
      </c>
      <c r="Z62" s="76">
        <f>MAX(0,Inputs!$C$97-Z61)</f>
        <v/>
      </c>
      <c r="AA62" s="76">
        <f>MAX(0,Inputs!$C$97-AA61)</f>
        <v/>
      </c>
      <c r="AB62" s="76">
        <f>MAX(0,Inputs!$C$97-AB61)</f>
        <v/>
      </c>
      <c r="AC62" s="76">
        <f>MAX(0,Inputs!$C$97-AC61)</f>
        <v/>
      </c>
      <c r="AD62" s="76">
        <f>MAX(0,Inputs!$C$97-AD61)</f>
        <v/>
      </c>
      <c r="AE62" s="76">
        <f>MAX(0,Inputs!$C$97-AE61)</f>
        <v/>
      </c>
      <c r="AF62" s="76">
        <f>MAX(0,Inputs!$C$97-AF61)</f>
        <v/>
      </c>
      <c r="AG62" s="76">
        <f>MAX(0,Inputs!$C$97-AG61)</f>
        <v/>
      </c>
      <c r="AH62" s="76">
        <f>MAX(0,Inputs!$C$97-AH61)</f>
        <v/>
      </c>
      <c r="AI62" s="76">
        <f>MAX(0,Inputs!$C$97-AI61)</f>
        <v/>
      </c>
      <c r="AJ62" s="76">
        <f>MAX(0,Inputs!$C$97-AJ61)</f>
        <v/>
      </c>
      <c r="AK62" s="76">
        <f>MAX(0,Inputs!$C$97-AK61)</f>
        <v/>
      </c>
      <c r="AL62" s="76">
        <f>MAX(0,Inputs!$C$97-AL61)</f>
        <v/>
      </c>
      <c r="AM62" s="76">
        <f>MAX(0,Inputs!$C$97-AM61)</f>
        <v/>
      </c>
      <c r="AN62" s="76">
        <f>MAX(0,Inputs!$C$97-AN61)</f>
        <v/>
      </c>
      <c r="AO62" s="76">
        <f>MAX(0,Inputs!$C$97-AO61)</f>
        <v/>
      </c>
      <c r="AP62" s="76">
        <f>MAX(0,Inputs!$C$97-AP61)</f>
        <v/>
      </c>
      <c r="AQ62" s="76">
        <f>MAX(0,Inputs!$C$97-AQ61)</f>
        <v/>
      </c>
      <c r="AR62" s="76">
        <f>MAX(0,Inputs!$C$97-AR61)</f>
        <v/>
      </c>
      <c r="AS62" s="76">
        <f>MAX(0,Inputs!$C$97-AS61)</f>
        <v/>
      </c>
      <c r="AT62" s="76">
        <f>MAX(0,Inputs!$C$97-AT61)</f>
        <v/>
      </c>
      <c r="AU62" s="76">
        <f>MAX(0,Inputs!$C$97-AU61)</f>
        <v/>
      </c>
      <c r="AV62" s="76">
        <f>MAX(0,Inputs!$C$97-AV61)</f>
        <v/>
      </c>
      <c r="AW62" s="76">
        <f>MAX(0,Inputs!$C$97-AW61)</f>
        <v/>
      </c>
      <c r="AX62" s="76">
        <f>MAX(0,Inputs!$C$97-AX61)</f>
        <v/>
      </c>
      <c r="AY62" s="76">
        <f>MAX(0,Inputs!$C$97-AY61)</f>
        <v/>
      </c>
      <c r="AZ62" s="76">
        <f>MAX(0,Inputs!$C$97-AZ61)</f>
        <v/>
      </c>
      <c r="BA62" s="76">
        <f>MAX(0,Inputs!$C$97-BA61)</f>
        <v/>
      </c>
      <c r="BB62" s="76">
        <f>MAX(0,Inputs!$C$97-BB61)</f>
        <v/>
      </c>
      <c r="BC62" s="76">
        <f>MAX(0,Inputs!$C$97-BC61)</f>
        <v/>
      </c>
      <c r="BD62" s="76">
        <f>MAX(0,Inputs!$C$97-BD61)</f>
        <v/>
      </c>
      <c r="BE62" s="76">
        <f>MAX(0,Inputs!$C$97-BE61)</f>
        <v/>
      </c>
      <c r="BF62" s="76">
        <f>MAX(0,Inputs!$C$97-BF61)</f>
        <v/>
      </c>
      <c r="BG62" s="76">
        <f>MAX(0,Inputs!$C$97-BG61)</f>
        <v/>
      </c>
      <c r="BH62" s="76">
        <f>MAX(0,Inputs!$C$97-BH61)</f>
        <v/>
      </c>
      <c r="BI62" s="76">
        <f>MAX(0,Inputs!$C$97-BI61)</f>
        <v/>
      </c>
      <c r="BJ62" s="76">
        <f>MAX(0,Inputs!$C$97-BJ61)</f>
        <v/>
      </c>
      <c r="BK62" s="76">
        <f>MAX(0,Inputs!$C$97-BK61)</f>
        <v/>
      </c>
    </row>
    <row r="63">
      <c r="B63" s="65" t="inlineStr">
        <is>
          <t>Cumulative equity invested</t>
        </is>
      </c>
      <c r="C63" s="92" t="inlineStr">
        <is>
          <t>EUR</t>
        </is>
      </c>
      <c r="D63" s="66">
        <f>D62</f>
        <v/>
      </c>
      <c r="E63" s="66">
        <f>D63+E62</f>
        <v/>
      </c>
      <c r="F63" s="66">
        <f>E63+F62</f>
        <v/>
      </c>
      <c r="G63" s="66">
        <f>F63+G62</f>
        <v/>
      </c>
      <c r="H63" s="66">
        <f>G63+H62</f>
        <v/>
      </c>
      <c r="I63" s="66">
        <f>H63+I62</f>
        <v/>
      </c>
      <c r="J63" s="66">
        <f>I63+J62</f>
        <v/>
      </c>
      <c r="K63" s="66">
        <f>J63+K62</f>
        <v/>
      </c>
      <c r="L63" s="66">
        <f>K63+L62</f>
        <v/>
      </c>
      <c r="M63" s="66">
        <f>L63+M62</f>
        <v/>
      </c>
      <c r="N63" s="66">
        <f>M63+N62</f>
        <v/>
      </c>
      <c r="O63" s="66">
        <f>N63+O62</f>
        <v/>
      </c>
      <c r="P63" s="66">
        <f>O63+P62</f>
        <v/>
      </c>
      <c r="Q63" s="66">
        <f>P63+Q62</f>
        <v/>
      </c>
      <c r="R63" s="66">
        <f>Q63+R62</f>
        <v/>
      </c>
      <c r="S63" s="66">
        <f>R63+S62</f>
        <v/>
      </c>
      <c r="T63" s="66">
        <f>S63+T62</f>
        <v/>
      </c>
      <c r="U63" s="66">
        <f>T63+U62</f>
        <v/>
      </c>
      <c r="V63" s="66">
        <f>U63+V62</f>
        <v/>
      </c>
      <c r="W63" s="66">
        <f>V63+W62</f>
        <v/>
      </c>
      <c r="X63" s="66">
        <f>W63+X62</f>
        <v/>
      </c>
      <c r="Y63" s="66">
        <f>X63+Y62</f>
        <v/>
      </c>
      <c r="Z63" s="66">
        <f>Y63+Z62</f>
        <v/>
      </c>
      <c r="AA63" s="66">
        <f>Z63+AA62</f>
        <v/>
      </c>
      <c r="AB63" s="66">
        <f>AA63+AB62</f>
        <v/>
      </c>
      <c r="AC63" s="66">
        <f>AB63+AC62</f>
        <v/>
      </c>
      <c r="AD63" s="66">
        <f>AC63+AD62</f>
        <v/>
      </c>
      <c r="AE63" s="66">
        <f>AD63+AE62</f>
        <v/>
      </c>
      <c r="AF63" s="66">
        <f>AE63+AF62</f>
        <v/>
      </c>
      <c r="AG63" s="66">
        <f>AF63+AG62</f>
        <v/>
      </c>
      <c r="AH63" s="66">
        <f>AG63+AH62</f>
        <v/>
      </c>
      <c r="AI63" s="66">
        <f>AH63+AI62</f>
        <v/>
      </c>
      <c r="AJ63" s="66">
        <f>AI63+AJ62</f>
        <v/>
      </c>
      <c r="AK63" s="66">
        <f>AJ63+AK62</f>
        <v/>
      </c>
      <c r="AL63" s="66">
        <f>AK63+AL62</f>
        <v/>
      </c>
      <c r="AM63" s="66">
        <f>AL63+AM62</f>
        <v/>
      </c>
      <c r="AN63" s="66">
        <f>AM63+AN62</f>
        <v/>
      </c>
      <c r="AO63" s="66">
        <f>AN63+AO62</f>
        <v/>
      </c>
      <c r="AP63" s="66">
        <f>AO63+AP62</f>
        <v/>
      </c>
      <c r="AQ63" s="66">
        <f>AP63+AQ62</f>
        <v/>
      </c>
      <c r="AR63" s="66">
        <f>AQ63+AR62</f>
        <v/>
      </c>
      <c r="AS63" s="66">
        <f>AR63+AS62</f>
        <v/>
      </c>
      <c r="AT63" s="66">
        <f>AS63+AT62</f>
        <v/>
      </c>
      <c r="AU63" s="66">
        <f>AT63+AU62</f>
        <v/>
      </c>
      <c r="AV63" s="66">
        <f>AU63+AV62</f>
        <v/>
      </c>
      <c r="AW63" s="66">
        <f>AV63+AW62</f>
        <v/>
      </c>
      <c r="AX63" s="66">
        <f>AW63+AX62</f>
        <v/>
      </c>
      <c r="AY63" s="66">
        <f>AX63+AY62</f>
        <v/>
      </c>
      <c r="AZ63" s="66">
        <f>AY63+AZ62</f>
        <v/>
      </c>
      <c r="BA63" s="66">
        <f>AZ63+BA62</f>
        <v/>
      </c>
      <c r="BB63" s="66">
        <f>BA63+BB62</f>
        <v/>
      </c>
      <c r="BC63" s="66">
        <f>BB63+BC62</f>
        <v/>
      </c>
      <c r="BD63" s="66">
        <f>BC63+BD62</f>
        <v/>
      </c>
      <c r="BE63" s="66">
        <f>BD63+BE62</f>
        <v/>
      </c>
      <c r="BF63" s="66">
        <f>BE63+BF62</f>
        <v/>
      </c>
      <c r="BG63" s="66">
        <f>BF63+BG62</f>
        <v/>
      </c>
      <c r="BH63" s="66">
        <f>BG63+BH62</f>
        <v/>
      </c>
      <c r="BI63" s="66">
        <f>BH63+BI62</f>
        <v/>
      </c>
      <c r="BJ63" s="66">
        <f>BI63+BJ62</f>
        <v/>
      </c>
      <c r="BK63" s="66">
        <f>BJ63+BK62</f>
        <v/>
      </c>
    </row>
    <row r="64">
      <c r="B64" s="69" t="inlineStr">
        <is>
          <t>Cash — closing balance</t>
        </is>
      </c>
      <c r="C64" s="98" t="inlineStr">
        <is>
          <t>EUR</t>
        </is>
      </c>
      <c r="D64" s="71">
        <f>D61+D62</f>
        <v/>
      </c>
      <c r="E64" s="71">
        <f>E61+E62</f>
        <v/>
      </c>
      <c r="F64" s="71">
        <f>F61+F62</f>
        <v/>
      </c>
      <c r="G64" s="71">
        <f>G61+G62</f>
        <v/>
      </c>
      <c r="H64" s="71">
        <f>H61+H62</f>
        <v/>
      </c>
      <c r="I64" s="71">
        <f>I61+I62</f>
        <v/>
      </c>
      <c r="J64" s="71">
        <f>J61+J62</f>
        <v/>
      </c>
      <c r="K64" s="71">
        <f>K61+K62</f>
        <v/>
      </c>
      <c r="L64" s="71">
        <f>L61+L62</f>
        <v/>
      </c>
      <c r="M64" s="71">
        <f>M61+M62</f>
        <v/>
      </c>
      <c r="N64" s="71">
        <f>N61+N62</f>
        <v/>
      </c>
      <c r="O64" s="71">
        <f>O61+O62</f>
        <v/>
      </c>
      <c r="P64" s="71">
        <f>P61+P62</f>
        <v/>
      </c>
      <c r="Q64" s="71">
        <f>Q61+Q62</f>
        <v/>
      </c>
      <c r="R64" s="71">
        <f>R61+R62</f>
        <v/>
      </c>
      <c r="S64" s="71">
        <f>S61+S62</f>
        <v/>
      </c>
      <c r="T64" s="71">
        <f>T61+T62</f>
        <v/>
      </c>
      <c r="U64" s="71">
        <f>U61+U62</f>
        <v/>
      </c>
      <c r="V64" s="71">
        <f>V61+V62</f>
        <v/>
      </c>
      <c r="W64" s="71">
        <f>W61+W62</f>
        <v/>
      </c>
      <c r="X64" s="71">
        <f>X61+X62</f>
        <v/>
      </c>
      <c r="Y64" s="71">
        <f>Y61+Y62</f>
        <v/>
      </c>
      <c r="Z64" s="71">
        <f>Z61+Z62</f>
        <v/>
      </c>
      <c r="AA64" s="71">
        <f>AA61+AA62</f>
        <v/>
      </c>
      <c r="AB64" s="71">
        <f>AB61+AB62</f>
        <v/>
      </c>
      <c r="AC64" s="71">
        <f>AC61+AC62</f>
        <v/>
      </c>
      <c r="AD64" s="71">
        <f>AD61+AD62</f>
        <v/>
      </c>
      <c r="AE64" s="71">
        <f>AE61+AE62</f>
        <v/>
      </c>
      <c r="AF64" s="71">
        <f>AF61+AF62</f>
        <v/>
      </c>
      <c r="AG64" s="71">
        <f>AG61+AG62</f>
        <v/>
      </c>
      <c r="AH64" s="71">
        <f>AH61+AH62</f>
        <v/>
      </c>
      <c r="AI64" s="71">
        <f>AI61+AI62</f>
        <v/>
      </c>
      <c r="AJ64" s="71">
        <f>AJ61+AJ62</f>
        <v/>
      </c>
      <c r="AK64" s="71">
        <f>AK61+AK62</f>
        <v/>
      </c>
      <c r="AL64" s="71">
        <f>AL61+AL62</f>
        <v/>
      </c>
      <c r="AM64" s="71">
        <f>AM61+AM62</f>
        <v/>
      </c>
      <c r="AN64" s="71">
        <f>AN61+AN62</f>
        <v/>
      </c>
      <c r="AO64" s="71">
        <f>AO61+AO62</f>
        <v/>
      </c>
      <c r="AP64" s="71">
        <f>AP61+AP62</f>
        <v/>
      </c>
      <c r="AQ64" s="71">
        <f>AQ61+AQ62</f>
        <v/>
      </c>
      <c r="AR64" s="71">
        <f>AR61+AR62</f>
        <v/>
      </c>
      <c r="AS64" s="71">
        <f>AS61+AS62</f>
        <v/>
      </c>
      <c r="AT64" s="71">
        <f>AT61+AT62</f>
        <v/>
      </c>
      <c r="AU64" s="71">
        <f>AU61+AU62</f>
        <v/>
      </c>
      <c r="AV64" s="71">
        <f>AV61+AV62</f>
        <v/>
      </c>
      <c r="AW64" s="71">
        <f>AW61+AW62</f>
        <v/>
      </c>
      <c r="AX64" s="71">
        <f>AX61+AX62</f>
        <v/>
      </c>
      <c r="AY64" s="71">
        <f>AY61+AY62</f>
        <v/>
      </c>
      <c r="AZ64" s="71">
        <f>AZ61+AZ62</f>
        <v/>
      </c>
      <c r="BA64" s="71">
        <f>BA61+BA62</f>
        <v/>
      </c>
      <c r="BB64" s="71">
        <f>BB61+BB62</f>
        <v/>
      </c>
      <c r="BC64" s="71">
        <f>BC61+BC62</f>
        <v/>
      </c>
      <c r="BD64" s="71">
        <f>BD61+BD62</f>
        <v/>
      </c>
      <c r="BE64" s="71">
        <f>BE61+BE62</f>
        <v/>
      </c>
      <c r="BF64" s="71">
        <f>BF61+BF62</f>
        <v/>
      </c>
      <c r="BG64" s="71">
        <f>BG61+BG62</f>
        <v/>
      </c>
      <c r="BH64" s="71">
        <f>BH61+BH62</f>
        <v/>
      </c>
      <c r="BI64" s="71">
        <f>BI61+BI62</f>
        <v/>
      </c>
      <c r="BJ64" s="71">
        <f>BJ61+BJ62</f>
        <v/>
      </c>
      <c r="BK64" s="71">
        <f>BK61+BK62</f>
        <v/>
      </c>
    </row>
    <row r="66">
      <c r="B66" s="23" t="inlineStr">
        <is>
          <t>BALANCE SHEET  (month end, EUR)</t>
        </is>
      </c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  <c r="AZ66" s="23" t="n"/>
      <c r="BA66" s="23" t="n"/>
      <c r="BB66" s="23" t="n"/>
      <c r="BC66" s="23" t="n"/>
      <c r="BD66" s="23" t="n"/>
      <c r="BE66" s="23" t="n"/>
      <c r="BF66" s="23" t="n"/>
      <c r="BG66" s="23" t="n"/>
      <c r="BH66" s="23" t="n"/>
      <c r="BI66" s="23" t="n"/>
      <c r="BJ66" s="23" t="n"/>
    </row>
    <row r="67">
      <c r="B67" s="61" t="inlineStr">
        <is>
          <t xml:space="preserve">    Cash</t>
        </is>
      </c>
      <c r="C67" s="92" t="inlineStr">
        <is>
          <t>EUR</t>
        </is>
      </c>
      <c r="D67" s="64">
        <f>D64</f>
        <v/>
      </c>
      <c r="E67" s="64">
        <f>E64</f>
        <v/>
      </c>
      <c r="F67" s="64">
        <f>F64</f>
        <v/>
      </c>
      <c r="G67" s="64">
        <f>G64</f>
        <v/>
      </c>
      <c r="H67" s="64">
        <f>H64</f>
        <v/>
      </c>
      <c r="I67" s="64">
        <f>I64</f>
        <v/>
      </c>
      <c r="J67" s="64">
        <f>J64</f>
        <v/>
      </c>
      <c r="K67" s="64">
        <f>K64</f>
        <v/>
      </c>
      <c r="L67" s="64">
        <f>L64</f>
        <v/>
      </c>
      <c r="M67" s="64">
        <f>M64</f>
        <v/>
      </c>
      <c r="N67" s="64">
        <f>N64</f>
        <v/>
      </c>
      <c r="O67" s="64">
        <f>O64</f>
        <v/>
      </c>
      <c r="P67" s="64">
        <f>P64</f>
        <v/>
      </c>
      <c r="Q67" s="64">
        <f>Q64</f>
        <v/>
      </c>
      <c r="R67" s="64">
        <f>R64</f>
        <v/>
      </c>
      <c r="S67" s="64">
        <f>S64</f>
        <v/>
      </c>
      <c r="T67" s="64">
        <f>T64</f>
        <v/>
      </c>
      <c r="U67" s="64">
        <f>U64</f>
        <v/>
      </c>
      <c r="V67" s="64">
        <f>V64</f>
        <v/>
      </c>
      <c r="W67" s="64">
        <f>W64</f>
        <v/>
      </c>
      <c r="X67" s="64">
        <f>X64</f>
        <v/>
      </c>
      <c r="Y67" s="64">
        <f>Y64</f>
        <v/>
      </c>
      <c r="Z67" s="64">
        <f>Z64</f>
        <v/>
      </c>
      <c r="AA67" s="64">
        <f>AA64</f>
        <v/>
      </c>
      <c r="AB67" s="64">
        <f>AB64</f>
        <v/>
      </c>
      <c r="AC67" s="64">
        <f>AC64</f>
        <v/>
      </c>
      <c r="AD67" s="64">
        <f>AD64</f>
        <v/>
      </c>
      <c r="AE67" s="64">
        <f>AE64</f>
        <v/>
      </c>
      <c r="AF67" s="64">
        <f>AF64</f>
        <v/>
      </c>
      <c r="AG67" s="64">
        <f>AG64</f>
        <v/>
      </c>
      <c r="AH67" s="64">
        <f>AH64</f>
        <v/>
      </c>
      <c r="AI67" s="64">
        <f>AI64</f>
        <v/>
      </c>
      <c r="AJ67" s="64">
        <f>AJ64</f>
        <v/>
      </c>
      <c r="AK67" s="64">
        <f>AK64</f>
        <v/>
      </c>
      <c r="AL67" s="64">
        <f>AL64</f>
        <v/>
      </c>
      <c r="AM67" s="64">
        <f>AM64</f>
        <v/>
      </c>
      <c r="AN67" s="64">
        <f>AN64</f>
        <v/>
      </c>
      <c r="AO67" s="64">
        <f>AO64</f>
        <v/>
      </c>
      <c r="AP67" s="64">
        <f>AP64</f>
        <v/>
      </c>
      <c r="AQ67" s="64">
        <f>AQ64</f>
        <v/>
      </c>
      <c r="AR67" s="64">
        <f>AR64</f>
        <v/>
      </c>
      <c r="AS67" s="64">
        <f>AS64</f>
        <v/>
      </c>
      <c r="AT67" s="64">
        <f>AT64</f>
        <v/>
      </c>
      <c r="AU67" s="64">
        <f>AU64</f>
        <v/>
      </c>
      <c r="AV67" s="64">
        <f>AV64</f>
        <v/>
      </c>
      <c r="AW67" s="64">
        <f>AW64</f>
        <v/>
      </c>
      <c r="AX67" s="64">
        <f>AX64</f>
        <v/>
      </c>
      <c r="AY67" s="64">
        <f>AY64</f>
        <v/>
      </c>
      <c r="AZ67" s="64">
        <f>AZ64</f>
        <v/>
      </c>
      <c r="BA67" s="64">
        <f>BA64</f>
        <v/>
      </c>
      <c r="BB67" s="64">
        <f>BB64</f>
        <v/>
      </c>
      <c r="BC67" s="64">
        <f>BC64</f>
        <v/>
      </c>
      <c r="BD67" s="64">
        <f>BD64</f>
        <v/>
      </c>
      <c r="BE67" s="64">
        <f>BE64</f>
        <v/>
      </c>
      <c r="BF67" s="64">
        <f>BF64</f>
        <v/>
      </c>
      <c r="BG67" s="64">
        <f>BG64</f>
        <v/>
      </c>
      <c r="BH67" s="64">
        <f>BH64</f>
        <v/>
      </c>
      <c r="BI67" s="64">
        <f>BI64</f>
        <v/>
      </c>
      <c r="BJ67" s="64">
        <f>BJ64</f>
        <v/>
      </c>
      <c r="BK67" s="64">
        <f>BK64</f>
        <v/>
      </c>
    </row>
    <row r="68">
      <c r="B68" s="61" t="inlineStr">
        <is>
          <t xml:space="preserve">    Receivables</t>
        </is>
      </c>
      <c r="C68" s="92" t="inlineStr">
        <is>
          <t>EUR</t>
        </is>
      </c>
      <c r="D68" s="64">
        <f>D48</f>
        <v/>
      </c>
      <c r="E68" s="64">
        <f>E48</f>
        <v/>
      </c>
      <c r="F68" s="64">
        <f>F48</f>
        <v/>
      </c>
      <c r="G68" s="64">
        <f>G48</f>
        <v/>
      </c>
      <c r="H68" s="64">
        <f>H48</f>
        <v/>
      </c>
      <c r="I68" s="64">
        <f>I48</f>
        <v/>
      </c>
      <c r="J68" s="64">
        <f>J48</f>
        <v/>
      </c>
      <c r="K68" s="64">
        <f>K48</f>
        <v/>
      </c>
      <c r="L68" s="64">
        <f>L48</f>
        <v/>
      </c>
      <c r="M68" s="64">
        <f>M48</f>
        <v/>
      </c>
      <c r="N68" s="64">
        <f>N48</f>
        <v/>
      </c>
      <c r="O68" s="64">
        <f>O48</f>
        <v/>
      </c>
      <c r="P68" s="64">
        <f>P48</f>
        <v/>
      </c>
      <c r="Q68" s="64">
        <f>Q48</f>
        <v/>
      </c>
      <c r="R68" s="64">
        <f>R48</f>
        <v/>
      </c>
      <c r="S68" s="64">
        <f>S48</f>
        <v/>
      </c>
      <c r="T68" s="64">
        <f>T48</f>
        <v/>
      </c>
      <c r="U68" s="64">
        <f>U48</f>
        <v/>
      </c>
      <c r="V68" s="64">
        <f>V48</f>
        <v/>
      </c>
      <c r="W68" s="64">
        <f>W48</f>
        <v/>
      </c>
      <c r="X68" s="64">
        <f>X48</f>
        <v/>
      </c>
      <c r="Y68" s="64">
        <f>Y48</f>
        <v/>
      </c>
      <c r="Z68" s="64">
        <f>Z48</f>
        <v/>
      </c>
      <c r="AA68" s="64">
        <f>AA48</f>
        <v/>
      </c>
      <c r="AB68" s="64">
        <f>AB48</f>
        <v/>
      </c>
      <c r="AC68" s="64">
        <f>AC48</f>
        <v/>
      </c>
      <c r="AD68" s="64">
        <f>AD48</f>
        <v/>
      </c>
      <c r="AE68" s="64">
        <f>AE48</f>
        <v/>
      </c>
      <c r="AF68" s="64">
        <f>AF48</f>
        <v/>
      </c>
      <c r="AG68" s="64">
        <f>AG48</f>
        <v/>
      </c>
      <c r="AH68" s="64">
        <f>AH48</f>
        <v/>
      </c>
      <c r="AI68" s="64">
        <f>AI48</f>
        <v/>
      </c>
      <c r="AJ68" s="64">
        <f>AJ48</f>
        <v/>
      </c>
      <c r="AK68" s="64">
        <f>AK48</f>
        <v/>
      </c>
      <c r="AL68" s="64">
        <f>AL48</f>
        <v/>
      </c>
      <c r="AM68" s="64">
        <f>AM48</f>
        <v/>
      </c>
      <c r="AN68" s="64">
        <f>AN48</f>
        <v/>
      </c>
      <c r="AO68" s="64">
        <f>AO48</f>
        <v/>
      </c>
      <c r="AP68" s="64">
        <f>AP48</f>
        <v/>
      </c>
      <c r="AQ68" s="64">
        <f>AQ48</f>
        <v/>
      </c>
      <c r="AR68" s="64">
        <f>AR48</f>
        <v/>
      </c>
      <c r="AS68" s="64">
        <f>AS48</f>
        <v/>
      </c>
      <c r="AT68" s="64">
        <f>AT48</f>
        <v/>
      </c>
      <c r="AU68" s="64">
        <f>AU48</f>
        <v/>
      </c>
      <c r="AV68" s="64">
        <f>AV48</f>
        <v/>
      </c>
      <c r="AW68" s="64">
        <f>AW48</f>
        <v/>
      </c>
      <c r="AX68" s="64">
        <f>AX48</f>
        <v/>
      </c>
      <c r="AY68" s="64">
        <f>AY48</f>
        <v/>
      </c>
      <c r="AZ68" s="64">
        <f>AZ48</f>
        <v/>
      </c>
      <c r="BA68" s="64">
        <f>BA48</f>
        <v/>
      </c>
      <c r="BB68" s="64">
        <f>BB48</f>
        <v/>
      </c>
      <c r="BC68" s="64">
        <f>BC48</f>
        <v/>
      </c>
      <c r="BD68" s="64">
        <f>BD48</f>
        <v/>
      </c>
      <c r="BE68" s="64">
        <f>BE48</f>
        <v/>
      </c>
      <c r="BF68" s="64">
        <f>BF48</f>
        <v/>
      </c>
      <c r="BG68" s="64">
        <f>BG48</f>
        <v/>
      </c>
      <c r="BH68" s="64">
        <f>BH48</f>
        <v/>
      </c>
      <c r="BI68" s="64">
        <f>BI48</f>
        <v/>
      </c>
      <c r="BJ68" s="64">
        <f>BJ48</f>
        <v/>
      </c>
      <c r="BK68" s="64">
        <f>BK48</f>
        <v/>
      </c>
    </row>
    <row r="69">
      <c r="B69" s="61" t="inlineStr">
        <is>
          <t xml:space="preserve">    Net fixed assets</t>
        </is>
      </c>
      <c r="C69" s="92" t="inlineStr">
        <is>
          <t>EUR</t>
        </is>
      </c>
      <c r="D69" s="64">
        <f>D43</f>
        <v/>
      </c>
      <c r="E69" s="64">
        <f>E43</f>
        <v/>
      </c>
      <c r="F69" s="64">
        <f>F43</f>
        <v/>
      </c>
      <c r="G69" s="64">
        <f>G43</f>
        <v/>
      </c>
      <c r="H69" s="64">
        <f>H43</f>
        <v/>
      </c>
      <c r="I69" s="64">
        <f>I43</f>
        <v/>
      </c>
      <c r="J69" s="64">
        <f>J43</f>
        <v/>
      </c>
      <c r="K69" s="64">
        <f>K43</f>
        <v/>
      </c>
      <c r="L69" s="64">
        <f>L43</f>
        <v/>
      </c>
      <c r="M69" s="64">
        <f>M43</f>
        <v/>
      </c>
      <c r="N69" s="64">
        <f>N43</f>
        <v/>
      </c>
      <c r="O69" s="64">
        <f>O43</f>
        <v/>
      </c>
      <c r="P69" s="64">
        <f>P43</f>
        <v/>
      </c>
      <c r="Q69" s="64">
        <f>Q43</f>
        <v/>
      </c>
      <c r="R69" s="64">
        <f>R43</f>
        <v/>
      </c>
      <c r="S69" s="64">
        <f>S43</f>
        <v/>
      </c>
      <c r="T69" s="64">
        <f>T43</f>
        <v/>
      </c>
      <c r="U69" s="64">
        <f>U43</f>
        <v/>
      </c>
      <c r="V69" s="64">
        <f>V43</f>
        <v/>
      </c>
      <c r="W69" s="64">
        <f>W43</f>
        <v/>
      </c>
      <c r="X69" s="64">
        <f>X43</f>
        <v/>
      </c>
      <c r="Y69" s="64">
        <f>Y43</f>
        <v/>
      </c>
      <c r="Z69" s="64">
        <f>Z43</f>
        <v/>
      </c>
      <c r="AA69" s="64">
        <f>AA43</f>
        <v/>
      </c>
      <c r="AB69" s="64">
        <f>AB43</f>
        <v/>
      </c>
      <c r="AC69" s="64">
        <f>AC43</f>
        <v/>
      </c>
      <c r="AD69" s="64">
        <f>AD43</f>
        <v/>
      </c>
      <c r="AE69" s="64">
        <f>AE43</f>
        <v/>
      </c>
      <c r="AF69" s="64">
        <f>AF43</f>
        <v/>
      </c>
      <c r="AG69" s="64">
        <f>AG43</f>
        <v/>
      </c>
      <c r="AH69" s="64">
        <f>AH43</f>
        <v/>
      </c>
      <c r="AI69" s="64">
        <f>AI43</f>
        <v/>
      </c>
      <c r="AJ69" s="64">
        <f>AJ43</f>
        <v/>
      </c>
      <c r="AK69" s="64">
        <f>AK43</f>
        <v/>
      </c>
      <c r="AL69" s="64">
        <f>AL43</f>
        <v/>
      </c>
      <c r="AM69" s="64">
        <f>AM43</f>
        <v/>
      </c>
      <c r="AN69" s="64">
        <f>AN43</f>
        <v/>
      </c>
      <c r="AO69" s="64">
        <f>AO43</f>
        <v/>
      </c>
      <c r="AP69" s="64">
        <f>AP43</f>
        <v/>
      </c>
      <c r="AQ69" s="64">
        <f>AQ43</f>
        <v/>
      </c>
      <c r="AR69" s="64">
        <f>AR43</f>
        <v/>
      </c>
      <c r="AS69" s="64">
        <f>AS43</f>
        <v/>
      </c>
      <c r="AT69" s="64">
        <f>AT43</f>
        <v/>
      </c>
      <c r="AU69" s="64">
        <f>AU43</f>
        <v/>
      </c>
      <c r="AV69" s="64">
        <f>AV43</f>
        <v/>
      </c>
      <c r="AW69" s="64">
        <f>AW43</f>
        <v/>
      </c>
      <c r="AX69" s="64">
        <f>AX43</f>
        <v/>
      </c>
      <c r="AY69" s="64">
        <f>AY43</f>
        <v/>
      </c>
      <c r="AZ69" s="64">
        <f>AZ43</f>
        <v/>
      </c>
      <c r="BA69" s="64">
        <f>BA43</f>
        <v/>
      </c>
      <c r="BB69" s="64">
        <f>BB43</f>
        <v/>
      </c>
      <c r="BC69" s="64">
        <f>BC43</f>
        <v/>
      </c>
      <c r="BD69" s="64">
        <f>BD43</f>
        <v/>
      </c>
      <c r="BE69" s="64">
        <f>BE43</f>
        <v/>
      </c>
      <c r="BF69" s="64">
        <f>BF43</f>
        <v/>
      </c>
      <c r="BG69" s="64">
        <f>BG43</f>
        <v/>
      </c>
      <c r="BH69" s="64">
        <f>BH43</f>
        <v/>
      </c>
      <c r="BI69" s="64">
        <f>BI43</f>
        <v/>
      </c>
      <c r="BJ69" s="64">
        <f>BJ43</f>
        <v/>
      </c>
      <c r="BK69" s="64">
        <f>BK43</f>
        <v/>
      </c>
    </row>
    <row r="70">
      <c r="B70" s="65" t="inlineStr">
        <is>
          <t>Total assets</t>
        </is>
      </c>
      <c r="C70" s="92" t="inlineStr">
        <is>
          <t>EUR</t>
        </is>
      </c>
      <c r="D70" s="66">
        <f>SUM(D67:D69)</f>
        <v/>
      </c>
      <c r="E70" s="66">
        <f>SUM(E67:E69)</f>
        <v/>
      </c>
      <c r="F70" s="66">
        <f>SUM(F67:F69)</f>
        <v/>
      </c>
      <c r="G70" s="66">
        <f>SUM(G67:G69)</f>
        <v/>
      </c>
      <c r="H70" s="66">
        <f>SUM(H67:H69)</f>
        <v/>
      </c>
      <c r="I70" s="66">
        <f>SUM(I67:I69)</f>
        <v/>
      </c>
      <c r="J70" s="66">
        <f>SUM(J67:J69)</f>
        <v/>
      </c>
      <c r="K70" s="66">
        <f>SUM(K67:K69)</f>
        <v/>
      </c>
      <c r="L70" s="66">
        <f>SUM(L67:L69)</f>
        <v/>
      </c>
      <c r="M70" s="66">
        <f>SUM(M67:M69)</f>
        <v/>
      </c>
      <c r="N70" s="66">
        <f>SUM(N67:N69)</f>
        <v/>
      </c>
      <c r="O70" s="66">
        <f>SUM(O67:O69)</f>
        <v/>
      </c>
      <c r="P70" s="66">
        <f>SUM(P67:P69)</f>
        <v/>
      </c>
      <c r="Q70" s="66">
        <f>SUM(Q67:Q69)</f>
        <v/>
      </c>
      <c r="R70" s="66">
        <f>SUM(R67:R69)</f>
        <v/>
      </c>
      <c r="S70" s="66">
        <f>SUM(S67:S69)</f>
        <v/>
      </c>
      <c r="T70" s="66">
        <f>SUM(T67:T69)</f>
        <v/>
      </c>
      <c r="U70" s="66">
        <f>SUM(U67:U69)</f>
        <v/>
      </c>
      <c r="V70" s="66">
        <f>SUM(V67:V69)</f>
        <v/>
      </c>
      <c r="W70" s="66">
        <f>SUM(W67:W69)</f>
        <v/>
      </c>
      <c r="X70" s="66">
        <f>SUM(X67:X69)</f>
        <v/>
      </c>
      <c r="Y70" s="66">
        <f>SUM(Y67:Y69)</f>
        <v/>
      </c>
      <c r="Z70" s="66">
        <f>SUM(Z67:Z69)</f>
        <v/>
      </c>
      <c r="AA70" s="66">
        <f>SUM(AA67:AA69)</f>
        <v/>
      </c>
      <c r="AB70" s="66">
        <f>SUM(AB67:AB69)</f>
        <v/>
      </c>
      <c r="AC70" s="66">
        <f>SUM(AC67:AC69)</f>
        <v/>
      </c>
      <c r="AD70" s="66">
        <f>SUM(AD67:AD69)</f>
        <v/>
      </c>
      <c r="AE70" s="66">
        <f>SUM(AE67:AE69)</f>
        <v/>
      </c>
      <c r="AF70" s="66">
        <f>SUM(AF67:AF69)</f>
        <v/>
      </c>
      <c r="AG70" s="66">
        <f>SUM(AG67:AG69)</f>
        <v/>
      </c>
      <c r="AH70" s="66">
        <f>SUM(AH67:AH69)</f>
        <v/>
      </c>
      <c r="AI70" s="66">
        <f>SUM(AI67:AI69)</f>
        <v/>
      </c>
      <c r="AJ70" s="66">
        <f>SUM(AJ67:AJ69)</f>
        <v/>
      </c>
      <c r="AK70" s="66">
        <f>SUM(AK67:AK69)</f>
        <v/>
      </c>
      <c r="AL70" s="66">
        <f>SUM(AL67:AL69)</f>
        <v/>
      </c>
      <c r="AM70" s="66">
        <f>SUM(AM67:AM69)</f>
        <v/>
      </c>
      <c r="AN70" s="66">
        <f>SUM(AN67:AN69)</f>
        <v/>
      </c>
      <c r="AO70" s="66">
        <f>SUM(AO67:AO69)</f>
        <v/>
      </c>
      <c r="AP70" s="66">
        <f>SUM(AP67:AP69)</f>
        <v/>
      </c>
      <c r="AQ70" s="66">
        <f>SUM(AQ67:AQ69)</f>
        <v/>
      </c>
      <c r="AR70" s="66">
        <f>SUM(AR67:AR69)</f>
        <v/>
      </c>
      <c r="AS70" s="66">
        <f>SUM(AS67:AS69)</f>
        <v/>
      </c>
      <c r="AT70" s="66">
        <f>SUM(AT67:AT69)</f>
        <v/>
      </c>
      <c r="AU70" s="66">
        <f>SUM(AU67:AU69)</f>
        <v/>
      </c>
      <c r="AV70" s="66">
        <f>SUM(AV67:AV69)</f>
        <v/>
      </c>
      <c r="AW70" s="66">
        <f>SUM(AW67:AW69)</f>
        <v/>
      </c>
      <c r="AX70" s="66">
        <f>SUM(AX67:AX69)</f>
        <v/>
      </c>
      <c r="AY70" s="66">
        <f>SUM(AY67:AY69)</f>
        <v/>
      </c>
      <c r="AZ70" s="66">
        <f>SUM(AZ67:AZ69)</f>
        <v/>
      </c>
      <c r="BA70" s="66">
        <f>SUM(BA67:BA69)</f>
        <v/>
      </c>
      <c r="BB70" s="66">
        <f>SUM(BB67:BB69)</f>
        <v/>
      </c>
      <c r="BC70" s="66">
        <f>SUM(BC67:BC69)</f>
        <v/>
      </c>
      <c r="BD70" s="66">
        <f>SUM(BD67:BD69)</f>
        <v/>
      </c>
      <c r="BE70" s="66">
        <f>SUM(BE67:BE69)</f>
        <v/>
      </c>
      <c r="BF70" s="66">
        <f>SUM(BF67:BF69)</f>
        <v/>
      </c>
      <c r="BG70" s="66">
        <f>SUM(BG67:BG69)</f>
        <v/>
      </c>
      <c r="BH70" s="66">
        <f>SUM(BH67:BH69)</f>
        <v/>
      </c>
      <c r="BI70" s="66">
        <f>SUM(BI67:BI69)</f>
        <v/>
      </c>
      <c r="BJ70" s="66">
        <f>SUM(BJ67:BJ69)</f>
        <v/>
      </c>
      <c r="BK70" s="66">
        <f>SUM(BK67:BK69)</f>
        <v/>
      </c>
    </row>
    <row r="71">
      <c r="B71" s="61" t="inlineStr">
        <is>
          <t xml:space="preserve">    Payables</t>
        </is>
      </c>
      <c r="C71" s="92" t="inlineStr">
        <is>
          <t>EUR</t>
        </is>
      </c>
      <c r="D71" s="64">
        <f>D49</f>
        <v/>
      </c>
      <c r="E71" s="64">
        <f>E49</f>
        <v/>
      </c>
      <c r="F71" s="64">
        <f>F49</f>
        <v/>
      </c>
      <c r="G71" s="64">
        <f>G49</f>
        <v/>
      </c>
      <c r="H71" s="64">
        <f>H49</f>
        <v/>
      </c>
      <c r="I71" s="64">
        <f>I49</f>
        <v/>
      </c>
      <c r="J71" s="64">
        <f>J49</f>
        <v/>
      </c>
      <c r="K71" s="64">
        <f>K49</f>
        <v/>
      </c>
      <c r="L71" s="64">
        <f>L49</f>
        <v/>
      </c>
      <c r="M71" s="64">
        <f>M49</f>
        <v/>
      </c>
      <c r="N71" s="64">
        <f>N49</f>
        <v/>
      </c>
      <c r="O71" s="64">
        <f>O49</f>
        <v/>
      </c>
      <c r="P71" s="64">
        <f>P49</f>
        <v/>
      </c>
      <c r="Q71" s="64">
        <f>Q49</f>
        <v/>
      </c>
      <c r="R71" s="64">
        <f>R49</f>
        <v/>
      </c>
      <c r="S71" s="64">
        <f>S49</f>
        <v/>
      </c>
      <c r="T71" s="64">
        <f>T49</f>
        <v/>
      </c>
      <c r="U71" s="64">
        <f>U49</f>
        <v/>
      </c>
      <c r="V71" s="64">
        <f>V49</f>
        <v/>
      </c>
      <c r="W71" s="64">
        <f>W49</f>
        <v/>
      </c>
      <c r="X71" s="64">
        <f>X49</f>
        <v/>
      </c>
      <c r="Y71" s="64">
        <f>Y49</f>
        <v/>
      </c>
      <c r="Z71" s="64">
        <f>Z49</f>
        <v/>
      </c>
      <c r="AA71" s="64">
        <f>AA49</f>
        <v/>
      </c>
      <c r="AB71" s="64">
        <f>AB49</f>
        <v/>
      </c>
      <c r="AC71" s="64">
        <f>AC49</f>
        <v/>
      </c>
      <c r="AD71" s="64">
        <f>AD49</f>
        <v/>
      </c>
      <c r="AE71" s="64">
        <f>AE49</f>
        <v/>
      </c>
      <c r="AF71" s="64">
        <f>AF49</f>
        <v/>
      </c>
      <c r="AG71" s="64">
        <f>AG49</f>
        <v/>
      </c>
      <c r="AH71" s="64">
        <f>AH49</f>
        <v/>
      </c>
      <c r="AI71" s="64">
        <f>AI49</f>
        <v/>
      </c>
      <c r="AJ71" s="64">
        <f>AJ49</f>
        <v/>
      </c>
      <c r="AK71" s="64">
        <f>AK49</f>
        <v/>
      </c>
      <c r="AL71" s="64">
        <f>AL49</f>
        <v/>
      </c>
      <c r="AM71" s="64">
        <f>AM49</f>
        <v/>
      </c>
      <c r="AN71" s="64">
        <f>AN49</f>
        <v/>
      </c>
      <c r="AO71" s="64">
        <f>AO49</f>
        <v/>
      </c>
      <c r="AP71" s="64">
        <f>AP49</f>
        <v/>
      </c>
      <c r="AQ71" s="64">
        <f>AQ49</f>
        <v/>
      </c>
      <c r="AR71" s="64">
        <f>AR49</f>
        <v/>
      </c>
      <c r="AS71" s="64">
        <f>AS49</f>
        <v/>
      </c>
      <c r="AT71" s="64">
        <f>AT49</f>
        <v/>
      </c>
      <c r="AU71" s="64">
        <f>AU49</f>
        <v/>
      </c>
      <c r="AV71" s="64">
        <f>AV49</f>
        <v/>
      </c>
      <c r="AW71" s="64">
        <f>AW49</f>
        <v/>
      </c>
      <c r="AX71" s="64">
        <f>AX49</f>
        <v/>
      </c>
      <c r="AY71" s="64">
        <f>AY49</f>
        <v/>
      </c>
      <c r="AZ71" s="64">
        <f>AZ49</f>
        <v/>
      </c>
      <c r="BA71" s="64">
        <f>BA49</f>
        <v/>
      </c>
      <c r="BB71" s="64">
        <f>BB49</f>
        <v/>
      </c>
      <c r="BC71" s="64">
        <f>BC49</f>
        <v/>
      </c>
      <c r="BD71" s="64">
        <f>BD49</f>
        <v/>
      </c>
      <c r="BE71" s="64">
        <f>BE49</f>
        <v/>
      </c>
      <c r="BF71" s="64">
        <f>BF49</f>
        <v/>
      </c>
      <c r="BG71" s="64">
        <f>BG49</f>
        <v/>
      </c>
      <c r="BH71" s="64">
        <f>BH49</f>
        <v/>
      </c>
      <c r="BI71" s="64">
        <f>BI49</f>
        <v/>
      </c>
      <c r="BJ71" s="64">
        <f>BJ49</f>
        <v/>
      </c>
      <c r="BK71" s="64">
        <f>BK49</f>
        <v/>
      </c>
    </row>
    <row r="72">
      <c r="B72" s="61" t="inlineStr">
        <is>
          <t xml:space="preserve">    Deferred revenue</t>
        </is>
      </c>
      <c r="C72" s="92" t="inlineStr">
        <is>
          <t>EUR</t>
        </is>
      </c>
      <c r="D72" s="64">
        <f>D50</f>
        <v/>
      </c>
      <c r="E72" s="64">
        <f>E50</f>
        <v/>
      </c>
      <c r="F72" s="64">
        <f>F50</f>
        <v/>
      </c>
      <c r="G72" s="64">
        <f>G50</f>
        <v/>
      </c>
      <c r="H72" s="64">
        <f>H50</f>
        <v/>
      </c>
      <c r="I72" s="64">
        <f>I50</f>
        <v/>
      </c>
      <c r="J72" s="64">
        <f>J50</f>
        <v/>
      </c>
      <c r="K72" s="64">
        <f>K50</f>
        <v/>
      </c>
      <c r="L72" s="64">
        <f>L50</f>
        <v/>
      </c>
      <c r="M72" s="64">
        <f>M50</f>
        <v/>
      </c>
      <c r="N72" s="64">
        <f>N50</f>
        <v/>
      </c>
      <c r="O72" s="64">
        <f>O50</f>
        <v/>
      </c>
      <c r="P72" s="64">
        <f>P50</f>
        <v/>
      </c>
      <c r="Q72" s="64">
        <f>Q50</f>
        <v/>
      </c>
      <c r="R72" s="64">
        <f>R50</f>
        <v/>
      </c>
      <c r="S72" s="64">
        <f>S50</f>
        <v/>
      </c>
      <c r="T72" s="64">
        <f>T50</f>
        <v/>
      </c>
      <c r="U72" s="64">
        <f>U50</f>
        <v/>
      </c>
      <c r="V72" s="64">
        <f>V50</f>
        <v/>
      </c>
      <c r="W72" s="64">
        <f>W50</f>
        <v/>
      </c>
      <c r="X72" s="64">
        <f>X50</f>
        <v/>
      </c>
      <c r="Y72" s="64">
        <f>Y50</f>
        <v/>
      </c>
      <c r="Z72" s="64">
        <f>Z50</f>
        <v/>
      </c>
      <c r="AA72" s="64">
        <f>AA50</f>
        <v/>
      </c>
      <c r="AB72" s="64">
        <f>AB50</f>
        <v/>
      </c>
      <c r="AC72" s="64">
        <f>AC50</f>
        <v/>
      </c>
      <c r="AD72" s="64">
        <f>AD50</f>
        <v/>
      </c>
      <c r="AE72" s="64">
        <f>AE50</f>
        <v/>
      </c>
      <c r="AF72" s="64">
        <f>AF50</f>
        <v/>
      </c>
      <c r="AG72" s="64">
        <f>AG50</f>
        <v/>
      </c>
      <c r="AH72" s="64">
        <f>AH50</f>
        <v/>
      </c>
      <c r="AI72" s="64">
        <f>AI50</f>
        <v/>
      </c>
      <c r="AJ72" s="64">
        <f>AJ50</f>
        <v/>
      </c>
      <c r="AK72" s="64">
        <f>AK50</f>
        <v/>
      </c>
      <c r="AL72" s="64">
        <f>AL50</f>
        <v/>
      </c>
      <c r="AM72" s="64">
        <f>AM50</f>
        <v/>
      </c>
      <c r="AN72" s="64">
        <f>AN50</f>
        <v/>
      </c>
      <c r="AO72" s="64">
        <f>AO50</f>
        <v/>
      </c>
      <c r="AP72" s="64">
        <f>AP50</f>
        <v/>
      </c>
      <c r="AQ72" s="64">
        <f>AQ50</f>
        <v/>
      </c>
      <c r="AR72" s="64">
        <f>AR50</f>
        <v/>
      </c>
      <c r="AS72" s="64">
        <f>AS50</f>
        <v/>
      </c>
      <c r="AT72" s="64">
        <f>AT50</f>
        <v/>
      </c>
      <c r="AU72" s="64">
        <f>AU50</f>
        <v/>
      </c>
      <c r="AV72" s="64">
        <f>AV50</f>
        <v/>
      </c>
      <c r="AW72" s="64">
        <f>AW50</f>
        <v/>
      </c>
      <c r="AX72" s="64">
        <f>AX50</f>
        <v/>
      </c>
      <c r="AY72" s="64">
        <f>AY50</f>
        <v/>
      </c>
      <c r="AZ72" s="64">
        <f>AZ50</f>
        <v/>
      </c>
      <c r="BA72" s="64">
        <f>BA50</f>
        <v/>
      </c>
      <c r="BB72" s="64">
        <f>BB50</f>
        <v/>
      </c>
      <c r="BC72" s="64">
        <f>BC50</f>
        <v/>
      </c>
      <c r="BD72" s="64">
        <f>BD50</f>
        <v/>
      </c>
      <c r="BE72" s="64">
        <f>BE50</f>
        <v/>
      </c>
      <c r="BF72" s="64">
        <f>BF50</f>
        <v/>
      </c>
      <c r="BG72" s="64">
        <f>BG50</f>
        <v/>
      </c>
      <c r="BH72" s="64">
        <f>BH50</f>
        <v/>
      </c>
      <c r="BI72" s="64">
        <f>BI50</f>
        <v/>
      </c>
      <c r="BJ72" s="64">
        <f>BJ50</f>
        <v/>
      </c>
      <c r="BK72" s="64">
        <f>BK50</f>
        <v/>
      </c>
    </row>
    <row r="73">
      <c r="B73" s="61" t="inlineStr">
        <is>
          <t xml:space="preserve">    Paid-in equity</t>
        </is>
      </c>
      <c r="C73" s="92" t="inlineStr">
        <is>
          <t>EUR</t>
        </is>
      </c>
      <c r="D73" s="64">
        <f>D63</f>
        <v/>
      </c>
      <c r="E73" s="64">
        <f>E63</f>
        <v/>
      </c>
      <c r="F73" s="64">
        <f>F63</f>
        <v/>
      </c>
      <c r="G73" s="64">
        <f>G63</f>
        <v/>
      </c>
      <c r="H73" s="64">
        <f>H63</f>
        <v/>
      </c>
      <c r="I73" s="64">
        <f>I63</f>
        <v/>
      </c>
      <c r="J73" s="64">
        <f>J63</f>
        <v/>
      </c>
      <c r="K73" s="64">
        <f>K63</f>
        <v/>
      </c>
      <c r="L73" s="64">
        <f>L63</f>
        <v/>
      </c>
      <c r="M73" s="64">
        <f>M63</f>
        <v/>
      </c>
      <c r="N73" s="64">
        <f>N63</f>
        <v/>
      </c>
      <c r="O73" s="64">
        <f>O63</f>
        <v/>
      </c>
      <c r="P73" s="64">
        <f>P63</f>
        <v/>
      </c>
      <c r="Q73" s="64">
        <f>Q63</f>
        <v/>
      </c>
      <c r="R73" s="64">
        <f>R63</f>
        <v/>
      </c>
      <c r="S73" s="64">
        <f>S63</f>
        <v/>
      </c>
      <c r="T73" s="64">
        <f>T63</f>
        <v/>
      </c>
      <c r="U73" s="64">
        <f>U63</f>
        <v/>
      </c>
      <c r="V73" s="64">
        <f>V63</f>
        <v/>
      </c>
      <c r="W73" s="64">
        <f>W63</f>
        <v/>
      </c>
      <c r="X73" s="64">
        <f>X63</f>
        <v/>
      </c>
      <c r="Y73" s="64">
        <f>Y63</f>
        <v/>
      </c>
      <c r="Z73" s="64">
        <f>Z63</f>
        <v/>
      </c>
      <c r="AA73" s="64">
        <f>AA63</f>
        <v/>
      </c>
      <c r="AB73" s="64">
        <f>AB63</f>
        <v/>
      </c>
      <c r="AC73" s="64">
        <f>AC63</f>
        <v/>
      </c>
      <c r="AD73" s="64">
        <f>AD63</f>
        <v/>
      </c>
      <c r="AE73" s="64">
        <f>AE63</f>
        <v/>
      </c>
      <c r="AF73" s="64">
        <f>AF63</f>
        <v/>
      </c>
      <c r="AG73" s="64">
        <f>AG63</f>
        <v/>
      </c>
      <c r="AH73" s="64">
        <f>AH63</f>
        <v/>
      </c>
      <c r="AI73" s="64">
        <f>AI63</f>
        <v/>
      </c>
      <c r="AJ73" s="64">
        <f>AJ63</f>
        <v/>
      </c>
      <c r="AK73" s="64">
        <f>AK63</f>
        <v/>
      </c>
      <c r="AL73" s="64">
        <f>AL63</f>
        <v/>
      </c>
      <c r="AM73" s="64">
        <f>AM63</f>
        <v/>
      </c>
      <c r="AN73" s="64">
        <f>AN63</f>
        <v/>
      </c>
      <c r="AO73" s="64">
        <f>AO63</f>
        <v/>
      </c>
      <c r="AP73" s="64">
        <f>AP63</f>
        <v/>
      </c>
      <c r="AQ73" s="64">
        <f>AQ63</f>
        <v/>
      </c>
      <c r="AR73" s="64">
        <f>AR63</f>
        <v/>
      </c>
      <c r="AS73" s="64">
        <f>AS63</f>
        <v/>
      </c>
      <c r="AT73" s="64">
        <f>AT63</f>
        <v/>
      </c>
      <c r="AU73" s="64">
        <f>AU63</f>
        <v/>
      </c>
      <c r="AV73" s="64">
        <f>AV63</f>
        <v/>
      </c>
      <c r="AW73" s="64">
        <f>AW63</f>
        <v/>
      </c>
      <c r="AX73" s="64">
        <f>AX63</f>
        <v/>
      </c>
      <c r="AY73" s="64">
        <f>AY63</f>
        <v/>
      </c>
      <c r="AZ73" s="64">
        <f>AZ63</f>
        <v/>
      </c>
      <c r="BA73" s="64">
        <f>BA63</f>
        <v/>
      </c>
      <c r="BB73" s="64">
        <f>BB63</f>
        <v/>
      </c>
      <c r="BC73" s="64">
        <f>BC63</f>
        <v/>
      </c>
      <c r="BD73" s="64">
        <f>BD63</f>
        <v/>
      </c>
      <c r="BE73" s="64">
        <f>BE63</f>
        <v/>
      </c>
      <c r="BF73" s="64">
        <f>BF63</f>
        <v/>
      </c>
      <c r="BG73" s="64">
        <f>BG63</f>
        <v/>
      </c>
      <c r="BH73" s="64">
        <f>BH63</f>
        <v/>
      </c>
      <c r="BI73" s="64">
        <f>BI63</f>
        <v/>
      </c>
      <c r="BJ73" s="64">
        <f>BJ63</f>
        <v/>
      </c>
      <c r="BK73" s="64">
        <f>BK63</f>
        <v/>
      </c>
    </row>
    <row r="74">
      <c r="B74" s="61" t="inlineStr">
        <is>
          <t xml:space="preserve">    Retained earnings</t>
        </is>
      </c>
      <c r="C74" s="92" t="inlineStr">
        <is>
          <t>EUR</t>
        </is>
      </c>
      <c r="D74" s="64">
        <f>D29</f>
        <v/>
      </c>
      <c r="E74" s="64">
        <f>D74+E29</f>
        <v/>
      </c>
      <c r="F74" s="64">
        <f>E74+F29</f>
        <v/>
      </c>
      <c r="G74" s="64">
        <f>F74+G29</f>
        <v/>
      </c>
      <c r="H74" s="64">
        <f>G74+H29</f>
        <v/>
      </c>
      <c r="I74" s="64">
        <f>H74+I29</f>
        <v/>
      </c>
      <c r="J74" s="64">
        <f>I74+J29</f>
        <v/>
      </c>
      <c r="K74" s="64">
        <f>J74+K29</f>
        <v/>
      </c>
      <c r="L74" s="64">
        <f>K74+L29</f>
        <v/>
      </c>
      <c r="M74" s="64">
        <f>L74+M29</f>
        <v/>
      </c>
      <c r="N74" s="64">
        <f>M74+N29</f>
        <v/>
      </c>
      <c r="O74" s="64">
        <f>N74+O29</f>
        <v/>
      </c>
      <c r="P74" s="64">
        <f>O74+P29</f>
        <v/>
      </c>
      <c r="Q74" s="64">
        <f>P74+Q29</f>
        <v/>
      </c>
      <c r="R74" s="64">
        <f>Q74+R29</f>
        <v/>
      </c>
      <c r="S74" s="64">
        <f>R74+S29</f>
        <v/>
      </c>
      <c r="T74" s="64">
        <f>S74+T29</f>
        <v/>
      </c>
      <c r="U74" s="64">
        <f>T74+U29</f>
        <v/>
      </c>
      <c r="V74" s="64">
        <f>U74+V29</f>
        <v/>
      </c>
      <c r="W74" s="64">
        <f>V74+W29</f>
        <v/>
      </c>
      <c r="X74" s="64">
        <f>W74+X29</f>
        <v/>
      </c>
      <c r="Y74" s="64">
        <f>X74+Y29</f>
        <v/>
      </c>
      <c r="Z74" s="64">
        <f>Y74+Z29</f>
        <v/>
      </c>
      <c r="AA74" s="64">
        <f>Z74+AA29</f>
        <v/>
      </c>
      <c r="AB74" s="64">
        <f>AA74+AB29</f>
        <v/>
      </c>
      <c r="AC74" s="64">
        <f>AB74+AC29</f>
        <v/>
      </c>
      <c r="AD74" s="64">
        <f>AC74+AD29</f>
        <v/>
      </c>
      <c r="AE74" s="64">
        <f>AD74+AE29</f>
        <v/>
      </c>
      <c r="AF74" s="64">
        <f>AE74+AF29</f>
        <v/>
      </c>
      <c r="AG74" s="64">
        <f>AF74+AG29</f>
        <v/>
      </c>
      <c r="AH74" s="64">
        <f>AG74+AH29</f>
        <v/>
      </c>
      <c r="AI74" s="64">
        <f>AH74+AI29</f>
        <v/>
      </c>
      <c r="AJ74" s="64">
        <f>AI74+AJ29</f>
        <v/>
      </c>
      <c r="AK74" s="64">
        <f>AJ74+AK29</f>
        <v/>
      </c>
      <c r="AL74" s="64">
        <f>AK74+AL29</f>
        <v/>
      </c>
      <c r="AM74" s="64">
        <f>AL74+AM29</f>
        <v/>
      </c>
      <c r="AN74" s="64">
        <f>AM74+AN29</f>
        <v/>
      </c>
      <c r="AO74" s="64">
        <f>AN74+AO29</f>
        <v/>
      </c>
      <c r="AP74" s="64">
        <f>AO74+AP29</f>
        <v/>
      </c>
      <c r="AQ74" s="64">
        <f>AP74+AQ29</f>
        <v/>
      </c>
      <c r="AR74" s="64">
        <f>AQ74+AR29</f>
        <v/>
      </c>
      <c r="AS74" s="64">
        <f>AR74+AS29</f>
        <v/>
      </c>
      <c r="AT74" s="64">
        <f>AS74+AT29</f>
        <v/>
      </c>
      <c r="AU74" s="64">
        <f>AT74+AU29</f>
        <v/>
      </c>
      <c r="AV74" s="64">
        <f>AU74+AV29</f>
        <v/>
      </c>
      <c r="AW74" s="64">
        <f>AV74+AW29</f>
        <v/>
      </c>
      <c r="AX74" s="64">
        <f>AW74+AX29</f>
        <v/>
      </c>
      <c r="AY74" s="64">
        <f>AX74+AY29</f>
        <v/>
      </c>
      <c r="AZ74" s="64">
        <f>AY74+AZ29</f>
        <v/>
      </c>
      <c r="BA74" s="64">
        <f>AZ74+BA29</f>
        <v/>
      </c>
      <c r="BB74" s="64">
        <f>BA74+BB29</f>
        <v/>
      </c>
      <c r="BC74" s="64">
        <f>BB74+BC29</f>
        <v/>
      </c>
      <c r="BD74" s="64">
        <f>BC74+BD29</f>
        <v/>
      </c>
      <c r="BE74" s="64">
        <f>BD74+BE29</f>
        <v/>
      </c>
      <c r="BF74" s="64">
        <f>BE74+BF29</f>
        <v/>
      </c>
      <c r="BG74" s="64">
        <f>BF74+BG29</f>
        <v/>
      </c>
      <c r="BH74" s="64">
        <f>BG74+BH29</f>
        <v/>
      </c>
      <c r="BI74" s="64">
        <f>BH74+BI29</f>
        <v/>
      </c>
      <c r="BJ74" s="64">
        <f>BI74+BJ29</f>
        <v/>
      </c>
      <c r="BK74" s="64">
        <f>BJ74+BK29</f>
        <v/>
      </c>
    </row>
    <row r="75">
      <c r="B75" s="65" t="inlineStr">
        <is>
          <t>Total liabilities &amp; equity</t>
        </is>
      </c>
      <c r="C75" s="92" t="inlineStr">
        <is>
          <t>EUR</t>
        </is>
      </c>
      <c r="D75" s="66">
        <f>SUM(D71:D74)</f>
        <v/>
      </c>
      <c r="E75" s="66">
        <f>SUM(E71:E74)</f>
        <v/>
      </c>
      <c r="F75" s="66">
        <f>SUM(F71:F74)</f>
        <v/>
      </c>
      <c r="G75" s="66">
        <f>SUM(G71:G74)</f>
        <v/>
      </c>
      <c r="H75" s="66">
        <f>SUM(H71:H74)</f>
        <v/>
      </c>
      <c r="I75" s="66">
        <f>SUM(I71:I74)</f>
        <v/>
      </c>
      <c r="J75" s="66">
        <f>SUM(J71:J74)</f>
        <v/>
      </c>
      <c r="K75" s="66">
        <f>SUM(K71:K74)</f>
        <v/>
      </c>
      <c r="L75" s="66">
        <f>SUM(L71:L74)</f>
        <v/>
      </c>
      <c r="M75" s="66">
        <f>SUM(M71:M74)</f>
        <v/>
      </c>
      <c r="N75" s="66">
        <f>SUM(N71:N74)</f>
        <v/>
      </c>
      <c r="O75" s="66">
        <f>SUM(O71:O74)</f>
        <v/>
      </c>
      <c r="P75" s="66">
        <f>SUM(P71:P74)</f>
        <v/>
      </c>
      <c r="Q75" s="66">
        <f>SUM(Q71:Q74)</f>
        <v/>
      </c>
      <c r="R75" s="66">
        <f>SUM(R71:R74)</f>
        <v/>
      </c>
      <c r="S75" s="66">
        <f>SUM(S71:S74)</f>
        <v/>
      </c>
      <c r="T75" s="66">
        <f>SUM(T71:T74)</f>
        <v/>
      </c>
      <c r="U75" s="66">
        <f>SUM(U71:U74)</f>
        <v/>
      </c>
      <c r="V75" s="66">
        <f>SUM(V71:V74)</f>
        <v/>
      </c>
      <c r="W75" s="66">
        <f>SUM(W71:W74)</f>
        <v/>
      </c>
      <c r="X75" s="66">
        <f>SUM(X71:X74)</f>
        <v/>
      </c>
      <c r="Y75" s="66">
        <f>SUM(Y71:Y74)</f>
        <v/>
      </c>
      <c r="Z75" s="66">
        <f>SUM(Z71:Z74)</f>
        <v/>
      </c>
      <c r="AA75" s="66">
        <f>SUM(AA71:AA74)</f>
        <v/>
      </c>
      <c r="AB75" s="66">
        <f>SUM(AB71:AB74)</f>
        <v/>
      </c>
      <c r="AC75" s="66">
        <f>SUM(AC71:AC74)</f>
        <v/>
      </c>
      <c r="AD75" s="66">
        <f>SUM(AD71:AD74)</f>
        <v/>
      </c>
      <c r="AE75" s="66">
        <f>SUM(AE71:AE74)</f>
        <v/>
      </c>
      <c r="AF75" s="66">
        <f>SUM(AF71:AF74)</f>
        <v/>
      </c>
      <c r="AG75" s="66">
        <f>SUM(AG71:AG74)</f>
        <v/>
      </c>
      <c r="AH75" s="66">
        <f>SUM(AH71:AH74)</f>
        <v/>
      </c>
      <c r="AI75" s="66">
        <f>SUM(AI71:AI74)</f>
        <v/>
      </c>
      <c r="AJ75" s="66">
        <f>SUM(AJ71:AJ74)</f>
        <v/>
      </c>
      <c r="AK75" s="66">
        <f>SUM(AK71:AK74)</f>
        <v/>
      </c>
      <c r="AL75" s="66">
        <f>SUM(AL71:AL74)</f>
        <v/>
      </c>
      <c r="AM75" s="66">
        <f>SUM(AM71:AM74)</f>
        <v/>
      </c>
      <c r="AN75" s="66">
        <f>SUM(AN71:AN74)</f>
        <v/>
      </c>
      <c r="AO75" s="66">
        <f>SUM(AO71:AO74)</f>
        <v/>
      </c>
      <c r="AP75" s="66">
        <f>SUM(AP71:AP74)</f>
        <v/>
      </c>
      <c r="AQ75" s="66">
        <f>SUM(AQ71:AQ74)</f>
        <v/>
      </c>
      <c r="AR75" s="66">
        <f>SUM(AR71:AR74)</f>
        <v/>
      </c>
      <c r="AS75" s="66">
        <f>SUM(AS71:AS74)</f>
        <v/>
      </c>
      <c r="AT75" s="66">
        <f>SUM(AT71:AT74)</f>
        <v/>
      </c>
      <c r="AU75" s="66">
        <f>SUM(AU71:AU74)</f>
        <v/>
      </c>
      <c r="AV75" s="66">
        <f>SUM(AV71:AV74)</f>
        <v/>
      </c>
      <c r="AW75" s="66">
        <f>SUM(AW71:AW74)</f>
        <v/>
      </c>
      <c r="AX75" s="66">
        <f>SUM(AX71:AX74)</f>
        <v/>
      </c>
      <c r="AY75" s="66">
        <f>SUM(AY71:AY74)</f>
        <v/>
      </c>
      <c r="AZ75" s="66">
        <f>SUM(AZ71:AZ74)</f>
        <v/>
      </c>
      <c r="BA75" s="66">
        <f>SUM(BA71:BA74)</f>
        <v/>
      </c>
      <c r="BB75" s="66">
        <f>SUM(BB71:BB74)</f>
        <v/>
      </c>
      <c r="BC75" s="66">
        <f>SUM(BC71:BC74)</f>
        <v/>
      </c>
      <c r="BD75" s="66">
        <f>SUM(BD71:BD74)</f>
        <v/>
      </c>
      <c r="BE75" s="66">
        <f>SUM(BE71:BE74)</f>
        <v/>
      </c>
      <c r="BF75" s="66">
        <f>SUM(BF71:BF74)</f>
        <v/>
      </c>
      <c r="BG75" s="66">
        <f>SUM(BG71:BG74)</f>
        <v/>
      </c>
      <c r="BH75" s="66">
        <f>SUM(BH71:BH74)</f>
        <v/>
      </c>
      <c r="BI75" s="66">
        <f>SUM(BI71:BI74)</f>
        <v/>
      </c>
      <c r="BJ75" s="66">
        <f>SUM(BJ71:BJ74)</f>
        <v/>
      </c>
      <c r="BK75" s="66">
        <f>SUM(BK71:BK74)</f>
        <v/>
      </c>
    </row>
    <row r="76">
      <c r="B76" s="65" t="inlineStr">
        <is>
          <t>Balance check (must be nil)</t>
        </is>
      </c>
      <c r="C76" s="92" t="inlineStr">
        <is>
          <t>EUR</t>
        </is>
      </c>
      <c r="D76" s="66">
        <f>D70-D75</f>
        <v/>
      </c>
      <c r="E76" s="66">
        <f>E70-E75</f>
        <v/>
      </c>
      <c r="F76" s="66">
        <f>F70-F75</f>
        <v/>
      </c>
      <c r="G76" s="66">
        <f>G70-G75</f>
        <v/>
      </c>
      <c r="H76" s="66">
        <f>H70-H75</f>
        <v/>
      </c>
      <c r="I76" s="66">
        <f>I70-I75</f>
        <v/>
      </c>
      <c r="J76" s="66">
        <f>J70-J75</f>
        <v/>
      </c>
      <c r="K76" s="66">
        <f>K70-K75</f>
        <v/>
      </c>
      <c r="L76" s="66">
        <f>L70-L75</f>
        <v/>
      </c>
      <c r="M76" s="66">
        <f>M70-M75</f>
        <v/>
      </c>
      <c r="N76" s="66">
        <f>N70-N75</f>
        <v/>
      </c>
      <c r="O76" s="66">
        <f>O70-O75</f>
        <v/>
      </c>
      <c r="P76" s="66">
        <f>P70-P75</f>
        <v/>
      </c>
      <c r="Q76" s="66">
        <f>Q70-Q75</f>
        <v/>
      </c>
      <c r="R76" s="66">
        <f>R70-R75</f>
        <v/>
      </c>
      <c r="S76" s="66">
        <f>S70-S75</f>
        <v/>
      </c>
      <c r="T76" s="66">
        <f>T70-T75</f>
        <v/>
      </c>
      <c r="U76" s="66">
        <f>U70-U75</f>
        <v/>
      </c>
      <c r="V76" s="66">
        <f>V70-V75</f>
        <v/>
      </c>
      <c r="W76" s="66">
        <f>W70-W75</f>
        <v/>
      </c>
      <c r="X76" s="66">
        <f>X70-X75</f>
        <v/>
      </c>
      <c r="Y76" s="66">
        <f>Y70-Y75</f>
        <v/>
      </c>
      <c r="Z76" s="66">
        <f>Z70-Z75</f>
        <v/>
      </c>
      <c r="AA76" s="66">
        <f>AA70-AA75</f>
        <v/>
      </c>
      <c r="AB76" s="66">
        <f>AB70-AB75</f>
        <v/>
      </c>
      <c r="AC76" s="66">
        <f>AC70-AC75</f>
        <v/>
      </c>
      <c r="AD76" s="66">
        <f>AD70-AD75</f>
        <v/>
      </c>
      <c r="AE76" s="66">
        <f>AE70-AE75</f>
        <v/>
      </c>
      <c r="AF76" s="66">
        <f>AF70-AF75</f>
        <v/>
      </c>
      <c r="AG76" s="66">
        <f>AG70-AG75</f>
        <v/>
      </c>
      <c r="AH76" s="66">
        <f>AH70-AH75</f>
        <v/>
      </c>
      <c r="AI76" s="66">
        <f>AI70-AI75</f>
        <v/>
      </c>
      <c r="AJ76" s="66">
        <f>AJ70-AJ75</f>
        <v/>
      </c>
      <c r="AK76" s="66">
        <f>AK70-AK75</f>
        <v/>
      </c>
      <c r="AL76" s="66">
        <f>AL70-AL75</f>
        <v/>
      </c>
      <c r="AM76" s="66">
        <f>AM70-AM75</f>
        <v/>
      </c>
      <c r="AN76" s="66">
        <f>AN70-AN75</f>
        <v/>
      </c>
      <c r="AO76" s="66">
        <f>AO70-AO75</f>
        <v/>
      </c>
      <c r="AP76" s="66">
        <f>AP70-AP75</f>
        <v/>
      </c>
      <c r="AQ76" s="66">
        <f>AQ70-AQ75</f>
        <v/>
      </c>
      <c r="AR76" s="66">
        <f>AR70-AR75</f>
        <v/>
      </c>
      <c r="AS76" s="66">
        <f>AS70-AS75</f>
        <v/>
      </c>
      <c r="AT76" s="66">
        <f>AT70-AT75</f>
        <v/>
      </c>
      <c r="AU76" s="66">
        <f>AU70-AU75</f>
        <v/>
      </c>
      <c r="AV76" s="66">
        <f>AV70-AV75</f>
        <v/>
      </c>
      <c r="AW76" s="66">
        <f>AW70-AW75</f>
        <v/>
      </c>
      <c r="AX76" s="66">
        <f>AX70-AX75</f>
        <v/>
      </c>
      <c r="AY76" s="66">
        <f>AY70-AY75</f>
        <v/>
      </c>
      <c r="AZ76" s="66">
        <f>AZ70-AZ75</f>
        <v/>
      </c>
      <c r="BA76" s="66">
        <f>BA70-BA75</f>
        <v/>
      </c>
      <c r="BB76" s="66">
        <f>BB70-BB75</f>
        <v/>
      </c>
      <c r="BC76" s="66">
        <f>BC70-BC75</f>
        <v/>
      </c>
      <c r="BD76" s="66">
        <f>BD70-BD75</f>
        <v/>
      </c>
      <c r="BE76" s="66">
        <f>BE70-BE75</f>
        <v/>
      </c>
      <c r="BF76" s="66">
        <f>BF70-BF75</f>
        <v/>
      </c>
      <c r="BG76" s="66">
        <f>BG70-BG75</f>
        <v/>
      </c>
      <c r="BH76" s="66">
        <f>BH70-BH75</f>
        <v/>
      </c>
      <c r="BI76" s="66">
        <f>BI70-BI75</f>
        <v/>
      </c>
      <c r="BJ76" s="66">
        <f>BJ70-BJ75</f>
        <v/>
      </c>
      <c r="BK76" s="66">
        <f>BK70-BK75</f>
        <v/>
      </c>
    </row>
    <row r="78">
      <c r="B78" s="23" t="inlineStr">
        <is>
          <t>BREAK-EVEN HELPERS  (first month from which the measure stays positive)</t>
        </is>
      </c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  <c r="AL78" s="82" t="n"/>
      <c r="AM78" s="82" t="n"/>
      <c r="AN78" s="82" t="n"/>
      <c r="AO78" s="82" t="n"/>
      <c r="AP78" s="82" t="n"/>
      <c r="AQ78" s="82" t="n"/>
      <c r="AR78" s="82" t="n"/>
      <c r="AS78" s="82" t="n"/>
      <c r="AT78" s="82" t="n"/>
      <c r="AU78" s="82" t="n"/>
      <c r="AV78" s="82" t="n"/>
      <c r="AW78" s="82" t="n"/>
      <c r="AX78" s="82" t="n"/>
      <c r="AY78" s="82" t="n"/>
      <c r="AZ78" s="82" t="n"/>
      <c r="BA78" s="82" t="n"/>
      <c r="BB78" s="82" t="n"/>
      <c r="BC78" s="82" t="n"/>
      <c r="BD78" s="82" t="n"/>
      <c r="BE78" s="82" t="n"/>
      <c r="BF78" s="82" t="n"/>
      <c r="BG78" s="82" t="n"/>
      <c r="BH78" s="82" t="n"/>
      <c r="BI78" s="82" t="n"/>
      <c r="BJ78" s="82" t="n"/>
    </row>
    <row r="79">
      <c r="B79" s="61" t="inlineStr">
        <is>
          <t>EBITDA turns and stays positive</t>
        </is>
      </c>
      <c r="C79" s="92" t="inlineStr">
        <is>
          <t>mo</t>
        </is>
      </c>
      <c r="D79" s="63">
        <f>IF(AND(D23&gt;0,MIN(D23:$BK$23)&gt;0),D4,9999)</f>
        <v/>
      </c>
      <c r="E79" s="63">
        <f>IF(AND(E23&gt;0,MIN(E23:$BK$23)&gt;0),E4,9999)</f>
        <v/>
      </c>
      <c r="F79" s="63">
        <f>IF(AND(F23&gt;0,MIN(F23:$BK$23)&gt;0),F4,9999)</f>
        <v/>
      </c>
      <c r="G79" s="63">
        <f>IF(AND(G23&gt;0,MIN(G23:$BK$23)&gt;0),G4,9999)</f>
        <v/>
      </c>
      <c r="H79" s="63">
        <f>IF(AND(H23&gt;0,MIN(H23:$BK$23)&gt;0),H4,9999)</f>
        <v/>
      </c>
      <c r="I79" s="63">
        <f>IF(AND(I23&gt;0,MIN(I23:$BK$23)&gt;0),I4,9999)</f>
        <v/>
      </c>
      <c r="J79" s="63">
        <f>IF(AND(J23&gt;0,MIN(J23:$BK$23)&gt;0),J4,9999)</f>
        <v/>
      </c>
      <c r="K79" s="63">
        <f>IF(AND(K23&gt;0,MIN(K23:$BK$23)&gt;0),K4,9999)</f>
        <v/>
      </c>
      <c r="L79" s="63">
        <f>IF(AND(L23&gt;0,MIN(L23:$BK$23)&gt;0),L4,9999)</f>
        <v/>
      </c>
      <c r="M79" s="63">
        <f>IF(AND(M23&gt;0,MIN(M23:$BK$23)&gt;0),M4,9999)</f>
        <v/>
      </c>
      <c r="N79" s="63">
        <f>IF(AND(N23&gt;0,MIN(N23:$BK$23)&gt;0),N4,9999)</f>
        <v/>
      </c>
      <c r="O79" s="63">
        <f>IF(AND(O23&gt;0,MIN(O23:$BK$23)&gt;0),O4,9999)</f>
        <v/>
      </c>
      <c r="P79" s="63">
        <f>IF(AND(P23&gt;0,MIN(P23:$BK$23)&gt;0),P4,9999)</f>
        <v/>
      </c>
      <c r="Q79" s="63">
        <f>IF(AND(Q23&gt;0,MIN(Q23:$BK$23)&gt;0),Q4,9999)</f>
        <v/>
      </c>
      <c r="R79" s="63">
        <f>IF(AND(R23&gt;0,MIN(R23:$BK$23)&gt;0),R4,9999)</f>
        <v/>
      </c>
      <c r="S79" s="63">
        <f>IF(AND(S23&gt;0,MIN(S23:$BK$23)&gt;0),S4,9999)</f>
        <v/>
      </c>
      <c r="T79" s="63">
        <f>IF(AND(T23&gt;0,MIN(T23:$BK$23)&gt;0),T4,9999)</f>
        <v/>
      </c>
      <c r="U79" s="63">
        <f>IF(AND(U23&gt;0,MIN(U23:$BK$23)&gt;0),U4,9999)</f>
        <v/>
      </c>
      <c r="V79" s="63">
        <f>IF(AND(V23&gt;0,MIN(V23:$BK$23)&gt;0),V4,9999)</f>
        <v/>
      </c>
      <c r="W79" s="63">
        <f>IF(AND(W23&gt;0,MIN(W23:$BK$23)&gt;0),W4,9999)</f>
        <v/>
      </c>
      <c r="X79" s="63">
        <f>IF(AND(X23&gt;0,MIN(X23:$BK$23)&gt;0),X4,9999)</f>
        <v/>
      </c>
      <c r="Y79" s="63">
        <f>IF(AND(Y23&gt;0,MIN(Y23:$BK$23)&gt;0),Y4,9999)</f>
        <v/>
      </c>
      <c r="Z79" s="63">
        <f>IF(AND(Z23&gt;0,MIN(Z23:$BK$23)&gt;0),Z4,9999)</f>
        <v/>
      </c>
      <c r="AA79" s="63">
        <f>IF(AND(AA23&gt;0,MIN(AA23:$BK$23)&gt;0),AA4,9999)</f>
        <v/>
      </c>
      <c r="AB79" s="63">
        <f>IF(AND(AB23&gt;0,MIN(AB23:$BK$23)&gt;0),AB4,9999)</f>
        <v/>
      </c>
      <c r="AC79" s="63">
        <f>IF(AND(AC23&gt;0,MIN(AC23:$BK$23)&gt;0),AC4,9999)</f>
        <v/>
      </c>
      <c r="AD79" s="63">
        <f>IF(AND(AD23&gt;0,MIN(AD23:$BK$23)&gt;0),AD4,9999)</f>
        <v/>
      </c>
      <c r="AE79" s="63">
        <f>IF(AND(AE23&gt;0,MIN(AE23:$BK$23)&gt;0),AE4,9999)</f>
        <v/>
      </c>
      <c r="AF79" s="63">
        <f>IF(AND(AF23&gt;0,MIN(AF23:$BK$23)&gt;0),AF4,9999)</f>
        <v/>
      </c>
      <c r="AG79" s="63">
        <f>IF(AND(AG23&gt;0,MIN(AG23:$BK$23)&gt;0),AG4,9999)</f>
        <v/>
      </c>
      <c r="AH79" s="63">
        <f>IF(AND(AH23&gt;0,MIN(AH23:$BK$23)&gt;0),AH4,9999)</f>
        <v/>
      </c>
      <c r="AI79" s="63">
        <f>IF(AND(AI23&gt;0,MIN(AI23:$BK$23)&gt;0),AI4,9999)</f>
        <v/>
      </c>
      <c r="AJ79" s="63">
        <f>IF(AND(AJ23&gt;0,MIN(AJ23:$BK$23)&gt;0),AJ4,9999)</f>
        <v/>
      </c>
      <c r="AK79" s="63">
        <f>IF(AND(AK23&gt;0,MIN(AK23:$BK$23)&gt;0),AK4,9999)</f>
        <v/>
      </c>
      <c r="AL79" s="63">
        <f>IF(AND(AL23&gt;0,MIN(AL23:$BK$23)&gt;0),AL4,9999)</f>
        <v/>
      </c>
      <c r="AM79" s="63">
        <f>IF(AND(AM23&gt;0,MIN(AM23:$BK$23)&gt;0),AM4,9999)</f>
        <v/>
      </c>
      <c r="AN79" s="63">
        <f>IF(AND(AN23&gt;0,MIN(AN23:$BK$23)&gt;0),AN4,9999)</f>
        <v/>
      </c>
      <c r="AO79" s="63">
        <f>IF(AND(AO23&gt;0,MIN(AO23:$BK$23)&gt;0),AO4,9999)</f>
        <v/>
      </c>
      <c r="AP79" s="63">
        <f>IF(AND(AP23&gt;0,MIN(AP23:$BK$23)&gt;0),AP4,9999)</f>
        <v/>
      </c>
      <c r="AQ79" s="63">
        <f>IF(AND(AQ23&gt;0,MIN(AQ23:$BK$23)&gt;0),AQ4,9999)</f>
        <v/>
      </c>
      <c r="AR79" s="63">
        <f>IF(AND(AR23&gt;0,MIN(AR23:$BK$23)&gt;0),AR4,9999)</f>
        <v/>
      </c>
      <c r="AS79" s="63">
        <f>IF(AND(AS23&gt;0,MIN(AS23:$BK$23)&gt;0),AS4,9999)</f>
        <v/>
      </c>
      <c r="AT79" s="63">
        <f>IF(AND(AT23&gt;0,MIN(AT23:$BK$23)&gt;0),AT4,9999)</f>
        <v/>
      </c>
      <c r="AU79" s="63">
        <f>IF(AND(AU23&gt;0,MIN(AU23:$BK$23)&gt;0),AU4,9999)</f>
        <v/>
      </c>
      <c r="AV79" s="63">
        <f>IF(AND(AV23&gt;0,MIN(AV23:$BK$23)&gt;0),AV4,9999)</f>
        <v/>
      </c>
      <c r="AW79" s="63">
        <f>IF(AND(AW23&gt;0,MIN(AW23:$BK$23)&gt;0),AW4,9999)</f>
        <v/>
      </c>
      <c r="AX79" s="63">
        <f>IF(AND(AX23&gt;0,MIN(AX23:$BK$23)&gt;0),AX4,9999)</f>
        <v/>
      </c>
      <c r="AY79" s="63">
        <f>IF(AND(AY23&gt;0,MIN(AY23:$BK$23)&gt;0),AY4,9999)</f>
        <v/>
      </c>
      <c r="AZ79" s="63">
        <f>IF(AND(AZ23&gt;0,MIN(AZ23:$BK$23)&gt;0),AZ4,9999)</f>
        <v/>
      </c>
      <c r="BA79" s="63">
        <f>IF(AND(BA23&gt;0,MIN(BA23:$BK$23)&gt;0),BA4,9999)</f>
        <v/>
      </c>
      <c r="BB79" s="63">
        <f>IF(AND(BB23&gt;0,MIN(BB23:$BK$23)&gt;0),BB4,9999)</f>
        <v/>
      </c>
      <c r="BC79" s="63">
        <f>IF(AND(BC23&gt;0,MIN(BC23:$BK$23)&gt;0),BC4,9999)</f>
        <v/>
      </c>
      <c r="BD79" s="63">
        <f>IF(AND(BD23&gt;0,MIN(BD23:$BK$23)&gt;0),BD4,9999)</f>
        <v/>
      </c>
      <c r="BE79" s="63">
        <f>IF(AND(BE23&gt;0,MIN(BE23:$BK$23)&gt;0),BE4,9999)</f>
        <v/>
      </c>
      <c r="BF79" s="63">
        <f>IF(AND(BF23&gt;0,MIN(BF23:$BK$23)&gt;0),BF4,9999)</f>
        <v/>
      </c>
      <c r="BG79" s="63">
        <f>IF(AND(BG23&gt;0,MIN(BG23:$BK$23)&gt;0),BG4,9999)</f>
        <v/>
      </c>
      <c r="BH79" s="63">
        <f>IF(AND(BH23&gt;0,MIN(BH23:$BK$23)&gt;0),BH4,9999)</f>
        <v/>
      </c>
      <c r="BI79" s="63">
        <f>IF(AND(BI23&gt;0,MIN(BI23:$BK$23)&gt;0),BI4,9999)</f>
        <v/>
      </c>
      <c r="BJ79" s="63">
        <f>IF(AND(BJ23&gt;0,MIN(BJ23:$BK$23)&gt;0),BJ4,9999)</f>
        <v/>
      </c>
      <c r="BK79" s="63">
        <f>IF(AND(BK23&gt;0,MIN(BK23:$BK$23)&gt;0),BK4,9999)</f>
        <v/>
      </c>
    </row>
    <row r="80">
      <c r="B80" s="61" t="inlineStr">
        <is>
          <t>Free cash flow turns and stays positive</t>
        </is>
      </c>
      <c r="C80" s="92" t="inlineStr">
        <is>
          <t>mo</t>
        </is>
      </c>
      <c r="D80" s="63">
        <f>IF(AND(D59&gt;0,MIN(D59:$BK$59)&gt;0),D4,9999)</f>
        <v/>
      </c>
      <c r="E80" s="63">
        <f>IF(AND(E59&gt;0,MIN(E59:$BK$59)&gt;0),E4,9999)</f>
        <v/>
      </c>
      <c r="F80" s="63">
        <f>IF(AND(F59&gt;0,MIN(F59:$BK$59)&gt;0),F4,9999)</f>
        <v/>
      </c>
      <c r="G80" s="63">
        <f>IF(AND(G59&gt;0,MIN(G59:$BK$59)&gt;0),G4,9999)</f>
        <v/>
      </c>
      <c r="H80" s="63">
        <f>IF(AND(H59&gt;0,MIN(H59:$BK$59)&gt;0),H4,9999)</f>
        <v/>
      </c>
      <c r="I80" s="63">
        <f>IF(AND(I59&gt;0,MIN(I59:$BK$59)&gt;0),I4,9999)</f>
        <v/>
      </c>
      <c r="J80" s="63">
        <f>IF(AND(J59&gt;0,MIN(J59:$BK$59)&gt;0),J4,9999)</f>
        <v/>
      </c>
      <c r="K80" s="63">
        <f>IF(AND(K59&gt;0,MIN(K59:$BK$59)&gt;0),K4,9999)</f>
        <v/>
      </c>
      <c r="L80" s="63">
        <f>IF(AND(L59&gt;0,MIN(L59:$BK$59)&gt;0),L4,9999)</f>
        <v/>
      </c>
      <c r="M80" s="63">
        <f>IF(AND(M59&gt;0,MIN(M59:$BK$59)&gt;0),M4,9999)</f>
        <v/>
      </c>
      <c r="N80" s="63">
        <f>IF(AND(N59&gt;0,MIN(N59:$BK$59)&gt;0),N4,9999)</f>
        <v/>
      </c>
      <c r="O80" s="63">
        <f>IF(AND(O59&gt;0,MIN(O59:$BK$59)&gt;0),O4,9999)</f>
        <v/>
      </c>
      <c r="P80" s="63">
        <f>IF(AND(P59&gt;0,MIN(P59:$BK$59)&gt;0),P4,9999)</f>
        <v/>
      </c>
      <c r="Q80" s="63">
        <f>IF(AND(Q59&gt;0,MIN(Q59:$BK$59)&gt;0),Q4,9999)</f>
        <v/>
      </c>
      <c r="R80" s="63">
        <f>IF(AND(R59&gt;0,MIN(R59:$BK$59)&gt;0),R4,9999)</f>
        <v/>
      </c>
      <c r="S80" s="63">
        <f>IF(AND(S59&gt;0,MIN(S59:$BK$59)&gt;0),S4,9999)</f>
        <v/>
      </c>
      <c r="T80" s="63">
        <f>IF(AND(T59&gt;0,MIN(T59:$BK$59)&gt;0),T4,9999)</f>
        <v/>
      </c>
      <c r="U80" s="63">
        <f>IF(AND(U59&gt;0,MIN(U59:$BK$59)&gt;0),U4,9999)</f>
        <v/>
      </c>
      <c r="V80" s="63">
        <f>IF(AND(V59&gt;0,MIN(V59:$BK$59)&gt;0),V4,9999)</f>
        <v/>
      </c>
      <c r="W80" s="63">
        <f>IF(AND(W59&gt;0,MIN(W59:$BK$59)&gt;0),W4,9999)</f>
        <v/>
      </c>
      <c r="X80" s="63">
        <f>IF(AND(X59&gt;0,MIN(X59:$BK$59)&gt;0),X4,9999)</f>
        <v/>
      </c>
      <c r="Y80" s="63">
        <f>IF(AND(Y59&gt;0,MIN(Y59:$BK$59)&gt;0),Y4,9999)</f>
        <v/>
      </c>
      <c r="Z80" s="63">
        <f>IF(AND(Z59&gt;0,MIN(Z59:$BK$59)&gt;0),Z4,9999)</f>
        <v/>
      </c>
      <c r="AA80" s="63">
        <f>IF(AND(AA59&gt;0,MIN(AA59:$BK$59)&gt;0),AA4,9999)</f>
        <v/>
      </c>
      <c r="AB80" s="63">
        <f>IF(AND(AB59&gt;0,MIN(AB59:$BK$59)&gt;0),AB4,9999)</f>
        <v/>
      </c>
      <c r="AC80" s="63">
        <f>IF(AND(AC59&gt;0,MIN(AC59:$BK$59)&gt;0),AC4,9999)</f>
        <v/>
      </c>
      <c r="AD80" s="63">
        <f>IF(AND(AD59&gt;0,MIN(AD59:$BK$59)&gt;0),AD4,9999)</f>
        <v/>
      </c>
      <c r="AE80" s="63">
        <f>IF(AND(AE59&gt;0,MIN(AE59:$BK$59)&gt;0),AE4,9999)</f>
        <v/>
      </c>
      <c r="AF80" s="63">
        <f>IF(AND(AF59&gt;0,MIN(AF59:$BK$59)&gt;0),AF4,9999)</f>
        <v/>
      </c>
      <c r="AG80" s="63">
        <f>IF(AND(AG59&gt;0,MIN(AG59:$BK$59)&gt;0),AG4,9999)</f>
        <v/>
      </c>
      <c r="AH80" s="63">
        <f>IF(AND(AH59&gt;0,MIN(AH59:$BK$59)&gt;0),AH4,9999)</f>
        <v/>
      </c>
      <c r="AI80" s="63">
        <f>IF(AND(AI59&gt;0,MIN(AI59:$BK$59)&gt;0),AI4,9999)</f>
        <v/>
      </c>
      <c r="AJ80" s="63">
        <f>IF(AND(AJ59&gt;0,MIN(AJ59:$BK$59)&gt;0),AJ4,9999)</f>
        <v/>
      </c>
      <c r="AK80" s="63">
        <f>IF(AND(AK59&gt;0,MIN(AK59:$BK$59)&gt;0),AK4,9999)</f>
        <v/>
      </c>
      <c r="AL80" s="63">
        <f>IF(AND(AL59&gt;0,MIN(AL59:$BK$59)&gt;0),AL4,9999)</f>
        <v/>
      </c>
      <c r="AM80" s="63">
        <f>IF(AND(AM59&gt;0,MIN(AM59:$BK$59)&gt;0),AM4,9999)</f>
        <v/>
      </c>
      <c r="AN80" s="63">
        <f>IF(AND(AN59&gt;0,MIN(AN59:$BK$59)&gt;0),AN4,9999)</f>
        <v/>
      </c>
      <c r="AO80" s="63">
        <f>IF(AND(AO59&gt;0,MIN(AO59:$BK$59)&gt;0),AO4,9999)</f>
        <v/>
      </c>
      <c r="AP80" s="63">
        <f>IF(AND(AP59&gt;0,MIN(AP59:$BK$59)&gt;0),AP4,9999)</f>
        <v/>
      </c>
      <c r="AQ80" s="63">
        <f>IF(AND(AQ59&gt;0,MIN(AQ59:$BK$59)&gt;0),AQ4,9999)</f>
        <v/>
      </c>
      <c r="AR80" s="63">
        <f>IF(AND(AR59&gt;0,MIN(AR59:$BK$59)&gt;0),AR4,9999)</f>
        <v/>
      </c>
      <c r="AS80" s="63">
        <f>IF(AND(AS59&gt;0,MIN(AS59:$BK$59)&gt;0),AS4,9999)</f>
        <v/>
      </c>
      <c r="AT80" s="63">
        <f>IF(AND(AT59&gt;0,MIN(AT59:$BK$59)&gt;0),AT4,9999)</f>
        <v/>
      </c>
      <c r="AU80" s="63">
        <f>IF(AND(AU59&gt;0,MIN(AU59:$BK$59)&gt;0),AU4,9999)</f>
        <v/>
      </c>
      <c r="AV80" s="63">
        <f>IF(AND(AV59&gt;0,MIN(AV59:$BK$59)&gt;0),AV4,9999)</f>
        <v/>
      </c>
      <c r="AW80" s="63">
        <f>IF(AND(AW59&gt;0,MIN(AW59:$BK$59)&gt;0),AW4,9999)</f>
        <v/>
      </c>
      <c r="AX80" s="63">
        <f>IF(AND(AX59&gt;0,MIN(AX59:$BK$59)&gt;0),AX4,9999)</f>
        <v/>
      </c>
      <c r="AY80" s="63">
        <f>IF(AND(AY59&gt;0,MIN(AY59:$BK$59)&gt;0),AY4,9999)</f>
        <v/>
      </c>
      <c r="AZ80" s="63">
        <f>IF(AND(AZ59&gt;0,MIN(AZ59:$BK$59)&gt;0),AZ4,9999)</f>
        <v/>
      </c>
      <c r="BA80" s="63">
        <f>IF(AND(BA59&gt;0,MIN(BA59:$BK$59)&gt;0),BA4,9999)</f>
        <v/>
      </c>
      <c r="BB80" s="63">
        <f>IF(AND(BB59&gt;0,MIN(BB59:$BK$59)&gt;0),BB4,9999)</f>
        <v/>
      </c>
      <c r="BC80" s="63">
        <f>IF(AND(BC59&gt;0,MIN(BC59:$BK$59)&gt;0),BC4,9999)</f>
        <v/>
      </c>
      <c r="BD80" s="63">
        <f>IF(AND(BD59&gt;0,MIN(BD59:$BK$59)&gt;0),BD4,9999)</f>
        <v/>
      </c>
      <c r="BE80" s="63">
        <f>IF(AND(BE59&gt;0,MIN(BE59:$BK$59)&gt;0),BE4,9999)</f>
        <v/>
      </c>
      <c r="BF80" s="63">
        <f>IF(AND(BF59&gt;0,MIN(BF59:$BK$59)&gt;0),BF4,9999)</f>
        <v/>
      </c>
      <c r="BG80" s="63">
        <f>IF(AND(BG59&gt;0,MIN(BG59:$BK$59)&gt;0),BG4,9999)</f>
        <v/>
      </c>
      <c r="BH80" s="63">
        <f>IF(AND(BH59&gt;0,MIN(BH59:$BK$59)&gt;0),BH4,9999)</f>
        <v/>
      </c>
      <c r="BI80" s="63">
        <f>IF(AND(BI59&gt;0,MIN(BI59:$BK$59)&gt;0),BI4,9999)</f>
        <v/>
      </c>
      <c r="BJ80" s="63">
        <f>IF(AND(BJ59&gt;0,MIN(BJ59:$BK$59)&gt;0),BJ4,9999)</f>
        <v/>
      </c>
      <c r="BK80" s="63">
        <f>IF(AND(BK59&gt;0,MIN(BK59:$BK$59)&gt;0),BK4,9999)</f>
        <v/>
      </c>
    </row>
    <row r="81">
      <c r="B81" s="61" t="inlineStr">
        <is>
          <t>Net income turns and stays positive</t>
        </is>
      </c>
      <c r="C81" s="92" t="inlineStr">
        <is>
          <t>mo</t>
        </is>
      </c>
      <c r="D81" s="63">
        <f>IF(AND(D29&gt;0,MIN(D29:$BK$29)&gt;0),D4,9999)</f>
        <v/>
      </c>
      <c r="E81" s="63">
        <f>IF(AND(E29&gt;0,MIN(E29:$BK$29)&gt;0),E4,9999)</f>
        <v/>
      </c>
      <c r="F81" s="63">
        <f>IF(AND(F29&gt;0,MIN(F29:$BK$29)&gt;0),F4,9999)</f>
        <v/>
      </c>
      <c r="G81" s="63">
        <f>IF(AND(G29&gt;0,MIN(G29:$BK$29)&gt;0),G4,9999)</f>
        <v/>
      </c>
      <c r="H81" s="63">
        <f>IF(AND(H29&gt;0,MIN(H29:$BK$29)&gt;0),H4,9999)</f>
        <v/>
      </c>
      <c r="I81" s="63">
        <f>IF(AND(I29&gt;0,MIN(I29:$BK$29)&gt;0),I4,9999)</f>
        <v/>
      </c>
      <c r="J81" s="63">
        <f>IF(AND(J29&gt;0,MIN(J29:$BK$29)&gt;0),J4,9999)</f>
        <v/>
      </c>
      <c r="K81" s="63">
        <f>IF(AND(K29&gt;0,MIN(K29:$BK$29)&gt;0),K4,9999)</f>
        <v/>
      </c>
      <c r="L81" s="63">
        <f>IF(AND(L29&gt;0,MIN(L29:$BK$29)&gt;0),L4,9999)</f>
        <v/>
      </c>
      <c r="M81" s="63">
        <f>IF(AND(M29&gt;0,MIN(M29:$BK$29)&gt;0),M4,9999)</f>
        <v/>
      </c>
      <c r="N81" s="63">
        <f>IF(AND(N29&gt;0,MIN(N29:$BK$29)&gt;0),N4,9999)</f>
        <v/>
      </c>
      <c r="O81" s="63">
        <f>IF(AND(O29&gt;0,MIN(O29:$BK$29)&gt;0),O4,9999)</f>
        <v/>
      </c>
      <c r="P81" s="63">
        <f>IF(AND(P29&gt;0,MIN(P29:$BK$29)&gt;0),P4,9999)</f>
        <v/>
      </c>
      <c r="Q81" s="63">
        <f>IF(AND(Q29&gt;0,MIN(Q29:$BK$29)&gt;0),Q4,9999)</f>
        <v/>
      </c>
      <c r="R81" s="63">
        <f>IF(AND(R29&gt;0,MIN(R29:$BK$29)&gt;0),R4,9999)</f>
        <v/>
      </c>
      <c r="S81" s="63">
        <f>IF(AND(S29&gt;0,MIN(S29:$BK$29)&gt;0),S4,9999)</f>
        <v/>
      </c>
      <c r="T81" s="63">
        <f>IF(AND(T29&gt;0,MIN(T29:$BK$29)&gt;0),T4,9999)</f>
        <v/>
      </c>
      <c r="U81" s="63">
        <f>IF(AND(U29&gt;0,MIN(U29:$BK$29)&gt;0),U4,9999)</f>
        <v/>
      </c>
      <c r="V81" s="63">
        <f>IF(AND(V29&gt;0,MIN(V29:$BK$29)&gt;0),V4,9999)</f>
        <v/>
      </c>
      <c r="W81" s="63">
        <f>IF(AND(W29&gt;0,MIN(W29:$BK$29)&gt;0),W4,9999)</f>
        <v/>
      </c>
      <c r="X81" s="63">
        <f>IF(AND(X29&gt;0,MIN(X29:$BK$29)&gt;0),X4,9999)</f>
        <v/>
      </c>
      <c r="Y81" s="63">
        <f>IF(AND(Y29&gt;0,MIN(Y29:$BK$29)&gt;0),Y4,9999)</f>
        <v/>
      </c>
      <c r="Z81" s="63">
        <f>IF(AND(Z29&gt;0,MIN(Z29:$BK$29)&gt;0),Z4,9999)</f>
        <v/>
      </c>
      <c r="AA81" s="63">
        <f>IF(AND(AA29&gt;0,MIN(AA29:$BK$29)&gt;0),AA4,9999)</f>
        <v/>
      </c>
      <c r="AB81" s="63">
        <f>IF(AND(AB29&gt;0,MIN(AB29:$BK$29)&gt;0),AB4,9999)</f>
        <v/>
      </c>
      <c r="AC81" s="63">
        <f>IF(AND(AC29&gt;0,MIN(AC29:$BK$29)&gt;0),AC4,9999)</f>
        <v/>
      </c>
      <c r="AD81" s="63">
        <f>IF(AND(AD29&gt;0,MIN(AD29:$BK$29)&gt;0),AD4,9999)</f>
        <v/>
      </c>
      <c r="AE81" s="63">
        <f>IF(AND(AE29&gt;0,MIN(AE29:$BK$29)&gt;0),AE4,9999)</f>
        <v/>
      </c>
      <c r="AF81" s="63">
        <f>IF(AND(AF29&gt;0,MIN(AF29:$BK$29)&gt;0),AF4,9999)</f>
        <v/>
      </c>
      <c r="AG81" s="63">
        <f>IF(AND(AG29&gt;0,MIN(AG29:$BK$29)&gt;0),AG4,9999)</f>
        <v/>
      </c>
      <c r="AH81" s="63">
        <f>IF(AND(AH29&gt;0,MIN(AH29:$BK$29)&gt;0),AH4,9999)</f>
        <v/>
      </c>
      <c r="AI81" s="63">
        <f>IF(AND(AI29&gt;0,MIN(AI29:$BK$29)&gt;0),AI4,9999)</f>
        <v/>
      </c>
      <c r="AJ81" s="63">
        <f>IF(AND(AJ29&gt;0,MIN(AJ29:$BK$29)&gt;0),AJ4,9999)</f>
        <v/>
      </c>
      <c r="AK81" s="63">
        <f>IF(AND(AK29&gt;0,MIN(AK29:$BK$29)&gt;0),AK4,9999)</f>
        <v/>
      </c>
      <c r="AL81" s="63">
        <f>IF(AND(AL29&gt;0,MIN(AL29:$BK$29)&gt;0),AL4,9999)</f>
        <v/>
      </c>
      <c r="AM81" s="63">
        <f>IF(AND(AM29&gt;0,MIN(AM29:$BK$29)&gt;0),AM4,9999)</f>
        <v/>
      </c>
      <c r="AN81" s="63">
        <f>IF(AND(AN29&gt;0,MIN(AN29:$BK$29)&gt;0),AN4,9999)</f>
        <v/>
      </c>
      <c r="AO81" s="63">
        <f>IF(AND(AO29&gt;0,MIN(AO29:$BK$29)&gt;0),AO4,9999)</f>
        <v/>
      </c>
      <c r="AP81" s="63">
        <f>IF(AND(AP29&gt;0,MIN(AP29:$BK$29)&gt;0),AP4,9999)</f>
        <v/>
      </c>
      <c r="AQ81" s="63">
        <f>IF(AND(AQ29&gt;0,MIN(AQ29:$BK$29)&gt;0),AQ4,9999)</f>
        <v/>
      </c>
      <c r="AR81" s="63">
        <f>IF(AND(AR29&gt;0,MIN(AR29:$BK$29)&gt;0),AR4,9999)</f>
        <v/>
      </c>
      <c r="AS81" s="63">
        <f>IF(AND(AS29&gt;0,MIN(AS29:$BK$29)&gt;0),AS4,9999)</f>
        <v/>
      </c>
      <c r="AT81" s="63">
        <f>IF(AND(AT29&gt;0,MIN(AT29:$BK$29)&gt;0),AT4,9999)</f>
        <v/>
      </c>
      <c r="AU81" s="63">
        <f>IF(AND(AU29&gt;0,MIN(AU29:$BK$29)&gt;0),AU4,9999)</f>
        <v/>
      </c>
      <c r="AV81" s="63">
        <f>IF(AND(AV29&gt;0,MIN(AV29:$BK$29)&gt;0),AV4,9999)</f>
        <v/>
      </c>
      <c r="AW81" s="63">
        <f>IF(AND(AW29&gt;0,MIN(AW29:$BK$29)&gt;0),AW4,9999)</f>
        <v/>
      </c>
      <c r="AX81" s="63">
        <f>IF(AND(AX29&gt;0,MIN(AX29:$BK$29)&gt;0),AX4,9999)</f>
        <v/>
      </c>
      <c r="AY81" s="63">
        <f>IF(AND(AY29&gt;0,MIN(AY29:$BK$29)&gt;0),AY4,9999)</f>
        <v/>
      </c>
      <c r="AZ81" s="63">
        <f>IF(AND(AZ29&gt;0,MIN(AZ29:$BK$29)&gt;0),AZ4,9999)</f>
        <v/>
      </c>
      <c r="BA81" s="63">
        <f>IF(AND(BA29&gt;0,MIN(BA29:$BK$29)&gt;0),BA4,9999)</f>
        <v/>
      </c>
      <c r="BB81" s="63">
        <f>IF(AND(BB29&gt;0,MIN(BB29:$BK$29)&gt;0),BB4,9999)</f>
        <v/>
      </c>
      <c r="BC81" s="63">
        <f>IF(AND(BC29&gt;0,MIN(BC29:$BK$29)&gt;0),BC4,9999)</f>
        <v/>
      </c>
      <c r="BD81" s="63">
        <f>IF(AND(BD29&gt;0,MIN(BD29:$BK$29)&gt;0),BD4,9999)</f>
        <v/>
      </c>
      <c r="BE81" s="63">
        <f>IF(AND(BE29&gt;0,MIN(BE29:$BK$29)&gt;0),BE4,9999)</f>
        <v/>
      </c>
      <c r="BF81" s="63">
        <f>IF(AND(BF29&gt;0,MIN(BF29:$BK$29)&gt;0),BF4,9999)</f>
        <v/>
      </c>
      <c r="BG81" s="63">
        <f>IF(AND(BG29&gt;0,MIN(BG29:$BK$29)&gt;0),BG4,9999)</f>
        <v/>
      </c>
      <c r="BH81" s="63">
        <f>IF(AND(BH29&gt;0,MIN(BH29:$BK$29)&gt;0),BH4,9999)</f>
        <v/>
      </c>
      <c r="BI81" s="63">
        <f>IF(AND(BI29&gt;0,MIN(BI29:$BK$29)&gt;0),BI4,9999)</f>
        <v/>
      </c>
      <c r="BJ81" s="63">
        <f>IF(AND(BJ29&gt;0,MIN(BJ29:$BK$29)&gt;0),BJ4,9999)</f>
        <v/>
      </c>
      <c r="BK81" s="63">
        <f>IF(AND(BK29&gt;0,MIN(BK29:$BK$29)&gt;0),BK4,9999)</f>
        <v/>
      </c>
    </row>
    <row r="82">
      <c r="B82" s="61" t="inlineStr">
        <is>
          <t>Cumulative free cash flow turns positive</t>
        </is>
      </c>
      <c r="C82" s="92" t="inlineStr">
        <is>
          <t>mo</t>
        </is>
      </c>
      <c r="D82" s="63">
        <f>IF(D60&gt;0,D4,9999)</f>
        <v/>
      </c>
      <c r="E82" s="63">
        <f>IF(E60&gt;0,E4,9999)</f>
        <v/>
      </c>
      <c r="F82" s="63">
        <f>IF(F60&gt;0,F4,9999)</f>
        <v/>
      </c>
      <c r="G82" s="63">
        <f>IF(G60&gt;0,G4,9999)</f>
        <v/>
      </c>
      <c r="H82" s="63">
        <f>IF(H60&gt;0,H4,9999)</f>
        <v/>
      </c>
      <c r="I82" s="63">
        <f>IF(I60&gt;0,I4,9999)</f>
        <v/>
      </c>
      <c r="J82" s="63">
        <f>IF(J60&gt;0,J4,9999)</f>
        <v/>
      </c>
      <c r="K82" s="63">
        <f>IF(K60&gt;0,K4,9999)</f>
        <v/>
      </c>
      <c r="L82" s="63">
        <f>IF(L60&gt;0,L4,9999)</f>
        <v/>
      </c>
      <c r="M82" s="63">
        <f>IF(M60&gt;0,M4,9999)</f>
        <v/>
      </c>
      <c r="N82" s="63">
        <f>IF(N60&gt;0,N4,9999)</f>
        <v/>
      </c>
      <c r="O82" s="63">
        <f>IF(O60&gt;0,O4,9999)</f>
        <v/>
      </c>
      <c r="P82" s="63">
        <f>IF(P60&gt;0,P4,9999)</f>
        <v/>
      </c>
      <c r="Q82" s="63">
        <f>IF(Q60&gt;0,Q4,9999)</f>
        <v/>
      </c>
      <c r="R82" s="63">
        <f>IF(R60&gt;0,R4,9999)</f>
        <v/>
      </c>
      <c r="S82" s="63">
        <f>IF(S60&gt;0,S4,9999)</f>
        <v/>
      </c>
      <c r="T82" s="63">
        <f>IF(T60&gt;0,T4,9999)</f>
        <v/>
      </c>
      <c r="U82" s="63">
        <f>IF(U60&gt;0,U4,9999)</f>
        <v/>
      </c>
      <c r="V82" s="63">
        <f>IF(V60&gt;0,V4,9999)</f>
        <v/>
      </c>
      <c r="W82" s="63">
        <f>IF(W60&gt;0,W4,9999)</f>
        <v/>
      </c>
      <c r="X82" s="63">
        <f>IF(X60&gt;0,X4,9999)</f>
        <v/>
      </c>
      <c r="Y82" s="63">
        <f>IF(Y60&gt;0,Y4,9999)</f>
        <v/>
      </c>
      <c r="Z82" s="63">
        <f>IF(Z60&gt;0,Z4,9999)</f>
        <v/>
      </c>
      <c r="AA82" s="63">
        <f>IF(AA60&gt;0,AA4,9999)</f>
        <v/>
      </c>
      <c r="AB82" s="63">
        <f>IF(AB60&gt;0,AB4,9999)</f>
        <v/>
      </c>
      <c r="AC82" s="63">
        <f>IF(AC60&gt;0,AC4,9999)</f>
        <v/>
      </c>
      <c r="AD82" s="63">
        <f>IF(AD60&gt;0,AD4,9999)</f>
        <v/>
      </c>
      <c r="AE82" s="63">
        <f>IF(AE60&gt;0,AE4,9999)</f>
        <v/>
      </c>
      <c r="AF82" s="63">
        <f>IF(AF60&gt;0,AF4,9999)</f>
        <v/>
      </c>
      <c r="AG82" s="63">
        <f>IF(AG60&gt;0,AG4,9999)</f>
        <v/>
      </c>
      <c r="AH82" s="63">
        <f>IF(AH60&gt;0,AH4,9999)</f>
        <v/>
      </c>
      <c r="AI82" s="63">
        <f>IF(AI60&gt;0,AI4,9999)</f>
        <v/>
      </c>
      <c r="AJ82" s="63">
        <f>IF(AJ60&gt;0,AJ4,9999)</f>
        <v/>
      </c>
      <c r="AK82" s="63">
        <f>IF(AK60&gt;0,AK4,9999)</f>
        <v/>
      </c>
      <c r="AL82" s="63">
        <f>IF(AL60&gt;0,AL4,9999)</f>
        <v/>
      </c>
      <c r="AM82" s="63">
        <f>IF(AM60&gt;0,AM4,9999)</f>
        <v/>
      </c>
      <c r="AN82" s="63">
        <f>IF(AN60&gt;0,AN4,9999)</f>
        <v/>
      </c>
      <c r="AO82" s="63">
        <f>IF(AO60&gt;0,AO4,9999)</f>
        <v/>
      </c>
      <c r="AP82" s="63">
        <f>IF(AP60&gt;0,AP4,9999)</f>
        <v/>
      </c>
      <c r="AQ82" s="63">
        <f>IF(AQ60&gt;0,AQ4,9999)</f>
        <v/>
      </c>
      <c r="AR82" s="63">
        <f>IF(AR60&gt;0,AR4,9999)</f>
        <v/>
      </c>
      <c r="AS82" s="63">
        <f>IF(AS60&gt;0,AS4,9999)</f>
        <v/>
      </c>
      <c r="AT82" s="63">
        <f>IF(AT60&gt;0,AT4,9999)</f>
        <v/>
      </c>
      <c r="AU82" s="63">
        <f>IF(AU60&gt;0,AU4,9999)</f>
        <v/>
      </c>
      <c r="AV82" s="63">
        <f>IF(AV60&gt;0,AV4,9999)</f>
        <v/>
      </c>
      <c r="AW82" s="63">
        <f>IF(AW60&gt;0,AW4,9999)</f>
        <v/>
      </c>
      <c r="AX82" s="63">
        <f>IF(AX60&gt;0,AX4,9999)</f>
        <v/>
      </c>
      <c r="AY82" s="63">
        <f>IF(AY60&gt;0,AY4,9999)</f>
        <v/>
      </c>
      <c r="AZ82" s="63">
        <f>IF(AZ60&gt;0,AZ4,9999)</f>
        <v/>
      </c>
      <c r="BA82" s="63">
        <f>IF(BA60&gt;0,BA4,9999)</f>
        <v/>
      </c>
      <c r="BB82" s="63">
        <f>IF(BB60&gt;0,BB4,9999)</f>
        <v/>
      </c>
      <c r="BC82" s="63">
        <f>IF(BC60&gt;0,BC4,9999)</f>
        <v/>
      </c>
      <c r="BD82" s="63">
        <f>IF(BD60&gt;0,BD4,9999)</f>
        <v/>
      </c>
      <c r="BE82" s="63">
        <f>IF(BE60&gt;0,BE4,9999)</f>
        <v/>
      </c>
      <c r="BF82" s="63">
        <f>IF(BF60&gt;0,BF4,9999)</f>
        <v/>
      </c>
      <c r="BG82" s="63">
        <f>IF(BG60&gt;0,BG4,9999)</f>
        <v/>
      </c>
      <c r="BH82" s="63">
        <f>IF(BH60&gt;0,BH4,9999)</f>
        <v/>
      </c>
      <c r="BI82" s="63">
        <f>IF(BI60&gt;0,BI4,9999)</f>
        <v/>
      </c>
      <c r="BJ82" s="63">
        <f>IF(BJ60&gt;0,BJ4,9999)</f>
        <v/>
      </c>
      <c r="BK82" s="63">
        <f>IF(BK60&gt;0,BK4,9999)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2">
      <c r="B2" s="7" t="inlineStr">
        <is>
          <t>ANNUAL FINANCIAL STATEMENTS  —  YEARS 1 TO 5</t>
        </is>
      </c>
    </row>
    <row r="3">
      <c r="B3" s="8" t="inlineStr">
        <is>
          <t>All figures in euros. Year 1 includes the product build months, so it carries only part of a year of trading.</t>
        </is>
      </c>
    </row>
    <row r="5">
      <c r="B5" s="91" t="inlineStr"/>
      <c r="C5" s="83" t="inlineStr">
        <is>
          <t>Unit</t>
        </is>
      </c>
      <c r="D5" s="93" t="inlineStr">
        <is>
          <t>Year 1</t>
        </is>
      </c>
      <c r="E5" s="93" t="inlineStr">
        <is>
          <t>Year 2</t>
        </is>
      </c>
      <c r="F5" s="93" t="inlineStr">
        <is>
          <t>Year 3</t>
        </is>
      </c>
      <c r="G5" s="93" t="inlineStr">
        <is>
          <t>Year 4</t>
        </is>
      </c>
      <c r="H5" s="93" t="inlineStr">
        <is>
          <t>Year 5</t>
        </is>
      </c>
      <c r="I5" s="93" t="inlineStr">
        <is>
          <t>5-year total</t>
        </is>
      </c>
    </row>
    <row r="7">
      <c r="B7" s="22" t="inlineStr">
        <is>
          <t>PROFIT &amp; LOSS</t>
        </is>
      </c>
      <c r="C7" s="22" t="n"/>
      <c r="D7" s="22" t="n"/>
      <c r="E7" s="22" t="n"/>
      <c r="F7" s="22" t="n"/>
      <c r="G7" s="22" t="n"/>
      <c r="H7" s="22" t="n"/>
      <c r="I7" s="22" t="n"/>
    </row>
    <row r="8">
      <c r="B8" s="94" t="inlineStr">
        <is>
          <t xml:space="preserve">    Net revenue — Portugal</t>
        </is>
      </c>
      <c r="C8" s="92" t="inlineStr">
        <is>
          <t>EUR</t>
        </is>
      </c>
      <c r="D8" s="95">
        <f>SUM('P&amp;L Monthly'!D8:O8)</f>
        <v/>
      </c>
      <c r="E8" s="95">
        <f>SUM('P&amp;L Monthly'!P8:AA8)</f>
        <v/>
      </c>
      <c r="F8" s="95">
        <f>SUM('P&amp;L Monthly'!AB8:AM8)</f>
        <v/>
      </c>
      <c r="G8" s="95">
        <f>SUM('P&amp;L Monthly'!AN8:AY8)</f>
        <v/>
      </c>
      <c r="H8" s="95">
        <f>SUM('P&amp;L Monthly'!AZ8:BK8)</f>
        <v/>
      </c>
      <c r="I8" s="96">
        <f>SUM(D8:H8)</f>
        <v/>
      </c>
    </row>
    <row r="9">
      <c r="B9" s="94" t="inlineStr">
        <is>
          <t xml:space="preserve">    Net revenue — Spain</t>
        </is>
      </c>
      <c r="C9" s="92" t="inlineStr">
        <is>
          <t>EUR</t>
        </is>
      </c>
      <c r="D9" s="95">
        <f>SUM('P&amp;L Monthly'!D9:O9)</f>
        <v/>
      </c>
      <c r="E9" s="95">
        <f>SUM('P&amp;L Monthly'!P9:AA9)</f>
        <v/>
      </c>
      <c r="F9" s="95">
        <f>SUM('P&amp;L Monthly'!AB9:AM9)</f>
        <v/>
      </c>
      <c r="G9" s="95">
        <f>SUM('P&amp;L Monthly'!AN9:AY9)</f>
        <v/>
      </c>
      <c r="H9" s="95">
        <f>SUM('P&amp;L Monthly'!AZ9:BK9)</f>
        <v/>
      </c>
      <c r="I9" s="96">
        <f>SUM(D9:H9)</f>
        <v/>
      </c>
    </row>
    <row r="10">
      <c r="B10" s="97" t="inlineStr">
        <is>
          <t>Total net revenue</t>
        </is>
      </c>
      <c r="C10" s="98" t="inlineStr">
        <is>
          <t>EUR</t>
        </is>
      </c>
      <c r="D10" s="99">
        <f>SUM('P&amp;L Monthly'!D10:O10)</f>
        <v/>
      </c>
      <c r="E10" s="99">
        <f>SUM('P&amp;L Monthly'!P10:AA10)</f>
        <v/>
      </c>
      <c r="F10" s="99">
        <f>SUM('P&amp;L Monthly'!AB10:AM10)</f>
        <v/>
      </c>
      <c r="G10" s="99">
        <f>SUM('P&amp;L Monthly'!AN10:AY10)</f>
        <v/>
      </c>
      <c r="H10" s="99">
        <f>SUM('P&amp;L Monthly'!AZ10:BK10)</f>
        <v/>
      </c>
      <c r="I10" s="100">
        <f>SUM(D10:H10)</f>
        <v/>
      </c>
    </row>
    <row r="11">
      <c r="B11" s="94" t="inlineStr">
        <is>
          <t>Cost of service</t>
        </is>
      </c>
      <c r="C11" s="92" t="inlineStr">
        <is>
          <t>EUR</t>
        </is>
      </c>
      <c r="D11" s="95">
        <f>SUM('P&amp;L Monthly'!D13:O13)</f>
        <v/>
      </c>
      <c r="E11" s="95">
        <f>SUM('P&amp;L Monthly'!P13:AA13)</f>
        <v/>
      </c>
      <c r="F11" s="95">
        <f>SUM('P&amp;L Monthly'!AB13:AM13)</f>
        <v/>
      </c>
      <c r="G11" s="95">
        <f>SUM('P&amp;L Monthly'!AN13:AY13)</f>
        <v/>
      </c>
      <c r="H11" s="95">
        <f>SUM('P&amp;L Monthly'!AZ13:BK13)</f>
        <v/>
      </c>
      <c r="I11" s="96">
        <f>SUM(D11:H11)</f>
        <v/>
      </c>
    </row>
    <row r="12">
      <c r="B12" s="4" t="inlineStr">
        <is>
          <t>Gross profit</t>
        </is>
      </c>
      <c r="C12" s="92" t="inlineStr">
        <is>
          <t>EUR</t>
        </is>
      </c>
      <c r="D12" s="101">
        <f>SUM('P&amp;L Monthly'!D14:O14)</f>
        <v/>
      </c>
      <c r="E12" s="101">
        <f>SUM('P&amp;L Monthly'!P14:AA14)</f>
        <v/>
      </c>
      <c r="F12" s="101">
        <f>SUM('P&amp;L Monthly'!AB14:AM14)</f>
        <v/>
      </c>
      <c r="G12" s="101">
        <f>SUM('P&amp;L Monthly'!AN14:AY14)</f>
        <v/>
      </c>
      <c r="H12" s="101">
        <f>SUM('P&amp;L Monthly'!AZ14:BK14)</f>
        <v/>
      </c>
      <c r="I12" s="96">
        <f>SUM(D12:H12)</f>
        <v/>
      </c>
    </row>
    <row r="13">
      <c r="B13" s="94" t="inlineStr">
        <is>
          <t>Gross margin</t>
        </is>
      </c>
      <c r="C13" s="92" t="inlineStr">
        <is>
          <t>%</t>
        </is>
      </c>
      <c r="D13" s="102">
        <f>IFERROR(D12/D10,0)</f>
        <v/>
      </c>
      <c r="E13" s="102">
        <f>IFERROR(E12/E10,0)</f>
        <v/>
      </c>
      <c r="F13" s="102">
        <f>IFERROR(F12/F10,0)</f>
        <v/>
      </c>
      <c r="G13" s="102">
        <f>IFERROR(G12/G10,0)</f>
        <v/>
      </c>
      <c r="H13" s="102">
        <f>IFERROR(H12/H10,0)</f>
        <v/>
      </c>
      <c r="I13" s="103">
        <f>IFERROR(I12/I10,0)</f>
        <v/>
      </c>
    </row>
    <row r="14">
      <c r="B14" s="94" t="inlineStr">
        <is>
          <t xml:space="preserve">    Customer acquisition (COCA)</t>
        </is>
      </c>
      <c r="C14" s="92" t="inlineStr">
        <is>
          <t>EUR</t>
        </is>
      </c>
      <c r="D14" s="95">
        <f>SUM('P&amp;L Monthly'!D17:O17)</f>
        <v/>
      </c>
      <c r="E14" s="95">
        <f>SUM('P&amp;L Monthly'!P17:AA17)</f>
        <v/>
      </c>
      <c r="F14" s="95">
        <f>SUM('P&amp;L Monthly'!AB17:AM17)</f>
        <v/>
      </c>
      <c r="G14" s="95">
        <f>SUM('P&amp;L Monthly'!AN17:AY17)</f>
        <v/>
      </c>
      <c r="H14" s="95">
        <f>SUM('P&amp;L Monthly'!AZ17:BK17)</f>
        <v/>
      </c>
      <c r="I14" s="96">
        <f>SUM(D14:H14)</f>
        <v/>
      </c>
    </row>
    <row r="15">
      <c r="B15" s="94" t="inlineStr">
        <is>
          <t xml:space="preserve">    Brand marketing &amp; content</t>
        </is>
      </c>
      <c r="C15" s="92" t="inlineStr">
        <is>
          <t>EUR</t>
        </is>
      </c>
      <c r="D15" s="95">
        <f>SUM('P&amp;L Monthly'!D18:O18)</f>
        <v/>
      </c>
      <c r="E15" s="95">
        <f>SUM('P&amp;L Monthly'!P18:AA18)</f>
        <v/>
      </c>
      <c r="F15" s="95">
        <f>SUM('P&amp;L Monthly'!AB18:AM18)</f>
        <v/>
      </c>
      <c r="G15" s="95">
        <f>SUM('P&amp;L Monthly'!AN18:AY18)</f>
        <v/>
      </c>
      <c r="H15" s="95">
        <f>SUM('P&amp;L Monthly'!AZ18:BK18)</f>
        <v/>
      </c>
      <c r="I15" s="96">
        <f>SUM(D15:H15)</f>
        <v/>
      </c>
    </row>
    <row r="16">
      <c r="B16" s="94" t="inlineStr">
        <is>
          <t xml:space="preserve">    Personnel</t>
        </is>
      </c>
      <c r="C16" s="92" t="inlineStr">
        <is>
          <t>EUR</t>
        </is>
      </c>
      <c r="D16" s="95">
        <f>SUM('P&amp;L Monthly'!D19:O19)</f>
        <v/>
      </c>
      <c r="E16" s="95">
        <f>SUM('P&amp;L Monthly'!P19:AA19)</f>
        <v/>
      </c>
      <c r="F16" s="95">
        <f>SUM('P&amp;L Monthly'!AB19:AM19)</f>
        <v/>
      </c>
      <c r="G16" s="95">
        <f>SUM('P&amp;L Monthly'!AN19:AY19)</f>
        <v/>
      </c>
      <c r="H16" s="95">
        <f>SUM('P&amp;L Monthly'!AZ19:BK19)</f>
        <v/>
      </c>
      <c r="I16" s="96">
        <f>SUM(D16:H16)</f>
        <v/>
      </c>
    </row>
    <row r="17">
      <c r="B17" s="94" t="inlineStr">
        <is>
          <t xml:space="preserve">    Cloud &amp; tools</t>
        </is>
      </c>
      <c r="C17" s="92" t="inlineStr">
        <is>
          <t>EUR</t>
        </is>
      </c>
      <c r="D17" s="95">
        <f>SUM('P&amp;L Monthly'!D20:O20)</f>
        <v/>
      </c>
      <c r="E17" s="95">
        <f>SUM('P&amp;L Monthly'!P20:AA20)</f>
        <v/>
      </c>
      <c r="F17" s="95">
        <f>SUM('P&amp;L Monthly'!AB20:AM20)</f>
        <v/>
      </c>
      <c r="G17" s="95">
        <f>SUM('P&amp;L Monthly'!AN20:AY20)</f>
        <v/>
      </c>
      <c r="H17" s="95">
        <f>SUM('P&amp;L Monthly'!AZ20:BK20)</f>
        <v/>
      </c>
      <c r="I17" s="96">
        <f>SUM(D17:H17)</f>
        <v/>
      </c>
    </row>
    <row r="18">
      <c r="B18" s="94" t="inlineStr">
        <is>
          <t xml:space="preserve">    General &amp; administrative</t>
        </is>
      </c>
      <c r="C18" s="92" t="inlineStr">
        <is>
          <t>EUR</t>
        </is>
      </c>
      <c r="D18" s="95">
        <f>SUM('P&amp;L Monthly'!D21:O21)</f>
        <v/>
      </c>
      <c r="E18" s="95">
        <f>SUM('P&amp;L Monthly'!P21:AA21)</f>
        <v/>
      </c>
      <c r="F18" s="95">
        <f>SUM('P&amp;L Monthly'!AB21:AM21)</f>
        <v/>
      </c>
      <c r="G18" s="95">
        <f>SUM('P&amp;L Monthly'!AN21:AY21)</f>
        <v/>
      </c>
      <c r="H18" s="95">
        <f>SUM('P&amp;L Monthly'!AZ21:BK21)</f>
        <v/>
      </c>
      <c r="I18" s="96">
        <f>SUM(D18:H18)</f>
        <v/>
      </c>
    </row>
    <row r="19">
      <c r="B19" s="4" t="inlineStr">
        <is>
          <t>Total operating expenses</t>
        </is>
      </c>
      <c r="C19" s="92" t="inlineStr">
        <is>
          <t>EUR</t>
        </is>
      </c>
      <c r="D19" s="101">
        <f>SUM('P&amp;L Monthly'!D22:O22)</f>
        <v/>
      </c>
      <c r="E19" s="101">
        <f>SUM('P&amp;L Monthly'!P22:AA22)</f>
        <v/>
      </c>
      <c r="F19" s="101">
        <f>SUM('P&amp;L Monthly'!AB22:AM22)</f>
        <v/>
      </c>
      <c r="G19" s="101">
        <f>SUM('P&amp;L Monthly'!AN22:AY22)</f>
        <v/>
      </c>
      <c r="H19" s="101">
        <f>SUM('P&amp;L Monthly'!AZ22:BK22)</f>
        <v/>
      </c>
      <c r="I19" s="96">
        <f>SUM(D19:H19)</f>
        <v/>
      </c>
    </row>
    <row r="20">
      <c r="B20" s="97" t="inlineStr">
        <is>
          <t>EBITDA</t>
        </is>
      </c>
      <c r="C20" s="98" t="inlineStr">
        <is>
          <t>EUR</t>
        </is>
      </c>
      <c r="D20" s="99">
        <f>SUM('P&amp;L Monthly'!D23:O23)</f>
        <v/>
      </c>
      <c r="E20" s="99">
        <f>SUM('P&amp;L Monthly'!P23:AA23)</f>
        <v/>
      </c>
      <c r="F20" s="99">
        <f>SUM('P&amp;L Monthly'!AB23:AM23)</f>
        <v/>
      </c>
      <c r="G20" s="99">
        <f>SUM('P&amp;L Monthly'!AN23:AY23)</f>
        <v/>
      </c>
      <c r="H20" s="99">
        <f>SUM('P&amp;L Monthly'!AZ23:BK23)</f>
        <v/>
      </c>
      <c r="I20" s="100">
        <f>SUM(D20:H20)</f>
        <v/>
      </c>
    </row>
    <row r="21">
      <c r="B21" s="94" t="inlineStr">
        <is>
          <t>EBITDA margin</t>
        </is>
      </c>
      <c r="C21" s="92" t="inlineStr">
        <is>
          <t>%</t>
        </is>
      </c>
      <c r="D21" s="102">
        <f>IFERROR(D20/D10,0)</f>
        <v/>
      </c>
      <c r="E21" s="102">
        <f>IFERROR(E20/E10,0)</f>
        <v/>
      </c>
      <c r="F21" s="102">
        <f>IFERROR(F20/F10,0)</f>
        <v/>
      </c>
      <c r="G21" s="102">
        <f>IFERROR(G20/G10,0)</f>
        <v/>
      </c>
      <c r="H21" s="102">
        <f>IFERROR(H20/H10,0)</f>
        <v/>
      </c>
      <c r="I21" s="103">
        <f>IFERROR(I20/I10,0)</f>
        <v/>
      </c>
    </row>
    <row r="22">
      <c r="B22" s="94" t="inlineStr">
        <is>
          <t>Depreciation</t>
        </is>
      </c>
      <c r="C22" s="92" t="inlineStr">
        <is>
          <t>EUR</t>
        </is>
      </c>
      <c r="D22" s="95">
        <f>SUM('P&amp;L Monthly'!D25:O25)</f>
        <v/>
      </c>
      <c r="E22" s="95">
        <f>SUM('P&amp;L Monthly'!P25:AA25)</f>
        <v/>
      </c>
      <c r="F22" s="95">
        <f>SUM('P&amp;L Monthly'!AB25:AM25)</f>
        <v/>
      </c>
      <c r="G22" s="95">
        <f>SUM('P&amp;L Monthly'!AN25:AY25)</f>
        <v/>
      </c>
      <c r="H22" s="95">
        <f>SUM('P&amp;L Monthly'!AZ25:BK25)</f>
        <v/>
      </c>
      <c r="I22" s="96">
        <f>SUM(D22:H22)</f>
        <v/>
      </c>
    </row>
    <row r="23">
      <c r="B23" s="4" t="inlineStr">
        <is>
          <t>EBIT</t>
        </is>
      </c>
      <c r="C23" s="92" t="inlineStr">
        <is>
          <t>EUR</t>
        </is>
      </c>
      <c r="D23" s="101">
        <f>SUM('P&amp;L Monthly'!D26:O26)</f>
        <v/>
      </c>
      <c r="E23" s="101">
        <f>SUM('P&amp;L Monthly'!P26:AA26)</f>
        <v/>
      </c>
      <c r="F23" s="101">
        <f>SUM('P&amp;L Monthly'!AB26:AM26)</f>
        <v/>
      </c>
      <c r="G23" s="101">
        <f>SUM('P&amp;L Monthly'!AN26:AY26)</f>
        <v/>
      </c>
      <c r="H23" s="101">
        <f>SUM('P&amp;L Monthly'!AZ26:BK26)</f>
        <v/>
      </c>
      <c r="I23" s="96">
        <f>SUM(D23:H23)</f>
        <v/>
      </c>
    </row>
    <row r="24">
      <c r="B24" s="94" t="inlineStr">
        <is>
          <t>Corporation tax</t>
        </is>
      </c>
      <c r="C24" s="92" t="inlineStr">
        <is>
          <t>EUR</t>
        </is>
      </c>
      <c r="D24" s="95">
        <f>SUM('P&amp;L Monthly'!D28:O28)</f>
        <v/>
      </c>
      <c r="E24" s="95">
        <f>SUM('P&amp;L Monthly'!P28:AA28)</f>
        <v/>
      </c>
      <c r="F24" s="95">
        <f>SUM('P&amp;L Monthly'!AB28:AM28)</f>
        <v/>
      </c>
      <c r="G24" s="95">
        <f>SUM('P&amp;L Monthly'!AN28:AY28)</f>
        <v/>
      </c>
      <c r="H24" s="95">
        <f>SUM('P&amp;L Monthly'!AZ28:BK28)</f>
        <v/>
      </c>
      <c r="I24" s="96">
        <f>SUM(D24:H24)</f>
        <v/>
      </c>
    </row>
    <row r="25">
      <c r="B25" s="97" t="inlineStr">
        <is>
          <t>Net income</t>
        </is>
      </c>
      <c r="C25" s="98" t="inlineStr">
        <is>
          <t>EUR</t>
        </is>
      </c>
      <c r="D25" s="99">
        <f>SUM('P&amp;L Monthly'!D29:O29)</f>
        <v/>
      </c>
      <c r="E25" s="99">
        <f>SUM('P&amp;L Monthly'!P29:AA29)</f>
        <v/>
      </c>
      <c r="F25" s="99">
        <f>SUM('P&amp;L Monthly'!AB29:AM29)</f>
        <v/>
      </c>
      <c r="G25" s="99">
        <f>SUM('P&amp;L Monthly'!AN29:AY29)</f>
        <v/>
      </c>
      <c r="H25" s="99">
        <f>SUM('P&amp;L Monthly'!AZ29:BK29)</f>
        <v/>
      </c>
      <c r="I25" s="100">
        <f>SUM(D25:H25)</f>
        <v/>
      </c>
    </row>
    <row r="26">
      <c r="B26" s="94" t="inlineStr">
        <is>
          <t>Net margin</t>
        </is>
      </c>
      <c r="C26" s="92" t="inlineStr">
        <is>
          <t>%</t>
        </is>
      </c>
      <c r="D26" s="102">
        <f>IFERROR(D25/D10,0)</f>
        <v/>
      </c>
      <c r="E26" s="102">
        <f>IFERROR(E25/E10,0)</f>
        <v/>
      </c>
      <c r="F26" s="102">
        <f>IFERROR(F25/F10,0)</f>
        <v/>
      </c>
      <c r="G26" s="102">
        <f>IFERROR(G25/G10,0)</f>
        <v/>
      </c>
      <c r="H26" s="102">
        <f>IFERROR(H25/H10,0)</f>
        <v/>
      </c>
      <c r="I26" s="103">
        <f>IFERROR(I25/I10,0)</f>
        <v/>
      </c>
    </row>
    <row r="28">
      <c r="B28" s="22" t="inlineStr">
        <is>
          <t>CUSTOMERS</t>
        </is>
      </c>
      <c r="C28" s="22" t="n"/>
      <c r="D28" s="22" t="n"/>
      <c r="E28" s="22" t="n"/>
      <c r="F28" s="22" t="n"/>
      <c r="G28" s="22" t="n"/>
      <c r="H28" s="22" t="n"/>
      <c r="I28" s="22" t="n"/>
    </row>
    <row r="29">
      <c r="B29" s="94" t="inlineStr">
        <is>
          <t xml:space="preserve">    Active customers — Portugal (year end)</t>
        </is>
      </c>
      <c r="C29" s="92" t="inlineStr">
        <is>
          <t>EUR</t>
        </is>
      </c>
      <c r="D29" s="95">
        <f>'Model PT'!O13</f>
        <v/>
      </c>
      <c r="E29" s="95">
        <f>'Model PT'!AA13</f>
        <v/>
      </c>
      <c r="F29" s="95">
        <f>'Model PT'!AM13</f>
        <v/>
      </c>
      <c r="G29" s="95">
        <f>'Model PT'!AY13</f>
        <v/>
      </c>
      <c r="H29" s="95">
        <f>'Model PT'!BK13</f>
        <v/>
      </c>
      <c r="I29" s="104">
        <f>H29</f>
        <v/>
      </c>
    </row>
    <row r="30">
      <c r="B30" s="94" t="inlineStr">
        <is>
          <t xml:space="preserve">    Active customers — Spain (year end)</t>
        </is>
      </c>
      <c r="C30" s="92" t="inlineStr">
        <is>
          <t>EUR</t>
        </is>
      </c>
      <c r="D30" s="95">
        <f>'Model ES'!O13</f>
        <v/>
      </c>
      <c r="E30" s="95">
        <f>'Model ES'!AA13</f>
        <v/>
      </c>
      <c r="F30" s="95">
        <f>'Model ES'!AM13</f>
        <v/>
      </c>
      <c r="G30" s="95">
        <f>'Model ES'!AY13</f>
        <v/>
      </c>
      <c r="H30" s="95">
        <f>'Model ES'!BK13</f>
        <v/>
      </c>
      <c r="I30" s="104">
        <f>H30</f>
        <v/>
      </c>
    </row>
    <row r="31">
      <c r="B31" s="97" t="inlineStr">
        <is>
          <t>Total active customers (year end)</t>
        </is>
      </c>
      <c r="C31" s="98" t="inlineStr"/>
      <c r="D31" s="100">
        <f>D29+D30</f>
        <v/>
      </c>
      <c r="E31" s="100">
        <f>E29+E30</f>
        <v/>
      </c>
      <c r="F31" s="100">
        <f>F29+F30</f>
        <v/>
      </c>
      <c r="G31" s="100">
        <f>G29+G30</f>
        <v/>
      </c>
      <c r="H31" s="100">
        <f>H29+H30</f>
        <v/>
      </c>
      <c r="I31" s="100">
        <f>H31</f>
        <v/>
      </c>
    </row>
    <row r="32">
      <c r="B32" s="94" t="inlineStr">
        <is>
          <t xml:space="preserve">    New customers acquired during the year</t>
        </is>
      </c>
      <c r="C32" s="105" t="inlineStr"/>
      <c r="D32" s="95">
        <f>SUM('Model PT'!D11:O11)+SUM('Model ES'!D11:O11)</f>
        <v/>
      </c>
      <c r="E32" s="95">
        <f>SUM('Model PT'!P11:AA11)+SUM('Model ES'!P11:AA11)</f>
        <v/>
      </c>
      <c r="F32" s="95">
        <f>SUM('Model PT'!AB11:AM11)+SUM('Model ES'!AB11:AM11)</f>
        <v/>
      </c>
      <c r="G32" s="95">
        <f>SUM('Model PT'!AN11:AY11)+SUM('Model ES'!AN11:AY11)</f>
        <v/>
      </c>
      <c r="H32" s="95">
        <f>SUM('Model PT'!AZ11:BK11)+SUM('Model ES'!AZ11:BK11)</f>
        <v/>
      </c>
      <c r="I32" s="96">
        <f>SUM(D32:H32)</f>
        <v/>
      </c>
    </row>
    <row r="33">
      <c r="B33" s="94" t="inlineStr">
        <is>
          <t xml:space="preserve">    Net revenue per customer per month (blended)</t>
        </is>
      </c>
      <c r="D33" s="106">
        <f>IFERROR(D10/(SUM('Model PT'!D14:O14)+SUM('Model ES'!D14:O14)),0)</f>
        <v/>
      </c>
      <c r="E33" s="106">
        <f>IFERROR(E10/(SUM('Model PT'!P14:AA14)+SUM('Model ES'!P14:AA14)),0)</f>
        <v/>
      </c>
      <c r="F33" s="106">
        <f>IFERROR(F10/(SUM('Model PT'!AB14:AM14)+SUM('Model ES'!AB14:AM14)),0)</f>
        <v/>
      </c>
      <c r="G33" s="106">
        <f>IFERROR(G10/(SUM('Model PT'!AN14:AY14)+SUM('Model ES'!AN14:AY14)),0)</f>
        <v/>
      </c>
      <c r="H33" s="106">
        <f>IFERROR(H10/(SUM('Model PT'!AZ14:BK14)+SUM('Model ES'!AZ14:BK14)),0)</f>
        <v/>
      </c>
    </row>
    <row r="35">
      <c r="B35" s="22" t="inlineStr">
        <is>
          <t>CASH FLOW</t>
        </is>
      </c>
      <c r="C35" s="22" t="n"/>
      <c r="D35" s="22" t="n"/>
      <c r="E35" s="22" t="n"/>
      <c r="F35" s="22" t="n"/>
      <c r="G35" s="22" t="n"/>
      <c r="H35" s="22" t="n"/>
      <c r="I35" s="22" t="n"/>
    </row>
    <row r="36">
      <c r="B36" s="94" t="inlineStr">
        <is>
          <t xml:space="preserve">    EBITDA</t>
        </is>
      </c>
      <c r="C36" s="92" t="inlineStr">
        <is>
          <t>EUR</t>
        </is>
      </c>
      <c r="D36" s="95">
        <f>SUM('P&amp;L Monthly'!D55:O55)</f>
        <v/>
      </c>
      <c r="E36" s="95">
        <f>SUM('P&amp;L Monthly'!P55:AA55)</f>
        <v/>
      </c>
      <c r="F36" s="95">
        <f>SUM('P&amp;L Monthly'!AB55:AM55)</f>
        <v/>
      </c>
      <c r="G36" s="95">
        <f>SUM('P&amp;L Monthly'!AN55:AY55)</f>
        <v/>
      </c>
      <c r="H36" s="95">
        <f>SUM('P&amp;L Monthly'!AZ55:BK55)</f>
        <v/>
      </c>
      <c r="I36" s="96">
        <f>SUM(D36:H36)</f>
        <v/>
      </c>
    </row>
    <row r="37">
      <c r="B37" s="94" t="inlineStr">
        <is>
          <t xml:space="preserve">    Corporation tax paid</t>
        </is>
      </c>
      <c r="C37" s="92" t="inlineStr">
        <is>
          <t>EUR</t>
        </is>
      </c>
      <c r="D37" s="95">
        <f>SUM('P&amp;L Monthly'!D56:O56)</f>
        <v/>
      </c>
      <c r="E37" s="95">
        <f>SUM('P&amp;L Monthly'!P56:AA56)</f>
        <v/>
      </c>
      <c r="F37" s="95">
        <f>SUM('P&amp;L Monthly'!AB56:AM56)</f>
        <v/>
      </c>
      <c r="G37" s="95">
        <f>SUM('P&amp;L Monthly'!AN56:AY56)</f>
        <v/>
      </c>
      <c r="H37" s="95">
        <f>SUM('P&amp;L Monthly'!AZ56:BK56)</f>
        <v/>
      </c>
      <c r="I37" s="96">
        <f>SUM(D37:H37)</f>
        <v/>
      </c>
    </row>
    <row r="38">
      <c r="B38" s="94" t="inlineStr">
        <is>
          <t xml:space="preserve">    Capital expenditure</t>
        </is>
      </c>
      <c r="C38" s="92" t="inlineStr">
        <is>
          <t>EUR</t>
        </is>
      </c>
      <c r="D38" s="95">
        <f>SUM('P&amp;L Monthly'!D57:O57)</f>
        <v/>
      </c>
      <c r="E38" s="95">
        <f>SUM('P&amp;L Monthly'!P57:AA57)</f>
        <v/>
      </c>
      <c r="F38" s="95">
        <f>SUM('P&amp;L Monthly'!AB57:AM57)</f>
        <v/>
      </c>
      <c r="G38" s="95">
        <f>SUM('P&amp;L Monthly'!AN57:AY57)</f>
        <v/>
      </c>
      <c r="H38" s="95">
        <f>SUM('P&amp;L Monthly'!AZ57:BK57)</f>
        <v/>
      </c>
      <c r="I38" s="96">
        <f>SUM(D38:H38)</f>
        <v/>
      </c>
    </row>
    <row r="39">
      <c r="B39" s="94" t="inlineStr">
        <is>
          <t xml:space="preserve">    Change in working capital</t>
        </is>
      </c>
      <c r="C39" s="92" t="inlineStr">
        <is>
          <t>EUR</t>
        </is>
      </c>
      <c r="D39" s="95">
        <f>SUM('P&amp;L Monthly'!D58:O58)</f>
        <v/>
      </c>
      <c r="E39" s="95">
        <f>SUM('P&amp;L Monthly'!P58:AA58)</f>
        <v/>
      </c>
      <c r="F39" s="95">
        <f>SUM('P&amp;L Monthly'!AB58:AM58)</f>
        <v/>
      </c>
      <c r="G39" s="95">
        <f>SUM('P&amp;L Monthly'!AN58:AY58)</f>
        <v/>
      </c>
      <c r="H39" s="95">
        <f>SUM('P&amp;L Monthly'!AZ58:BK58)</f>
        <v/>
      </c>
      <c r="I39" s="96">
        <f>SUM(D39:H39)</f>
        <v/>
      </c>
    </row>
    <row r="40">
      <c r="B40" s="97" t="inlineStr">
        <is>
          <t>Free cash flow</t>
        </is>
      </c>
      <c r="C40" s="98" t="inlineStr">
        <is>
          <t>EUR</t>
        </is>
      </c>
      <c r="D40" s="99">
        <f>SUM('P&amp;L Monthly'!D59:O59)</f>
        <v/>
      </c>
      <c r="E40" s="99">
        <f>SUM('P&amp;L Monthly'!P59:AA59)</f>
        <v/>
      </c>
      <c r="F40" s="99">
        <f>SUM('P&amp;L Monthly'!AB59:AM59)</f>
        <v/>
      </c>
      <c r="G40" s="99">
        <f>SUM('P&amp;L Monthly'!AN59:AY59)</f>
        <v/>
      </c>
      <c r="H40" s="99">
        <f>SUM('P&amp;L Monthly'!AZ59:BK59)</f>
        <v/>
      </c>
      <c r="I40" s="100">
        <f>SUM(D40:H40)</f>
        <v/>
      </c>
    </row>
    <row r="41">
      <c r="B41" s="4" t="inlineStr">
        <is>
          <t>Cumulative free cash flow (year end)</t>
        </is>
      </c>
      <c r="C41" s="92" t="inlineStr">
        <is>
          <t>EUR</t>
        </is>
      </c>
      <c r="D41" s="101">
        <f>'P&amp;L Monthly'!O60</f>
        <v/>
      </c>
      <c r="E41" s="101">
        <f>'P&amp;L Monthly'!AA60</f>
        <v/>
      </c>
      <c r="F41" s="101">
        <f>'P&amp;L Monthly'!AM60</f>
        <v/>
      </c>
      <c r="G41" s="101">
        <f>'P&amp;L Monthly'!AY60</f>
        <v/>
      </c>
      <c r="H41" s="101">
        <f>'P&amp;L Monthly'!BK60</f>
        <v/>
      </c>
      <c r="I41" s="104">
        <f>H41</f>
        <v/>
      </c>
    </row>
    <row r="42">
      <c r="B42" s="107" t="inlineStr">
        <is>
          <t>Founders' equity injected</t>
        </is>
      </c>
      <c r="C42" s="108" t="inlineStr">
        <is>
          <t>EUR</t>
        </is>
      </c>
      <c r="D42" s="109">
        <f>SUM('P&amp;L Monthly'!D62:O62)</f>
        <v/>
      </c>
      <c r="E42" s="109">
        <f>SUM('P&amp;L Monthly'!P62:AA62)</f>
        <v/>
      </c>
      <c r="F42" s="109">
        <f>SUM('P&amp;L Monthly'!AB62:AM62)</f>
        <v/>
      </c>
      <c r="G42" s="109">
        <f>SUM('P&amp;L Monthly'!AN62:AY62)</f>
        <v/>
      </c>
      <c r="H42" s="109">
        <f>SUM('P&amp;L Monthly'!AZ62:BK62)</f>
        <v/>
      </c>
      <c r="I42" s="110">
        <f>SUM(D42:H42)</f>
        <v/>
      </c>
    </row>
    <row r="43">
      <c r="B43" s="107" t="inlineStr">
        <is>
          <t>Cumulative equity invested (year end)</t>
        </is>
      </c>
      <c r="C43" s="108" t="inlineStr">
        <is>
          <t>EUR</t>
        </is>
      </c>
      <c r="D43" s="109">
        <f>'P&amp;L Monthly'!O63</f>
        <v/>
      </c>
      <c r="E43" s="109">
        <f>'P&amp;L Monthly'!AA63</f>
        <v/>
      </c>
      <c r="F43" s="109">
        <f>'P&amp;L Monthly'!AM63</f>
        <v/>
      </c>
      <c r="G43" s="109">
        <f>'P&amp;L Monthly'!AY63</f>
        <v/>
      </c>
      <c r="H43" s="109">
        <f>'P&amp;L Monthly'!BK63</f>
        <v/>
      </c>
      <c r="I43" s="111">
        <f>H43</f>
        <v/>
      </c>
    </row>
    <row r="44">
      <c r="B44" s="97" t="inlineStr">
        <is>
          <t>Cash — closing balance</t>
        </is>
      </c>
      <c r="C44" s="98" t="inlineStr">
        <is>
          <t>EUR</t>
        </is>
      </c>
      <c r="D44" s="99">
        <f>'P&amp;L Monthly'!O64</f>
        <v/>
      </c>
      <c r="E44" s="99">
        <f>'P&amp;L Monthly'!AA64</f>
        <v/>
      </c>
      <c r="F44" s="99">
        <f>'P&amp;L Monthly'!AM64</f>
        <v/>
      </c>
      <c r="G44" s="99">
        <f>'P&amp;L Monthly'!AY64</f>
        <v/>
      </c>
      <c r="H44" s="99">
        <f>'P&amp;L Monthly'!BK64</f>
        <v/>
      </c>
      <c r="I44" s="112">
        <f>H44</f>
        <v/>
      </c>
    </row>
    <row r="46">
      <c r="B46" s="22" t="inlineStr">
        <is>
          <t>BALANCE SHEET  (year end)</t>
        </is>
      </c>
      <c r="C46" s="22" t="n"/>
      <c r="D46" s="22" t="n"/>
      <c r="E46" s="22" t="n"/>
      <c r="F46" s="22" t="n"/>
      <c r="G46" s="22" t="n"/>
      <c r="H46" s="22" t="n"/>
      <c r="I46" s="22" t="n"/>
    </row>
    <row r="47">
      <c r="B47" s="94" t="inlineStr">
        <is>
          <t xml:space="preserve">    Cash</t>
        </is>
      </c>
      <c r="C47" s="92" t="inlineStr">
        <is>
          <t>EUR</t>
        </is>
      </c>
      <c r="D47" s="95">
        <f>'P&amp;L Monthly'!O67</f>
        <v/>
      </c>
      <c r="E47" s="95">
        <f>'P&amp;L Monthly'!AA67</f>
        <v/>
      </c>
      <c r="F47" s="95">
        <f>'P&amp;L Monthly'!AM67</f>
        <v/>
      </c>
      <c r="G47" s="95">
        <f>'P&amp;L Monthly'!AY67</f>
        <v/>
      </c>
      <c r="H47" s="95">
        <f>'P&amp;L Monthly'!BK67</f>
        <v/>
      </c>
      <c r="I47" s="104">
        <f>H47</f>
        <v/>
      </c>
    </row>
    <row r="48">
      <c r="B48" s="94" t="inlineStr">
        <is>
          <t xml:space="preserve">    Receivables</t>
        </is>
      </c>
      <c r="C48" s="92" t="inlineStr">
        <is>
          <t>EUR</t>
        </is>
      </c>
      <c r="D48" s="95">
        <f>'P&amp;L Monthly'!O68</f>
        <v/>
      </c>
      <c r="E48" s="95">
        <f>'P&amp;L Monthly'!AA68</f>
        <v/>
      </c>
      <c r="F48" s="95">
        <f>'P&amp;L Monthly'!AM68</f>
        <v/>
      </c>
      <c r="G48" s="95">
        <f>'P&amp;L Monthly'!AY68</f>
        <v/>
      </c>
      <c r="H48" s="95">
        <f>'P&amp;L Monthly'!BK68</f>
        <v/>
      </c>
      <c r="I48" s="104">
        <f>H48</f>
        <v/>
      </c>
    </row>
    <row r="49">
      <c r="B49" s="94" t="inlineStr">
        <is>
          <t xml:space="preserve">    Net fixed assets</t>
        </is>
      </c>
      <c r="C49" s="92" t="inlineStr">
        <is>
          <t>EUR</t>
        </is>
      </c>
      <c r="D49" s="95">
        <f>'P&amp;L Monthly'!O69</f>
        <v/>
      </c>
      <c r="E49" s="95">
        <f>'P&amp;L Monthly'!AA69</f>
        <v/>
      </c>
      <c r="F49" s="95">
        <f>'P&amp;L Monthly'!AM69</f>
        <v/>
      </c>
      <c r="G49" s="95">
        <f>'P&amp;L Monthly'!AY69</f>
        <v/>
      </c>
      <c r="H49" s="95">
        <f>'P&amp;L Monthly'!BK69</f>
        <v/>
      </c>
      <c r="I49" s="104">
        <f>H49</f>
        <v/>
      </c>
    </row>
    <row r="50">
      <c r="B50" s="4" t="inlineStr">
        <is>
          <t>Total assets</t>
        </is>
      </c>
      <c r="C50" s="92" t="inlineStr">
        <is>
          <t>EUR</t>
        </is>
      </c>
      <c r="D50" s="101">
        <f>'P&amp;L Monthly'!O70</f>
        <v/>
      </c>
      <c r="E50" s="101">
        <f>'P&amp;L Monthly'!AA70</f>
        <v/>
      </c>
      <c r="F50" s="101">
        <f>'P&amp;L Monthly'!AM70</f>
        <v/>
      </c>
      <c r="G50" s="101">
        <f>'P&amp;L Monthly'!AY70</f>
        <v/>
      </c>
      <c r="H50" s="101">
        <f>'P&amp;L Monthly'!BK70</f>
        <v/>
      </c>
      <c r="I50" s="104">
        <f>H50</f>
        <v/>
      </c>
    </row>
    <row r="51">
      <c r="B51" s="94" t="inlineStr">
        <is>
          <t xml:space="preserve">    Payables</t>
        </is>
      </c>
      <c r="C51" s="92" t="inlineStr">
        <is>
          <t>EUR</t>
        </is>
      </c>
      <c r="D51" s="95">
        <f>'P&amp;L Monthly'!O71</f>
        <v/>
      </c>
      <c r="E51" s="95">
        <f>'P&amp;L Monthly'!AA71</f>
        <v/>
      </c>
      <c r="F51" s="95">
        <f>'P&amp;L Monthly'!AM71</f>
        <v/>
      </c>
      <c r="G51" s="95">
        <f>'P&amp;L Monthly'!AY71</f>
        <v/>
      </c>
      <c r="H51" s="95">
        <f>'P&amp;L Monthly'!BK71</f>
        <v/>
      </c>
      <c r="I51" s="104">
        <f>H51</f>
        <v/>
      </c>
    </row>
    <row r="52">
      <c r="B52" s="94" t="inlineStr">
        <is>
          <t xml:space="preserve">    Deferred revenue</t>
        </is>
      </c>
      <c r="C52" s="92" t="inlineStr">
        <is>
          <t>EUR</t>
        </is>
      </c>
      <c r="D52" s="95">
        <f>'P&amp;L Monthly'!O72</f>
        <v/>
      </c>
      <c r="E52" s="95">
        <f>'P&amp;L Monthly'!AA72</f>
        <v/>
      </c>
      <c r="F52" s="95">
        <f>'P&amp;L Monthly'!AM72</f>
        <v/>
      </c>
      <c r="G52" s="95">
        <f>'P&amp;L Monthly'!AY72</f>
        <v/>
      </c>
      <c r="H52" s="95">
        <f>'P&amp;L Monthly'!BK72</f>
        <v/>
      </c>
      <c r="I52" s="104">
        <f>H52</f>
        <v/>
      </c>
    </row>
    <row r="53">
      <c r="B53" s="94" t="inlineStr">
        <is>
          <t xml:space="preserve">    Paid-in equity</t>
        </is>
      </c>
      <c r="C53" s="92" t="inlineStr">
        <is>
          <t>EUR</t>
        </is>
      </c>
      <c r="D53" s="95">
        <f>'P&amp;L Monthly'!O73</f>
        <v/>
      </c>
      <c r="E53" s="95">
        <f>'P&amp;L Monthly'!AA73</f>
        <v/>
      </c>
      <c r="F53" s="95">
        <f>'P&amp;L Monthly'!AM73</f>
        <v/>
      </c>
      <c r="G53" s="95">
        <f>'P&amp;L Monthly'!AY73</f>
        <v/>
      </c>
      <c r="H53" s="95">
        <f>'P&amp;L Monthly'!BK73</f>
        <v/>
      </c>
      <c r="I53" s="104">
        <f>H53</f>
        <v/>
      </c>
    </row>
    <row r="54">
      <c r="B54" s="94" t="inlineStr">
        <is>
          <t xml:space="preserve">    Retained earnings</t>
        </is>
      </c>
      <c r="C54" s="92" t="inlineStr">
        <is>
          <t>EUR</t>
        </is>
      </c>
      <c r="D54" s="95">
        <f>'P&amp;L Monthly'!O74</f>
        <v/>
      </c>
      <c r="E54" s="95">
        <f>'P&amp;L Monthly'!AA74</f>
        <v/>
      </c>
      <c r="F54" s="95">
        <f>'P&amp;L Monthly'!AM74</f>
        <v/>
      </c>
      <c r="G54" s="95">
        <f>'P&amp;L Monthly'!AY74</f>
        <v/>
      </c>
      <c r="H54" s="95">
        <f>'P&amp;L Monthly'!BK74</f>
        <v/>
      </c>
      <c r="I54" s="104">
        <f>H54</f>
        <v/>
      </c>
    </row>
    <row r="55">
      <c r="B55" s="4" t="inlineStr">
        <is>
          <t>Total liabilities &amp; equity</t>
        </is>
      </c>
      <c r="C55" s="92" t="inlineStr">
        <is>
          <t>EUR</t>
        </is>
      </c>
      <c r="D55" s="101">
        <f>'P&amp;L Monthly'!O75</f>
        <v/>
      </c>
      <c r="E55" s="101">
        <f>'P&amp;L Monthly'!AA75</f>
        <v/>
      </c>
      <c r="F55" s="101">
        <f>'P&amp;L Monthly'!AM75</f>
        <v/>
      </c>
      <c r="G55" s="101">
        <f>'P&amp;L Monthly'!AY75</f>
        <v/>
      </c>
      <c r="H55" s="101">
        <f>'P&amp;L Monthly'!BK75</f>
        <v/>
      </c>
      <c r="I55" s="104">
        <f>H55</f>
        <v/>
      </c>
    </row>
    <row r="56">
      <c r="B56" s="4" t="inlineStr">
        <is>
          <t>Balance check (must be nil)</t>
        </is>
      </c>
      <c r="C56" s="92" t="inlineStr">
        <is>
          <t>EUR</t>
        </is>
      </c>
      <c r="D56" s="101">
        <f>'P&amp;L Monthly'!O76</f>
        <v/>
      </c>
      <c r="E56" s="101">
        <f>'P&amp;L Monthly'!AA76</f>
        <v/>
      </c>
      <c r="F56" s="101">
        <f>'P&amp;L Monthly'!AM76</f>
        <v/>
      </c>
      <c r="G56" s="101">
        <f>'P&amp;L Monthly'!AY76</f>
        <v/>
      </c>
      <c r="H56" s="101">
        <f>'P&amp;L Monthly'!BK76</f>
        <v/>
      </c>
      <c r="I56" s="104">
        <f>H56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2026-08-27T14:59:34Z</dcterms:created>
  <dcterms:modified xmlns:dcterms="http://purl.org/dc/terms/" xmlns:xsi="http://www.w3.org/2001/XMLSchema-instance" xsi:type="dcterms:W3CDTF">2026-08-27T15:22:40Z</dcterms:modified>
</cp:coreProperties>
</file>