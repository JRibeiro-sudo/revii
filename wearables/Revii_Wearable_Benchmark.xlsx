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 Dashboard" sheetId="1" state="visible" r:id="rId3"/>
    <sheet name="02 Model Master List" sheetId="2" state="visible" r:id="rId4"/>
    <sheet name="03 Feature Comparison" sheetId="3" state="visible" r:id="rId5"/>
    <sheet name="04 API &amp; Integration" sheetId="4" state="visible" r:id="rId6"/>
    <sheet name="05 Market Research" sheetId="5" state="visible" r:id="rId7"/>
    <sheet name="06 Needs-Feature Map" sheetId="6" state="visible" r:id="rId8"/>
    <sheet name="07 Commercial" sheetId="7" state="visible" r:id="rId9"/>
    <sheet name="08 TCO Model" sheetId="8" state="visible" r:id="rId10"/>
    <sheet name="09 Regulatory &amp; Security" sheetId="9" state="visible" r:id="rId11"/>
    <sheet name="10 Scoring &amp; Weights" sheetId="10" state="visible" r:id="rId12"/>
    <sheet name="11 Ranking &amp; Shortlist" sheetId="11" state="visible" r:id="rId13"/>
    <sheet name="12 Trade-Off Analysis" sheetId="12" state="visible" r:id="rId14"/>
    <sheet name="13 Sensitivity &amp; Scenarios" sheetId="13" state="visible" r:id="rId15"/>
    <sheet name="14 Source Register" sheetId="14" state="visible" r:id="rId16"/>
    <sheet name="15 Data Gaps &amp; Questions" sheetId="15" state="visible" r:id="rId17"/>
    <sheet name="16 Recommendation" sheetId="16" state="visible" r:id="rId18"/>
  </sheets>
  <definedNames>
    <definedName function="false" hidden="true" localSheetId="1" name="_xlnm._FilterDatabase" vbProcedure="false">'02 Model Master List'!$A$5:$O$53</definedName>
    <definedName function="false" hidden="true" localSheetId="2" name="_xlnm._FilterDatabase" vbProcedure="false">'03 Feature Comparison'!$A$5:$AQ$18</definedName>
    <definedName function="false" hidden="true" localSheetId="10" name="_xlnm._FilterDatabase" vbProcedure="false">'11 Ranking &amp; Shortlist'!$B$6:$V$19</definedName>
    <definedName function="false" hidden="true" localSheetId="13" name="_xlnm._FilterDatabase" vbProcedure="false">'14 Source Register'!$A$10:$K$62</definedName>
    <definedName function="false" hidden="true" localSheetId="14" name="_xlnm._FilterDatabase" vbProcedure="false">'15 Data Gaps &amp; Questions'!$A$4:$J$31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6" authorId="0">
      <text>
        <r>
          <rPr>
            <sz val="10"/>
            <rFont val="Arial"/>
            <family val="2"/>
          </rPr>
          <t xml:space="preserve">VB10 · F01
Status: Yes
Grade: B
Source: S01
4-channel optical PPG (50 Hz)</t>
        </r>
      </text>
    </comment>
    <comment ref="F7" authorId="0">
      <text>
        <r>
          <rPr>
            <sz val="10"/>
            <rFont val="Arial"/>
            <family val="2"/>
          </rPr>
          <t xml:space="preserve">CT29 · F01
Status: Unknown
Grade: —
Source: —
Not documented in captured sources</t>
        </r>
      </text>
    </comment>
    <comment ref="F8" authorId="0">
      <text>
        <r>
          <rPr>
            <sz val="10"/>
            <rFont val="Arial"/>
            <family val="2"/>
          </rPr>
          <t xml:space="preserve">CT34 · F01
Status: Unknown
Grade: —
Source: —
Not documented in captured sources</t>
        </r>
      </text>
    </comment>
    <comment ref="F9" authorId="0">
      <text>
        <r>
          <rPr>
            <sz val="10"/>
            <rFont val="Arial"/>
            <family val="2"/>
          </rPr>
          <t xml:space="preserve">MF90 · F01
Status: Yes
Grade: B
Source: S14
24 h HR, PPG GH3228T</t>
        </r>
      </text>
    </comment>
    <comment ref="F10" authorId="0">
      <text>
        <r>
          <rPr>
            <sz val="10"/>
            <rFont val="Arial"/>
            <family val="2"/>
          </rPr>
          <t xml:space="preserve">MF91 · F01
Status: Yes
Grade: B
Source: S39
24 h HR</t>
        </r>
      </text>
    </comment>
    <comment ref="F11" authorId="0">
      <text>
        <r>
          <rPr>
            <sz val="10"/>
            <rFont val="Arial"/>
            <family val="2"/>
          </rPr>
          <t xml:space="preserve">MF40 · F01
Status: Yes
Grade: B
Source: S39
4PD multi-channel, 24/7</t>
        </r>
      </text>
    </comment>
    <comment ref="F12" authorId="0">
      <text>
        <r>
          <rPr>
            <sz val="10"/>
            <rFont val="Arial"/>
            <family val="2"/>
          </rPr>
          <t xml:space="preserve">HW20 · F01
Status: Yes
Grade: B
Source: S12
Continuous HR</t>
        </r>
      </text>
    </comment>
    <comment ref="F13" authorId="0">
      <text>
        <r>
          <rPr>
            <sz val="10"/>
            <rFont val="Arial"/>
            <family val="2"/>
          </rPr>
          <t xml:space="preserve">MF91Pro · F01
Status: Yes
Grade: C
Source: S16
Inferred from ECG/HRV capability</t>
        </r>
      </text>
    </comment>
    <comment ref="F14" authorId="0">
      <text>
        <r>
          <rPr>
            <sz val="10"/>
            <rFont val="Arial"/>
            <family val="2"/>
          </rPr>
          <t xml:space="preserve">HW20Pro · F01
Status: Unknown
Grade: —
Source: —
Not documented in captured sources</t>
        </r>
      </text>
    </comment>
    <comment ref="F15" authorId="0">
      <text>
        <r>
          <rPr>
            <sz val="10"/>
            <rFont val="Arial"/>
            <family val="2"/>
          </rPr>
          <t xml:space="preserve">HW19 · F01
Status: Yes
Grade: B
Source: S11
</t>
        </r>
      </text>
    </comment>
    <comment ref="F16" authorId="0">
      <text>
        <r>
          <rPr>
            <sz val="10"/>
            <rFont val="Arial"/>
            <family val="2"/>
          </rPr>
          <t xml:space="preserve">CT20S · F01
Status: Yes
Grade: B
Source: S09
Alerts outside preset ranges</t>
        </r>
      </text>
    </comment>
    <comment ref="F17" authorId="0">
      <text>
        <r>
          <rPr>
            <sz val="10"/>
            <rFont val="Arial"/>
            <family val="2"/>
          </rPr>
          <t xml:space="preserve">CT30 (band) · F01
Status: Yes
Grade: B
Source: S08
</t>
        </r>
      </text>
    </comment>
    <comment ref="F18" authorId="0">
      <text>
        <r>
          <rPr>
            <sz val="10"/>
            <rFont val="Arial"/>
            <family val="2"/>
          </rPr>
          <t xml:space="preserve">CT31 · F01
Status: Yes
Grade: B
Source: S06
One-touch check</t>
        </r>
      </text>
    </comment>
    <comment ref="F41" authorId="0">
      <text>
        <r>
          <rPr>
            <sz val="10"/>
            <rFont val="Arial"/>
            <family val="2"/>
          </rPr>
          <t xml:space="preserve">VB10 · T1
Grade: B
Source: S01
Real-time 4-ch optical</t>
        </r>
      </text>
    </comment>
    <comment ref="F42" authorId="0">
      <text>
        <r>
          <rPr>
            <sz val="10"/>
            <rFont val="Arial"/>
            <family val="2"/>
          </rPr>
          <t xml:space="preserve">CT29 · T1
Grade: —
Source: —
Not documented</t>
        </r>
      </text>
    </comment>
    <comment ref="F43" authorId="0">
      <text>
        <r>
          <rPr>
            <sz val="10"/>
            <rFont val="Arial"/>
            <family val="2"/>
          </rPr>
          <t xml:space="preserve">CT34 · T1
Grade: —
Source: —
Not documented</t>
        </r>
      </text>
    </comment>
    <comment ref="F44" authorId="0">
      <text>
        <r>
          <rPr>
            <sz val="10"/>
            <rFont val="Arial"/>
            <family val="2"/>
          </rPr>
          <t xml:space="preserve">MF90 · T1
Grade: B
Source: S14
24 h HR</t>
        </r>
      </text>
    </comment>
    <comment ref="F45" authorId="0">
      <text>
        <r>
          <rPr>
            <sz val="10"/>
            <rFont val="Arial"/>
            <family val="2"/>
          </rPr>
          <t xml:space="preserve">MF91 · T1
Grade: B
Source: S39
24 h HR</t>
        </r>
      </text>
    </comment>
    <comment ref="F46" authorId="0">
      <text>
        <r>
          <rPr>
            <sz val="10"/>
            <rFont val="Arial"/>
            <family val="2"/>
          </rPr>
          <t xml:space="preserve">MF40 · T1
Grade: B
Source: S39
24/7</t>
        </r>
      </text>
    </comment>
    <comment ref="F47" authorId="0">
      <text>
        <r>
          <rPr>
            <sz val="10"/>
            <rFont val="Arial"/>
            <family val="2"/>
          </rPr>
          <t xml:space="preserve">HW20 · T1
Grade: B
Source: S12
Continuous HR/SpO2</t>
        </r>
      </text>
    </comment>
    <comment ref="F48" authorId="0">
      <text>
        <r>
          <rPr>
            <sz val="10"/>
            <rFont val="Arial"/>
            <family val="2"/>
          </rPr>
          <t xml:space="preserve">MF91Pro · T1
Grade: —
Source: —
Not documented</t>
        </r>
      </text>
    </comment>
    <comment ref="F49" authorId="0">
      <text>
        <r>
          <rPr>
            <sz val="10"/>
            <rFont val="Arial"/>
            <family val="2"/>
          </rPr>
          <t xml:space="preserve">HW20Pro · T1
Grade: —
Source: —
Not documented</t>
        </r>
      </text>
    </comment>
    <comment ref="F50" authorId="0">
      <text>
        <r>
          <rPr>
            <sz val="10"/>
            <rFont val="Arial"/>
            <family val="2"/>
          </rPr>
          <t xml:space="preserve">HW19 · T1
Grade: —
Source: —
Not documented</t>
        </r>
      </text>
    </comment>
    <comment ref="F51" authorId="0">
      <text>
        <r>
          <rPr>
            <sz val="10"/>
            <rFont val="Arial"/>
            <family val="2"/>
          </rPr>
          <t xml:space="preserve">CT20S · T1
Grade: B
Source: S09
Range alerts</t>
        </r>
      </text>
    </comment>
    <comment ref="F52" authorId="0">
      <text>
        <r>
          <rPr>
            <sz val="10"/>
            <rFont val="Arial"/>
            <family val="2"/>
          </rPr>
          <t xml:space="preserve">CT30 (band) · T1
Grade: —
Source: —
Not documented</t>
        </r>
      </text>
    </comment>
    <comment ref="F53" authorId="0">
      <text>
        <r>
          <rPr>
            <sz val="10"/>
            <rFont val="Arial"/>
            <family val="2"/>
          </rPr>
          <t xml:space="preserve">CT31 · T1
Grade: B
Source: S06
On-demand one-touch; continuous not stated</t>
        </r>
      </text>
    </comment>
    <comment ref="G6" authorId="0">
      <text>
        <r>
          <rPr>
            <sz val="10"/>
            <rFont val="Arial"/>
            <family val="2"/>
          </rPr>
          <t xml:space="preserve">VB10 · F02
Status: Yes
Grade: B
Source: S01
HRV for fatigue/recovery/stress</t>
        </r>
      </text>
    </comment>
    <comment ref="G7" authorId="0">
      <text>
        <r>
          <rPr>
            <sz val="10"/>
            <rFont val="Arial"/>
            <family val="2"/>
          </rPr>
          <t xml:space="preserve">CT29 · F02
Status: Unknown
Grade: —
Source: —
Not documented in captured sources</t>
        </r>
      </text>
    </comment>
    <comment ref="G8" authorId="0">
      <text>
        <r>
          <rPr>
            <sz val="10"/>
            <rFont val="Arial"/>
            <family val="2"/>
          </rPr>
          <t xml:space="preserve">CT34 · F02
Status: Unknown
Grade: —
Source: —
Not documented in captured sources</t>
        </r>
      </text>
    </comment>
    <comment ref="G9" authorId="0">
      <text>
        <r>
          <rPr>
            <sz val="10"/>
            <rFont val="Arial"/>
            <family val="2"/>
          </rPr>
          <t xml:space="preserve">MF90 · F02
Status: Yes
Grade: B
Source: S14
</t>
        </r>
      </text>
    </comment>
    <comment ref="G10" authorId="0">
      <text>
        <r>
          <rPr>
            <sz val="10"/>
            <rFont val="Arial"/>
            <family val="2"/>
          </rPr>
          <t xml:space="preserve">MF91 · F02
Status: Yes
Grade: B
Source: S15
</t>
        </r>
      </text>
    </comment>
    <comment ref="G11" authorId="0">
      <text>
        <r>
          <rPr>
            <sz val="10"/>
            <rFont val="Arial"/>
            <family val="2"/>
          </rPr>
          <t xml:space="preserve">MF40 · F02
Status: Unknown
Grade: —
Source: —
Not documented in captured sources</t>
        </r>
      </text>
    </comment>
    <comment ref="G12" authorId="0">
      <text>
        <r>
          <rPr>
            <sz val="10"/>
            <rFont val="Arial"/>
            <family val="2"/>
          </rPr>
          <t xml:space="preserve">HW20 · F02
Status: Unknown
Grade: —
Source: —
Not documented in captured sources</t>
        </r>
      </text>
    </comment>
    <comment ref="G13" authorId="0">
      <text>
        <r>
          <rPr>
            <sz val="10"/>
            <rFont val="Arial"/>
            <family val="2"/>
          </rPr>
          <t xml:space="preserve">MF91Pro · F02
Status: Yes
Grade: B
Source: S16
</t>
        </r>
      </text>
    </comment>
    <comment ref="G14" authorId="0">
      <text>
        <r>
          <rPr>
            <sz val="10"/>
            <rFont val="Arial"/>
            <family val="2"/>
          </rPr>
          <t xml:space="preserve">HW20Pro · F02
Status: Unknown
Grade: —
Source: —
Not documented in captured sources</t>
        </r>
      </text>
    </comment>
    <comment ref="G15" authorId="0">
      <text>
        <r>
          <rPr>
            <sz val="10"/>
            <rFont val="Arial"/>
            <family val="2"/>
          </rPr>
          <t xml:space="preserve">HW19 · F02
Status: Yes
Grade: B
Source: S11
</t>
        </r>
      </text>
    </comment>
    <comment ref="G16" authorId="0">
      <text>
        <r>
          <rPr>
            <sz val="10"/>
            <rFont val="Arial"/>
            <family val="2"/>
          </rPr>
          <t xml:space="preserve">CT20S · F02
Status: Unknown
Grade: —
Source: —
Not documented in captured sources</t>
        </r>
      </text>
    </comment>
    <comment ref="G17" authorId="0">
      <text>
        <r>
          <rPr>
            <sz val="10"/>
            <rFont val="Arial"/>
            <family val="2"/>
          </rPr>
          <t xml:space="preserve">CT30 (band) · F02
Status: Unknown
Grade: —
Source: —
Not documented in captured sources</t>
        </r>
      </text>
    </comment>
    <comment ref="G18" authorId="0">
      <text>
        <r>
          <rPr>
            <sz val="10"/>
            <rFont val="Arial"/>
            <family val="2"/>
          </rPr>
          <t xml:space="preserve">CT31 · F02
Status: Unknown
Grade: —
Source: —
Not documented in captured sources</t>
        </r>
      </text>
    </comment>
    <comment ref="G41" authorId="0">
      <text>
        <r>
          <rPr>
            <sz val="10"/>
            <rFont val="Arial"/>
            <family val="2"/>
          </rPr>
          <t xml:space="preserve">VB10 · T2
Grade: B
Source: S01
500 Hz</t>
        </r>
      </text>
    </comment>
    <comment ref="G42" authorId="0">
      <text>
        <r>
          <rPr>
            <sz val="10"/>
            <rFont val="Arial"/>
            <family val="2"/>
          </rPr>
          <t xml:space="preserve">CT29 · T2
Grade: —
Source: —
Not documented</t>
        </r>
      </text>
    </comment>
    <comment ref="G43" authorId="0">
      <text>
        <r>
          <rPr>
            <sz val="10"/>
            <rFont val="Arial"/>
            <family val="2"/>
          </rPr>
          <t xml:space="preserve">CT34 · T2
Grade: —
Source: —
Not documented</t>
        </r>
      </text>
    </comment>
    <comment ref="G44" authorId="0">
      <text>
        <r>
          <rPr>
            <sz val="10"/>
            <rFont val="Arial"/>
            <family val="2"/>
          </rPr>
          <t xml:space="preserve">MF90 · T2
Grade: B
Source: S14
500 Hz</t>
        </r>
      </text>
    </comment>
    <comment ref="G45" authorId="0">
      <text>
        <r>
          <rPr>
            <sz val="10"/>
            <rFont val="Arial"/>
            <family val="2"/>
          </rPr>
          <t xml:space="preserve">MF91 · T2
Grade: X
Source: S15;S39
ECG conflict</t>
        </r>
      </text>
    </comment>
    <comment ref="G46" authorId="0">
      <text>
        <r>
          <rPr>
            <sz val="10"/>
            <rFont val="Arial"/>
            <family val="2"/>
          </rPr>
          <t xml:space="preserve">MF40 · T2
Grade: C
Source: S39
TI4950; rate not captured</t>
        </r>
      </text>
    </comment>
    <comment ref="G47" authorId="0">
      <text>
        <r>
          <rPr>
            <sz val="10"/>
            <rFont val="Arial"/>
            <family val="2"/>
          </rPr>
          <t xml:space="preserve">HW20 · T2
Grade: —
Source: —
Not documented</t>
        </r>
      </text>
    </comment>
    <comment ref="G48" authorId="0">
      <text>
        <r>
          <rPr>
            <sz val="10"/>
            <rFont val="Arial"/>
            <family val="2"/>
          </rPr>
          <t xml:space="preserve">MF91Pro · T2
Grade: B
Source: S16
500 Hz</t>
        </r>
      </text>
    </comment>
    <comment ref="G49" authorId="0">
      <text>
        <r>
          <rPr>
            <sz val="10"/>
            <rFont val="Arial"/>
            <family val="2"/>
          </rPr>
          <t xml:space="preserve">HW20Pro · T2
Grade: —
Source: —
Not documented</t>
        </r>
      </text>
    </comment>
    <comment ref="G50" authorId="0">
      <text>
        <r>
          <rPr>
            <sz val="10"/>
            <rFont val="Arial"/>
            <family val="2"/>
          </rPr>
          <t xml:space="preserve">HW19 · T2
Grade: —
Source: —
Not documented</t>
        </r>
      </text>
    </comment>
    <comment ref="G51" authorId="0">
      <text>
        <r>
          <rPr>
            <sz val="10"/>
            <rFont val="Arial"/>
            <family val="2"/>
          </rPr>
          <t xml:space="preserve">CT20S · T2
Grade: —
Source: —
Not documented</t>
        </r>
      </text>
    </comment>
    <comment ref="G52" authorId="0">
      <text>
        <r>
          <rPr>
            <sz val="10"/>
            <rFont val="Arial"/>
            <family val="2"/>
          </rPr>
          <t xml:space="preserve">CT30 (band) · T2
Grade: —
Source: —
Not documented</t>
        </r>
      </text>
    </comment>
    <comment ref="G53" authorId="0">
      <text>
        <r>
          <rPr>
            <sz val="10"/>
            <rFont val="Arial"/>
            <family val="2"/>
          </rPr>
          <t xml:space="preserve">CT31 · T2
Grade: —
Source: —
Not documented</t>
        </r>
      </text>
    </comment>
    <comment ref="H6" authorId="0">
      <text>
        <r>
          <rPr>
            <sz val="10"/>
            <rFont val="Arial"/>
            <family val="2"/>
          </rPr>
          <t xml:space="preserve">VB10 · F03
Status: Yes
Grade: B
Source: S01
ECG 500 Hz, TI4950 AFE</t>
        </r>
      </text>
    </comment>
    <comment ref="H7" authorId="0">
      <text>
        <r>
          <rPr>
            <sz val="10"/>
            <rFont val="Arial"/>
            <family val="2"/>
          </rPr>
          <t xml:space="preserve">CT29 · F03
Status: Unknown
Grade: —
Source: —
Not documented in captured sources</t>
        </r>
      </text>
    </comment>
    <comment ref="H8" authorId="0">
      <text>
        <r>
          <rPr>
            <sz val="10"/>
            <rFont val="Arial"/>
            <family val="2"/>
          </rPr>
          <t xml:space="preserve">CT34 · F03
Status: Unknown
Grade: —
Source: —
Not documented in captured sources</t>
        </r>
      </text>
    </comment>
    <comment ref="H9" authorId="0">
      <text>
        <r>
          <rPr>
            <sz val="10"/>
            <rFont val="Arial"/>
            <family val="2"/>
          </rPr>
          <t xml:space="preserve">MF90 · F03
Status: Yes
Grade: B
Source: S14
ECG 500 Hz waveform + AI interpretation</t>
        </r>
      </text>
    </comment>
    <comment ref="H10" authorId="0">
      <text>
        <r>
          <rPr>
            <sz val="10"/>
            <rFont val="Arial"/>
            <family val="2"/>
          </rPr>
          <t xml:space="preserve">MF91 · F03
Status: Unknown
Grade: X
Source: S15;S39
CONFLICT: 2025 capture lists ECG; current spec page does not</t>
        </r>
      </text>
    </comment>
    <comment ref="H11" authorId="0">
      <text>
        <r>
          <rPr>
            <sz val="10"/>
            <rFont val="Arial"/>
            <family val="2"/>
          </rPr>
          <t xml:space="preserve">MF40 · F03
Status: Yes
Grade: B
Source: S39
TI4950 ECG</t>
        </r>
      </text>
    </comment>
    <comment ref="H12" authorId="0">
      <text>
        <r>
          <rPr>
            <sz val="10"/>
            <rFont val="Arial"/>
            <family val="2"/>
          </rPr>
          <t xml:space="preserve">HW20 · F03
Status: Unknown
Grade: —
Source: —
Not documented in captured sources</t>
        </r>
      </text>
    </comment>
    <comment ref="H13" authorId="0">
      <text>
        <r>
          <rPr>
            <sz val="10"/>
            <rFont val="Arial"/>
            <family val="2"/>
          </rPr>
          <t xml:space="preserve">MF91Pro · F03
Status: Yes
Grade: B
Source: S16
ECG 500 Hz, TI4950</t>
        </r>
      </text>
    </comment>
    <comment ref="H14" authorId="0">
      <text>
        <r>
          <rPr>
            <sz val="10"/>
            <rFont val="Arial"/>
            <family val="2"/>
          </rPr>
          <t xml:space="preserve">HW20Pro · F03
Status: Unknown
Grade: —
Source: —
Not documented in captured sources</t>
        </r>
      </text>
    </comment>
    <comment ref="H15" authorId="0">
      <text>
        <r>
          <rPr>
            <sz val="10"/>
            <rFont val="Arial"/>
            <family val="2"/>
          </rPr>
          <t xml:space="preserve">HW19 · F03
Status: Unknown
Grade: —
Source: —
Not documented in captured sources</t>
        </r>
      </text>
    </comment>
    <comment ref="H16" authorId="0">
      <text>
        <r>
          <rPr>
            <sz val="10"/>
            <rFont val="Arial"/>
            <family val="2"/>
          </rPr>
          <t xml:space="preserve">CT20S · F03
Status: Unknown
Grade: —
Source: —
Not documented in captured sources</t>
        </r>
      </text>
    </comment>
    <comment ref="H17" authorId="0">
      <text>
        <r>
          <rPr>
            <sz val="10"/>
            <rFont val="Arial"/>
            <family val="2"/>
          </rPr>
          <t xml:space="preserve">CT30 (band) · F03
Status: Unknown
Grade: —
Source: —
Not documented in captured sources</t>
        </r>
      </text>
    </comment>
    <comment ref="H18" authorId="0">
      <text>
        <r>
          <rPr>
            <sz val="10"/>
            <rFont val="Arial"/>
            <family val="2"/>
          </rPr>
          <t xml:space="preserve">CT31 · F03
Status: Unknown
Grade: —
Source: —
Not documented in captured sources</t>
        </r>
      </text>
    </comment>
    <comment ref="H41" authorId="0">
      <text>
        <r>
          <rPr>
            <sz val="10"/>
            <rFont val="Arial"/>
            <family val="2"/>
          </rPr>
          <t xml:space="preserve">VB10 · T3
Grade: —
Source: —
Not documented</t>
        </r>
      </text>
    </comment>
    <comment ref="H42" authorId="0">
      <text>
        <r>
          <rPr>
            <sz val="10"/>
            <rFont val="Arial"/>
            <family val="2"/>
          </rPr>
          <t xml:space="preserve">CT29 · T3
Grade: C
Source: S04
Named only</t>
        </r>
      </text>
    </comment>
    <comment ref="H43" authorId="0">
      <text>
        <r>
          <rPr>
            <sz val="10"/>
            <rFont val="Arial"/>
            <family val="2"/>
          </rPr>
          <t xml:space="preserve">CT34 · T3
Grade: B
Source: S03
Method unspecified</t>
        </r>
      </text>
    </comment>
    <comment ref="H44" authorId="0">
      <text>
        <r>
          <rPr>
            <sz val="10"/>
            <rFont val="Arial"/>
            <family val="2"/>
          </rPr>
          <t xml:space="preserve">MF90 · T3
Grade: —
Source: —
Not documented</t>
        </r>
      </text>
    </comment>
    <comment ref="H45" authorId="0">
      <text>
        <r>
          <rPr>
            <sz val="10"/>
            <rFont val="Arial"/>
            <family val="2"/>
          </rPr>
          <t xml:space="preserve">MF91 · T3
Grade: —
Source: —
Not documented</t>
        </r>
      </text>
    </comment>
    <comment ref="H46" authorId="0">
      <text>
        <r>
          <rPr>
            <sz val="10"/>
            <rFont val="Arial"/>
            <family val="2"/>
          </rPr>
          <t xml:space="preserve">MF40 · T3
Grade: —
Source: —
Not documented</t>
        </r>
      </text>
    </comment>
    <comment ref="H47" authorId="0">
      <text>
        <r>
          <rPr>
            <sz val="10"/>
            <rFont val="Arial"/>
            <family val="2"/>
          </rPr>
          <t xml:space="preserve">HW20 · T3
Grade: C
Source: S12
Blog only</t>
        </r>
      </text>
    </comment>
    <comment ref="H48" authorId="0">
      <text>
        <r>
          <rPr>
            <sz val="10"/>
            <rFont val="Arial"/>
            <family val="2"/>
          </rPr>
          <t xml:space="preserve">MF91Pro · T3
Grade: —
Source: —
Not documented</t>
        </r>
      </text>
    </comment>
    <comment ref="H49" authorId="0">
      <text>
        <r>
          <rPr>
            <sz val="10"/>
            <rFont val="Arial"/>
            <family val="2"/>
          </rPr>
          <t xml:space="preserve">HW20Pro · T3
Grade: B
Source: S13
Method unspecified</t>
        </r>
      </text>
    </comment>
    <comment ref="H50" authorId="0">
      <text>
        <r>
          <rPr>
            <sz val="10"/>
            <rFont val="Arial"/>
            <family val="2"/>
          </rPr>
          <t xml:space="preserve">HW19 · T3
Grade: B
Source: S11
Barometric + motion + height change</t>
        </r>
      </text>
    </comment>
    <comment ref="H51" authorId="0">
      <text>
        <r>
          <rPr>
            <sz val="10"/>
            <rFont val="Arial"/>
            <family val="2"/>
          </rPr>
          <t xml:space="preserve">CT20S · T3
Grade: B
Source: S09
Method unspecified</t>
        </r>
      </text>
    </comment>
    <comment ref="H52" authorId="0">
      <text>
        <r>
          <rPr>
            <sz val="10"/>
            <rFont val="Arial"/>
            <family val="2"/>
          </rPr>
          <t xml:space="preserve">CT30 (band) · T3
Grade: —
Source: —
Not documented</t>
        </r>
      </text>
    </comment>
    <comment ref="H53" authorId="0">
      <text>
        <r>
          <rPr>
            <sz val="10"/>
            <rFont val="Arial"/>
            <family val="2"/>
          </rPr>
          <t xml:space="preserve">CT31 · T3
Grade: —
Source: —
Not documented</t>
        </r>
      </text>
    </comment>
    <comment ref="I6" authorId="0">
      <text>
        <r>
          <rPr>
            <sz val="10"/>
            <rFont val="Arial"/>
            <family val="2"/>
          </rPr>
          <t xml:space="preserve">VB10 · F04
Status: Yes
Grade: B
Source: S01
Via 4-channel optical</t>
        </r>
      </text>
    </comment>
    <comment ref="I7" authorId="0">
      <text>
        <r>
          <rPr>
            <sz val="10"/>
            <rFont val="Arial"/>
            <family val="2"/>
          </rPr>
          <t xml:space="preserve">CT29 · F04
Status: Unknown
Grade: —
Source: —
Not documented in captured sources</t>
        </r>
      </text>
    </comment>
    <comment ref="I8" authorId="0">
      <text>
        <r>
          <rPr>
            <sz val="10"/>
            <rFont val="Arial"/>
            <family val="2"/>
          </rPr>
          <t xml:space="preserve">CT34 · F04
Status: Unknown
Grade: —
Source: —
Not documented in captured sources</t>
        </r>
      </text>
    </comment>
    <comment ref="I9" authorId="0">
      <text>
        <r>
          <rPr>
            <sz val="10"/>
            <rFont val="Arial"/>
            <family val="2"/>
          </rPr>
          <t xml:space="preserve">MF90 · F04
Status: Yes
Grade: B
Source: S14
</t>
        </r>
      </text>
    </comment>
    <comment ref="I10" authorId="0">
      <text>
        <r>
          <rPr>
            <sz val="10"/>
            <rFont val="Arial"/>
            <family val="2"/>
          </rPr>
          <t xml:space="preserve">MF91 · F04
Status: Yes
Grade: B
Source: S15
</t>
        </r>
      </text>
    </comment>
    <comment ref="I11" authorId="0">
      <text>
        <r>
          <rPr>
            <sz val="10"/>
            <rFont val="Arial"/>
            <family val="2"/>
          </rPr>
          <t xml:space="preserve">MF40 · F04
Status: Yes
Grade: B
Source: S39
</t>
        </r>
      </text>
    </comment>
    <comment ref="I12" authorId="0">
      <text>
        <r>
          <rPr>
            <sz val="10"/>
            <rFont val="Arial"/>
            <family val="2"/>
          </rPr>
          <t xml:space="preserve">HW20 · F04
Status: Yes
Grade: B
Source: S12
Continuous SpO2</t>
        </r>
      </text>
    </comment>
    <comment ref="I13" authorId="0">
      <text>
        <r>
          <rPr>
            <sz val="10"/>
            <rFont val="Arial"/>
            <family val="2"/>
          </rPr>
          <t xml:space="preserve">MF91Pro · F04
Status: Unknown
Grade: —
Source: —
Not documented in captured sources</t>
        </r>
      </text>
    </comment>
    <comment ref="I14" authorId="0">
      <text>
        <r>
          <rPr>
            <sz val="10"/>
            <rFont val="Arial"/>
            <family val="2"/>
          </rPr>
          <t xml:space="preserve">HW20Pro · F04
Status: Unknown
Grade: —
Source: —
Not documented in captured sources</t>
        </r>
      </text>
    </comment>
    <comment ref="I15" authorId="0">
      <text>
        <r>
          <rPr>
            <sz val="10"/>
            <rFont val="Arial"/>
            <family val="2"/>
          </rPr>
          <t xml:space="preserve">HW19 · F04
Status: Yes
Grade: B
Source: S11
</t>
        </r>
      </text>
    </comment>
    <comment ref="I16" authorId="0">
      <text>
        <r>
          <rPr>
            <sz val="10"/>
            <rFont val="Arial"/>
            <family val="2"/>
          </rPr>
          <t xml:space="preserve">CT20S · F04
Status: Unknown
Grade: —
Source: —
Not documented in captured sources</t>
        </r>
      </text>
    </comment>
    <comment ref="I17" authorId="0">
      <text>
        <r>
          <rPr>
            <sz val="10"/>
            <rFont val="Arial"/>
            <family val="2"/>
          </rPr>
          <t xml:space="preserve">CT30 (band) · F04
Status: Unknown
Grade: —
Source: —
Not documented in captured sources</t>
        </r>
      </text>
    </comment>
    <comment ref="I18" authorId="0">
      <text>
        <r>
          <rPr>
            <sz val="10"/>
            <rFont val="Arial"/>
            <family val="2"/>
          </rPr>
          <t xml:space="preserve">CT31 · F04
Status: Yes
Grade: B
Source: S06
One-touch check</t>
        </r>
      </text>
    </comment>
    <comment ref="I41" authorId="0">
      <text>
        <r>
          <rPr>
            <sz val="10"/>
            <rFont val="Arial"/>
            <family val="2"/>
          </rPr>
          <t xml:space="preserve">VB10 · T4
Grade: C
Source: S01
No GNSS</t>
        </r>
      </text>
    </comment>
    <comment ref="I42" authorId="0">
      <text>
        <r>
          <rPr>
            <sz val="10"/>
            <rFont val="Arial"/>
            <family val="2"/>
          </rPr>
          <t xml:space="preserve">CT29 · T4
Grade: —
Source: —
Not documented</t>
        </r>
      </text>
    </comment>
    <comment ref="I43" authorId="0">
      <text>
        <r>
          <rPr>
            <sz val="10"/>
            <rFont val="Arial"/>
            <family val="2"/>
          </rPr>
          <t xml:space="preserve">CT34 · T4
Grade: B
Source: S03
GPS+LBS+Wi-Fi</t>
        </r>
      </text>
    </comment>
    <comment ref="I44" authorId="0">
      <text>
        <r>
          <rPr>
            <sz val="10"/>
            <rFont val="Arial"/>
            <family val="2"/>
          </rPr>
          <t xml:space="preserve">MF90 · T4
Grade: C
Source: S14
</t>
        </r>
      </text>
    </comment>
    <comment ref="I45" authorId="0">
      <text>
        <r>
          <rPr>
            <sz val="10"/>
            <rFont val="Arial"/>
            <family val="2"/>
          </rPr>
          <t xml:space="preserve">MF91 · T4
Grade: C
Source: S15
</t>
        </r>
      </text>
    </comment>
    <comment ref="I46" authorId="0">
      <text>
        <r>
          <rPr>
            <sz val="10"/>
            <rFont val="Arial"/>
            <family val="2"/>
          </rPr>
          <t xml:space="preserve">MF40 · T4
Grade: C
Source: S17
</t>
        </r>
      </text>
    </comment>
    <comment ref="I47" authorId="0">
      <text>
        <r>
          <rPr>
            <sz val="10"/>
            <rFont val="Arial"/>
            <family val="2"/>
          </rPr>
          <t xml:space="preserve">HW20 · T4
Grade: B
Source: S12
GPS+BeiDou+Wi-Fi</t>
        </r>
      </text>
    </comment>
    <comment ref="I48" authorId="0">
      <text>
        <r>
          <rPr>
            <sz val="10"/>
            <rFont val="Arial"/>
            <family val="2"/>
          </rPr>
          <t xml:space="preserve">MF91Pro · T4
Grade: C
Source: S16
</t>
        </r>
      </text>
    </comment>
    <comment ref="I49" authorId="0">
      <text>
        <r>
          <rPr>
            <sz val="10"/>
            <rFont val="Arial"/>
            <family val="2"/>
          </rPr>
          <t xml:space="preserve">HW20Pro · T4
Grade: C
Source: S12
Family page</t>
        </r>
      </text>
    </comment>
    <comment ref="I50" authorId="0">
      <text>
        <r>
          <rPr>
            <sz val="10"/>
            <rFont val="Arial"/>
            <family val="2"/>
          </rPr>
          <t xml:space="preserve">HW19 · T4
Grade: B
Source: S11
Multi-GNSS + Wi-Fi + LBS</t>
        </r>
      </text>
    </comment>
    <comment ref="I51" authorId="0">
      <text>
        <r>
          <rPr>
            <sz val="10"/>
            <rFont val="Arial"/>
            <family val="2"/>
          </rPr>
          <t xml:space="preserve">CT20S · T4
Grade: B
Source: S09
GPS documented; other modes not</t>
        </r>
      </text>
    </comment>
    <comment ref="I52" authorId="0">
      <text>
        <r>
          <rPr>
            <sz val="10"/>
            <rFont val="Arial"/>
            <family val="2"/>
          </rPr>
          <t xml:space="preserve">CT30 (band) · T4
Grade: B
Source: S08
GPS+Wi-Fi+LBS</t>
        </r>
      </text>
    </comment>
    <comment ref="I53" authorId="0">
      <text>
        <r>
          <rPr>
            <sz val="10"/>
            <rFont val="Arial"/>
            <family val="2"/>
          </rPr>
          <t xml:space="preserve">CT31 · T4
Grade: B
Source: S06
GPS+Wi-Fi+AGPS+LBS</t>
        </r>
      </text>
    </comment>
    <comment ref="J6" authorId="0">
      <text>
        <r>
          <rPr>
            <sz val="10"/>
            <rFont val="Arial"/>
            <family val="2"/>
          </rPr>
          <t xml:space="preserve">VB10 · F05
Status: Unknown
Grade: —
Source: —
Not documented in captured sources</t>
        </r>
      </text>
    </comment>
    <comment ref="J7" authorId="0">
      <text>
        <r>
          <rPr>
            <sz val="10"/>
            <rFont val="Arial"/>
            <family val="2"/>
          </rPr>
          <t xml:space="preserve">CT29 · F05
Status: Unknown
Grade: —
Source: —
Not documented in captured sources</t>
        </r>
      </text>
    </comment>
    <comment ref="J8" authorId="0">
      <text>
        <r>
          <rPr>
            <sz val="10"/>
            <rFont val="Arial"/>
            <family val="2"/>
          </rPr>
          <t xml:space="preserve">CT34 · F05
Status: Unknown
Grade: —
Source: —
Not documented in captured sources</t>
        </r>
      </text>
    </comment>
    <comment ref="J9" authorId="0">
      <text>
        <r>
          <rPr>
            <sz val="10"/>
            <rFont val="Arial"/>
            <family val="2"/>
          </rPr>
          <t xml:space="preserve">MF90 · F05
Status: Conditional
Grade: B
Source: S39
BP estimation (optical)</t>
        </r>
      </text>
    </comment>
    <comment ref="J10" authorId="0">
      <text>
        <r>
          <rPr>
            <sz val="10"/>
            <rFont val="Arial"/>
            <family val="2"/>
          </rPr>
          <t xml:space="preserve">MF91 · F05
Status: Conditional
Grade: B
Source: S39
BP estimation (optical)</t>
        </r>
      </text>
    </comment>
    <comment ref="J11" authorId="0">
      <text>
        <r>
          <rPr>
            <sz val="10"/>
            <rFont val="Arial"/>
            <family val="2"/>
          </rPr>
          <t xml:space="preserve">MF40 · F05
Status: Yes
Grade: B
Source: S39
Murata piezo air pump (oscillometric)</t>
        </r>
      </text>
    </comment>
    <comment ref="J12" authorId="0">
      <text>
        <r>
          <rPr>
            <sz val="10"/>
            <rFont val="Arial"/>
            <family val="2"/>
          </rPr>
          <t xml:space="preserve">HW20 · F05
Status: Yes
Grade: B
Source: S12
Oscillometric air pump</t>
        </r>
      </text>
    </comment>
    <comment ref="J13" authorId="0">
      <text>
        <r>
          <rPr>
            <sz val="10"/>
            <rFont val="Arial"/>
            <family val="2"/>
          </rPr>
          <t xml:space="preserve">MF91Pro · F05
Status: Unknown
Grade: —
Source: —
Not documented in captured sources</t>
        </r>
      </text>
    </comment>
    <comment ref="J14" authorId="0">
      <text>
        <r>
          <rPr>
            <sz val="10"/>
            <rFont val="Arial"/>
            <family val="2"/>
          </rPr>
          <t xml:space="preserve">HW20Pro · F05
Status: Yes
Grade: B
Source: S13
Air-pump airbag in strap</t>
        </r>
      </text>
    </comment>
    <comment ref="J15" authorId="0">
      <text>
        <r>
          <rPr>
            <sz val="10"/>
            <rFont val="Arial"/>
            <family val="2"/>
          </rPr>
          <t xml:space="preserve">HW19 · F05
Status: Conditional
Grade: B
Source: S11
Estimated; 'wellness reference only'</t>
        </r>
      </text>
    </comment>
    <comment ref="J16" authorId="0">
      <text>
        <r>
          <rPr>
            <sz val="10"/>
            <rFont val="Arial"/>
            <family val="2"/>
          </rPr>
          <t xml:space="preserve">CT20S · F05
Status: Unknown
Grade: —
Source: —
Not documented in captured sources</t>
        </r>
      </text>
    </comment>
    <comment ref="J17" authorId="0">
      <text>
        <r>
          <rPr>
            <sz val="10"/>
            <rFont val="Arial"/>
            <family val="2"/>
          </rPr>
          <t xml:space="preserve">CT30 (band) · F05
Status: Conditional
Grade: B
Source: S08
'BP test' — method not stated</t>
        </r>
      </text>
    </comment>
    <comment ref="J18" authorId="0">
      <text>
        <r>
          <rPr>
            <sz val="10"/>
            <rFont val="Arial"/>
            <family val="2"/>
          </rPr>
          <t xml:space="preserve">CT31 · F05
Status: Conditional
Grade: B
Source: S06
One-touch BP; method not stated</t>
        </r>
      </text>
    </comment>
    <comment ref="J41" authorId="0">
      <text>
        <r>
          <rPr>
            <sz val="10"/>
            <rFont val="Arial"/>
            <family val="2"/>
          </rPr>
          <t xml:space="preserve">VB10 · T5
Grade: —
Source: —
Not documented</t>
        </r>
      </text>
    </comment>
    <comment ref="J42" authorId="0">
      <text>
        <r>
          <rPr>
            <sz val="10"/>
            <rFont val="Arial"/>
            <family val="2"/>
          </rPr>
          <t xml:space="preserve">CT29 · T5
Grade: —
Source: —
Not documented</t>
        </r>
      </text>
    </comment>
    <comment ref="J43" authorId="0">
      <text>
        <r>
          <rPr>
            <sz val="10"/>
            <rFont val="Arial"/>
            <family val="2"/>
          </rPr>
          <t xml:space="preserve">CT34 · T5
Grade: —
Source: —
Not documented</t>
        </r>
      </text>
    </comment>
    <comment ref="J44" authorId="0">
      <text>
        <r>
          <rPr>
            <sz val="10"/>
            <rFont val="Arial"/>
            <family val="2"/>
          </rPr>
          <t xml:space="preserve">MF90 · T5
Grade: —
Source: —
Not documented</t>
        </r>
      </text>
    </comment>
    <comment ref="J45" authorId="0">
      <text>
        <r>
          <rPr>
            <sz val="10"/>
            <rFont val="Arial"/>
            <family val="2"/>
          </rPr>
          <t xml:space="preserve">MF91 · T5
Grade: —
Source: —
Not documented</t>
        </r>
      </text>
    </comment>
    <comment ref="J46" authorId="0">
      <text>
        <r>
          <rPr>
            <sz val="10"/>
            <rFont val="Arial"/>
            <family val="2"/>
          </rPr>
          <t xml:space="preserve">MF40 · T5
Grade: —
Source: —
Not documented</t>
        </r>
      </text>
    </comment>
    <comment ref="J47" authorId="0">
      <text>
        <r>
          <rPr>
            <sz val="10"/>
            <rFont val="Arial"/>
            <family val="2"/>
          </rPr>
          <t xml:space="preserve">HW20 · T5
Grade: —
Source: —
Not documented</t>
        </r>
      </text>
    </comment>
    <comment ref="J48" authorId="0">
      <text>
        <r>
          <rPr>
            <sz val="10"/>
            <rFont val="Arial"/>
            <family val="2"/>
          </rPr>
          <t xml:space="preserve">MF91Pro · T5
Grade: —
Source: —
Not documented</t>
        </r>
      </text>
    </comment>
    <comment ref="J49" authorId="0">
      <text>
        <r>
          <rPr>
            <sz val="10"/>
            <rFont val="Arial"/>
            <family val="2"/>
          </rPr>
          <t xml:space="preserve">HW20Pro · T5
Grade: —
Source: —
Not documented</t>
        </r>
      </text>
    </comment>
    <comment ref="J50" authorId="0">
      <text>
        <r>
          <rPr>
            <sz val="10"/>
            <rFont val="Arial"/>
            <family val="2"/>
          </rPr>
          <t xml:space="preserve">HW19 · T5
Grade: —
Source: —
Not documented</t>
        </r>
      </text>
    </comment>
    <comment ref="J51" authorId="0">
      <text>
        <r>
          <rPr>
            <sz val="10"/>
            <rFont val="Arial"/>
            <family val="2"/>
          </rPr>
          <t xml:space="preserve">CT20S · T5
Grade: —
Source: —
Not documented</t>
        </r>
      </text>
    </comment>
    <comment ref="J52" authorId="0">
      <text>
        <r>
          <rPr>
            <sz val="10"/>
            <rFont val="Arial"/>
            <family val="2"/>
          </rPr>
          <t xml:space="preserve">CT30 (band) · T5
Grade: —
Source: —
Not documented</t>
        </r>
      </text>
    </comment>
    <comment ref="J53" authorId="0">
      <text>
        <r>
          <rPr>
            <sz val="10"/>
            <rFont val="Arial"/>
            <family val="2"/>
          </rPr>
          <t xml:space="preserve">CT31 · T5
Grade: —
Source: —
Not documented</t>
        </r>
      </text>
    </comment>
    <comment ref="K6" authorId="0">
      <text>
        <r>
          <rPr>
            <sz val="10"/>
            <rFont val="Arial"/>
            <family val="2"/>
          </rPr>
          <t xml:space="preserve">VB10 · F06
Status: Yes
Grade: B
Source: S01
Skin temperature</t>
        </r>
      </text>
    </comment>
    <comment ref="K7" authorId="0">
      <text>
        <r>
          <rPr>
            <sz val="10"/>
            <rFont val="Arial"/>
            <family val="2"/>
          </rPr>
          <t xml:space="preserve">CT29 · F06
Status: Unknown
Grade: —
Source: —
Not documented in captured sources</t>
        </r>
      </text>
    </comment>
    <comment ref="K8" authorId="0">
      <text>
        <r>
          <rPr>
            <sz val="10"/>
            <rFont val="Arial"/>
            <family val="2"/>
          </rPr>
          <t xml:space="preserve">CT34 · F06
Status: Unknown
Grade: —
Source: —
Not documented in captured sources</t>
        </r>
      </text>
    </comment>
    <comment ref="K9" authorId="0">
      <text>
        <r>
          <rPr>
            <sz val="10"/>
            <rFont val="Arial"/>
            <family val="2"/>
          </rPr>
          <t xml:space="preserve">MF90 · F06
Status: Yes
Grade: B
Source: S39
</t>
        </r>
      </text>
    </comment>
    <comment ref="K10" authorId="0">
      <text>
        <r>
          <rPr>
            <sz val="10"/>
            <rFont val="Arial"/>
            <family val="2"/>
          </rPr>
          <t xml:space="preserve">MF91 · F06
Status: Yes
Grade: B
Source: S39
</t>
        </r>
      </text>
    </comment>
    <comment ref="K11" authorId="0">
      <text>
        <r>
          <rPr>
            <sz val="10"/>
            <rFont val="Arial"/>
            <family val="2"/>
          </rPr>
          <t xml:space="preserve">MF40 · F06
Status: Unknown
Grade: —
Source: —
Not documented in captured sources</t>
        </r>
      </text>
    </comment>
    <comment ref="K12" authorId="0">
      <text>
        <r>
          <rPr>
            <sz val="10"/>
            <rFont val="Arial"/>
            <family val="2"/>
          </rPr>
          <t xml:space="preserve">HW20 · F06
Status: Unknown
Grade: —
Source: —
Not documented in captured sources</t>
        </r>
      </text>
    </comment>
    <comment ref="K13" authorId="0">
      <text>
        <r>
          <rPr>
            <sz val="10"/>
            <rFont val="Arial"/>
            <family val="2"/>
          </rPr>
          <t xml:space="preserve">MF91Pro · F06
Status: Unknown
Grade: —
Source: —
Not documented in captured sources</t>
        </r>
      </text>
    </comment>
    <comment ref="K14" authorId="0">
      <text>
        <r>
          <rPr>
            <sz val="10"/>
            <rFont val="Arial"/>
            <family val="2"/>
          </rPr>
          <t xml:space="preserve">HW20Pro · F06
Status: Unknown
Grade: —
Source: —
Not documented in captured sources</t>
        </r>
      </text>
    </comment>
    <comment ref="K15" authorId="0">
      <text>
        <r>
          <rPr>
            <sz val="10"/>
            <rFont val="Arial"/>
            <family val="2"/>
          </rPr>
          <t xml:space="preserve">HW19 · F06
Status: Unknown
Grade: —
Source: —
Not documented in captured sources</t>
        </r>
      </text>
    </comment>
    <comment ref="K16" authorId="0">
      <text>
        <r>
          <rPr>
            <sz val="10"/>
            <rFont val="Arial"/>
            <family val="2"/>
          </rPr>
          <t xml:space="preserve">CT20S · F06
Status: Yes
Grade: B
Source: S09
Body temperature alerts</t>
        </r>
      </text>
    </comment>
    <comment ref="K17" authorId="0">
      <text>
        <r>
          <rPr>
            <sz val="10"/>
            <rFont val="Arial"/>
            <family val="2"/>
          </rPr>
          <t xml:space="preserve">CT30 (band) · F06
Status: Unknown
Grade: —
Source: —
Not documented in captured sources</t>
        </r>
      </text>
    </comment>
    <comment ref="K18" authorId="0">
      <text>
        <r>
          <rPr>
            <sz val="10"/>
            <rFont val="Arial"/>
            <family val="2"/>
          </rPr>
          <t xml:space="preserve">CT31 · F06
Status: Yes
Grade: B
Source: S06
</t>
        </r>
      </text>
    </comment>
    <comment ref="K41" authorId="0">
      <text>
        <r>
          <rPr>
            <sz val="10"/>
            <rFont val="Arial"/>
            <family val="2"/>
          </rPr>
          <t xml:space="preserve">VB10 · T6
Grade: —
Source: —
Not documented</t>
        </r>
      </text>
    </comment>
    <comment ref="K42" authorId="0">
      <text>
        <r>
          <rPr>
            <sz val="10"/>
            <rFont val="Arial"/>
            <family val="2"/>
          </rPr>
          <t xml:space="preserve">CT29 · T6
Grade: —
Source: —
Not documented</t>
        </r>
      </text>
    </comment>
    <comment ref="K43" authorId="0">
      <text>
        <r>
          <rPr>
            <sz val="10"/>
            <rFont val="Arial"/>
            <family val="2"/>
          </rPr>
          <t xml:space="preserve">CT34 · T6
Grade: —
Source: —
Not documented</t>
        </r>
      </text>
    </comment>
    <comment ref="K44" authorId="0">
      <text>
        <r>
          <rPr>
            <sz val="10"/>
            <rFont val="Arial"/>
            <family val="2"/>
          </rPr>
          <t xml:space="preserve">MF90 · T6
Grade: B
Source: S39
Estimate</t>
        </r>
      </text>
    </comment>
    <comment ref="K45" authorId="0">
      <text>
        <r>
          <rPr>
            <sz val="10"/>
            <rFont val="Arial"/>
            <family val="2"/>
          </rPr>
          <t xml:space="preserve">MF91 · T6
Grade: B
Source: S39
Estimate</t>
        </r>
      </text>
    </comment>
    <comment ref="K46" authorId="0">
      <text>
        <r>
          <rPr>
            <sz val="10"/>
            <rFont val="Arial"/>
            <family val="2"/>
          </rPr>
          <t xml:space="preserve">MF40 · T6
Grade: B
Source: S39
Murata air pump</t>
        </r>
      </text>
    </comment>
    <comment ref="K47" authorId="0">
      <text>
        <r>
          <rPr>
            <sz val="10"/>
            <rFont val="Arial"/>
            <family val="2"/>
          </rPr>
          <t xml:space="preserve">HW20 · T6
Grade: B
Source: S12
Air pump</t>
        </r>
      </text>
    </comment>
    <comment ref="K48" authorId="0">
      <text>
        <r>
          <rPr>
            <sz val="10"/>
            <rFont val="Arial"/>
            <family val="2"/>
          </rPr>
          <t xml:space="preserve">MF91Pro · T6
Grade: —
Source: —
Not documented</t>
        </r>
      </text>
    </comment>
    <comment ref="K49" authorId="0">
      <text>
        <r>
          <rPr>
            <sz val="10"/>
            <rFont val="Arial"/>
            <family val="2"/>
          </rPr>
          <t xml:space="preserve">HW20Pro · T6
Grade: B
Source: S13
Air pump</t>
        </r>
      </text>
    </comment>
    <comment ref="K50" authorId="0">
      <text>
        <r>
          <rPr>
            <sz val="10"/>
            <rFont val="Arial"/>
            <family val="2"/>
          </rPr>
          <t xml:space="preserve">HW19 · T6
Grade: B
Source: S11
Estimate</t>
        </r>
      </text>
    </comment>
    <comment ref="K51" authorId="0">
      <text>
        <r>
          <rPr>
            <sz val="10"/>
            <rFont val="Arial"/>
            <family val="2"/>
          </rPr>
          <t xml:space="preserve">CT20S · T6
Grade: —
Source: —
Not documented</t>
        </r>
      </text>
    </comment>
    <comment ref="K52" authorId="0">
      <text>
        <r>
          <rPr>
            <sz val="10"/>
            <rFont val="Arial"/>
            <family val="2"/>
          </rPr>
          <t xml:space="preserve">CT30 (band) · T6
Grade: B
Source: S08
Method not stated</t>
        </r>
      </text>
    </comment>
    <comment ref="K53" authorId="0">
      <text>
        <r>
          <rPr>
            <sz val="10"/>
            <rFont val="Arial"/>
            <family val="2"/>
          </rPr>
          <t xml:space="preserve">CT31 · T6
Grade: B
Source: S06
Method not stated</t>
        </r>
      </text>
    </comment>
    <comment ref="L6" authorId="0">
      <text>
        <r>
          <rPr>
            <sz val="10"/>
            <rFont val="Arial"/>
            <family val="2"/>
          </rPr>
          <t xml:space="preserve">VB10 · F07
Status: Yes
Grade: B
Source: S01
Deep / light / REM</t>
        </r>
      </text>
    </comment>
    <comment ref="L7" authorId="0">
      <text>
        <r>
          <rPr>
            <sz val="10"/>
            <rFont val="Arial"/>
            <family val="2"/>
          </rPr>
          <t xml:space="preserve">CT29 · F07
Status: Unknown
Grade: —
Source: —
Not documented in captured sources</t>
        </r>
      </text>
    </comment>
    <comment ref="L8" authorId="0">
      <text>
        <r>
          <rPr>
            <sz val="10"/>
            <rFont val="Arial"/>
            <family val="2"/>
          </rPr>
          <t xml:space="preserve">CT34 · F07
Status: Unknown
Grade: —
Source: —
Not documented in captured sources</t>
        </r>
      </text>
    </comment>
    <comment ref="L9" authorId="0">
      <text>
        <r>
          <rPr>
            <sz val="10"/>
            <rFont val="Arial"/>
            <family val="2"/>
          </rPr>
          <t xml:space="preserve">MF90 · F07
Status: Yes
Grade: B
Source: S14
24 h sleep</t>
        </r>
      </text>
    </comment>
    <comment ref="L10" authorId="0">
      <text>
        <r>
          <rPr>
            <sz val="10"/>
            <rFont val="Arial"/>
            <family val="2"/>
          </rPr>
          <t xml:space="preserve">MF91 · F07
Status: Yes
Grade: B
Source: S15
</t>
        </r>
      </text>
    </comment>
    <comment ref="L11" authorId="0">
      <text>
        <r>
          <rPr>
            <sz val="10"/>
            <rFont val="Arial"/>
            <family val="2"/>
          </rPr>
          <t xml:space="preserve">MF40 · F07
Status: Yes
Grade: C
Source: S39
Shown on watch UI in capture</t>
        </r>
      </text>
    </comment>
    <comment ref="L12" authorId="0">
      <text>
        <r>
          <rPr>
            <sz val="10"/>
            <rFont val="Arial"/>
            <family val="2"/>
          </rPr>
          <t xml:space="preserve">HW20 · F07
Status: Yes
Grade: B
Source: S12
</t>
        </r>
      </text>
    </comment>
    <comment ref="L13" authorId="0">
      <text>
        <r>
          <rPr>
            <sz val="10"/>
            <rFont val="Arial"/>
            <family val="2"/>
          </rPr>
          <t xml:space="preserve">MF91Pro · F07
Status: Unknown
Grade: —
Source: —
Not documented in captured sources</t>
        </r>
      </text>
    </comment>
    <comment ref="L14" authorId="0">
      <text>
        <r>
          <rPr>
            <sz val="10"/>
            <rFont val="Arial"/>
            <family val="2"/>
          </rPr>
          <t xml:space="preserve">HW20Pro · F07
Status: Unknown
Grade: —
Source: —
Not documented in captured sources</t>
        </r>
      </text>
    </comment>
    <comment ref="L15" authorId="0">
      <text>
        <r>
          <rPr>
            <sz val="10"/>
            <rFont val="Arial"/>
            <family val="2"/>
          </rPr>
          <t xml:space="preserve">HW19 · F07
Status: Yes
Grade: B
Source: S11
</t>
        </r>
      </text>
    </comment>
    <comment ref="L16" authorId="0">
      <text>
        <r>
          <rPr>
            <sz val="10"/>
            <rFont val="Arial"/>
            <family val="2"/>
          </rPr>
          <t xml:space="preserve">CT20S · F07
Status: Yes
Grade: C
Source: S09
Wonlex blog</t>
        </r>
      </text>
    </comment>
    <comment ref="L17" authorId="0">
      <text>
        <r>
          <rPr>
            <sz val="10"/>
            <rFont val="Arial"/>
            <family val="2"/>
          </rPr>
          <t xml:space="preserve">CT30 (band) · F07
Status: Unknown
Grade: —
Source: —
Not documented in captured sources</t>
        </r>
      </text>
    </comment>
    <comment ref="L18" authorId="0">
      <text>
        <r>
          <rPr>
            <sz val="10"/>
            <rFont val="Arial"/>
            <family val="2"/>
          </rPr>
          <t xml:space="preserve">CT31 · F07
Status: Unknown
Grade: —
Source: —
Not documented in captured sources</t>
        </r>
      </text>
    </comment>
    <comment ref="L41" authorId="0">
      <text>
        <r>
          <rPr>
            <sz val="10"/>
            <rFont val="Arial"/>
            <family val="2"/>
          </rPr>
          <t xml:space="preserve">VB10 · T7
Grade: —
Source: —
BLE device</t>
        </r>
      </text>
    </comment>
    <comment ref="L42" authorId="0">
      <text>
        <r>
          <rPr>
            <sz val="10"/>
            <rFont val="Arial"/>
            <family val="2"/>
          </rPr>
          <t xml:space="preserve">CT29 · T7
Grade: —
Source: —
Bands unknown</t>
        </r>
      </text>
    </comment>
    <comment ref="L43" authorId="0">
      <text>
        <r>
          <rPr>
            <sz val="10"/>
            <rFont val="Arial"/>
            <family val="2"/>
          </rPr>
          <t xml:space="preserve">CT34 · T7
Grade: B
Source: S03
B1/B3/B7/B8/B20</t>
        </r>
      </text>
    </comment>
    <comment ref="L44" authorId="0">
      <text>
        <r>
          <rPr>
            <sz val="10"/>
            <rFont val="Arial"/>
            <family val="2"/>
          </rPr>
          <t xml:space="preserve">MF90 · T7
Grade: —
Source: —
BLE device</t>
        </r>
      </text>
    </comment>
    <comment ref="L45" authorId="0">
      <text>
        <r>
          <rPr>
            <sz val="10"/>
            <rFont val="Arial"/>
            <family val="2"/>
          </rPr>
          <t xml:space="preserve">MF91 · T7
Grade: —
Source: —
BLE device</t>
        </r>
      </text>
    </comment>
    <comment ref="L46" authorId="0">
      <text>
        <r>
          <rPr>
            <sz val="10"/>
            <rFont val="Arial"/>
            <family val="2"/>
          </rPr>
          <t xml:space="preserve">MF40 · T7
Grade: —
Source: —
BLE device</t>
        </r>
      </text>
    </comment>
    <comment ref="L47" authorId="0">
      <text>
        <r>
          <rPr>
            <sz val="10"/>
            <rFont val="Arial"/>
            <family val="2"/>
          </rPr>
          <t xml:space="preserve">HW20 · T7
Grade: B
Source: S12
B1/B3/B7/B8/B20/B28A</t>
        </r>
      </text>
    </comment>
    <comment ref="L48" authorId="0">
      <text>
        <r>
          <rPr>
            <sz val="10"/>
            <rFont val="Arial"/>
            <family val="2"/>
          </rPr>
          <t xml:space="preserve">MF91Pro · T7
Grade: —
Source: —
BLE device</t>
        </r>
      </text>
    </comment>
    <comment ref="L49" authorId="0">
      <text>
        <r>
          <rPr>
            <sz val="10"/>
            <rFont val="Arial"/>
            <family val="2"/>
          </rPr>
          <t xml:space="preserve">HW20Pro · T7
Grade: C
Source: S12
Per HW20 family</t>
        </r>
      </text>
    </comment>
    <comment ref="L50" authorId="0">
      <text>
        <r>
          <rPr>
            <sz val="10"/>
            <rFont val="Arial"/>
            <family val="2"/>
          </rPr>
          <t xml:space="preserve">HW19 · T7
Grade: —
Source: —
Not documented</t>
        </r>
      </text>
    </comment>
    <comment ref="L51" authorId="0">
      <text>
        <r>
          <rPr>
            <sz val="10"/>
            <rFont val="Arial"/>
            <family val="2"/>
          </rPr>
          <t xml:space="preserve">CT20S · T7
Grade: —
Source: —
Not documented</t>
        </r>
      </text>
    </comment>
    <comment ref="L52" authorId="0">
      <text>
        <r>
          <rPr>
            <sz val="10"/>
            <rFont val="Arial"/>
            <family val="2"/>
          </rPr>
          <t xml:space="preserve">CT30 (band) · T7
Grade: —
Source: —
Not documented</t>
        </r>
      </text>
    </comment>
    <comment ref="L53" authorId="0">
      <text>
        <r>
          <rPr>
            <sz val="10"/>
            <rFont val="Arial"/>
            <family val="2"/>
          </rPr>
          <t xml:space="preserve">CT31 · T7
Grade: —
Source: —
Not documented</t>
        </r>
      </text>
    </comment>
    <comment ref="M6" authorId="0">
      <text>
        <r>
          <rPr>
            <sz val="10"/>
            <rFont val="Arial"/>
            <family val="2"/>
          </rPr>
          <t xml:space="preserve">VB10 · F08
Status: Yes
Grade: B
Source: S01
6-axis motion: steps, calories, distance; 120+ sports modes</t>
        </r>
      </text>
    </comment>
    <comment ref="M7" authorId="0">
      <text>
        <r>
          <rPr>
            <sz val="10"/>
            <rFont val="Arial"/>
            <family val="2"/>
          </rPr>
          <t xml:space="preserve">CT29 · F08
Status: Unknown
Grade: —
Source: —
Not documented in captured sources</t>
        </r>
      </text>
    </comment>
    <comment ref="M8" authorId="0">
      <text>
        <r>
          <rPr>
            <sz val="10"/>
            <rFont val="Arial"/>
            <family val="2"/>
          </rPr>
          <t xml:space="preserve">CT34 · F08
Status: Unknown
Grade: —
Source: —
Not documented in captured sources</t>
        </r>
      </text>
    </comment>
    <comment ref="M9" authorId="0">
      <text>
        <r>
          <rPr>
            <sz val="10"/>
            <rFont val="Arial"/>
            <family val="2"/>
          </rPr>
          <t xml:space="preserve">MF90 · F08
Status: Yes
Grade: C
Source: S14
'Sports mode' in description</t>
        </r>
      </text>
    </comment>
    <comment ref="M10" authorId="0">
      <text>
        <r>
          <rPr>
            <sz val="10"/>
            <rFont val="Arial"/>
            <family val="2"/>
          </rPr>
          <t xml:space="preserve">MF91 · F08
Status: Yes
Grade: B
Source: S15
120+ sports modes</t>
        </r>
      </text>
    </comment>
    <comment ref="M11" authorId="0">
      <text>
        <r>
          <rPr>
            <sz val="10"/>
            <rFont val="Arial"/>
            <family val="2"/>
          </rPr>
          <t xml:space="preserve">MF40 · F08
Status: Yes
Grade: C
Source: S39
Steps shown on watch UI</t>
        </r>
      </text>
    </comment>
    <comment ref="M12" authorId="0">
      <text>
        <r>
          <rPr>
            <sz val="10"/>
            <rFont val="Arial"/>
            <family val="2"/>
          </rPr>
          <t xml:space="preserve">HW20 · F08
Status: Yes
Grade: C
Source: S39
Steps shown on watch UI</t>
        </r>
      </text>
    </comment>
    <comment ref="M13" authorId="0">
      <text>
        <r>
          <rPr>
            <sz val="10"/>
            <rFont val="Arial"/>
            <family val="2"/>
          </rPr>
          <t xml:space="preserve">MF91Pro · F08
Status: Unknown
Grade: —
Source: —
Not documented in captured sources</t>
        </r>
      </text>
    </comment>
    <comment ref="M14" authorId="0">
      <text>
        <r>
          <rPr>
            <sz val="10"/>
            <rFont val="Arial"/>
            <family val="2"/>
          </rPr>
          <t xml:space="preserve">HW20Pro · F08
Status: Unknown
Grade: —
Source: —
Not documented in captured sources</t>
        </r>
      </text>
    </comment>
    <comment ref="M15" authorId="0">
      <text>
        <r>
          <rPr>
            <sz val="10"/>
            <rFont val="Arial"/>
            <family val="2"/>
          </rPr>
          <t xml:space="preserve">HW19 · F08
Status: Unknown
Grade: —
Source: —
Not documented in captured sources</t>
        </r>
      </text>
    </comment>
    <comment ref="M16" authorId="0">
      <text>
        <r>
          <rPr>
            <sz val="10"/>
            <rFont val="Arial"/>
            <family val="2"/>
          </rPr>
          <t xml:space="preserve">CT20S · F08
Status: Unknown
Grade: —
Source: —
Not documented in captured sources</t>
        </r>
      </text>
    </comment>
    <comment ref="M17" authorId="0">
      <text>
        <r>
          <rPr>
            <sz val="10"/>
            <rFont val="Arial"/>
            <family val="2"/>
          </rPr>
          <t xml:space="preserve">CT30 (band) · F08
Status: Yes
Grade: B
Source: S08
Steps, distance, calories, sports modes</t>
        </r>
      </text>
    </comment>
    <comment ref="M18" authorId="0">
      <text>
        <r>
          <rPr>
            <sz val="10"/>
            <rFont val="Arial"/>
            <family val="2"/>
          </rPr>
          <t xml:space="preserve">CT31 · F08
Status: Unknown
Grade: —
Source: —
Not documented in captured sources</t>
        </r>
      </text>
    </comment>
    <comment ref="N6" authorId="0">
      <text>
        <r>
          <rPr>
            <sz val="10"/>
            <rFont val="Arial"/>
            <family val="2"/>
          </rPr>
          <t xml:space="preserve">VB10 · F09
Status: Yes
Grade: B
Source: S01
Optical + HRV</t>
        </r>
      </text>
    </comment>
    <comment ref="N7" authorId="0">
      <text>
        <r>
          <rPr>
            <sz val="10"/>
            <rFont val="Arial"/>
            <family val="2"/>
          </rPr>
          <t xml:space="preserve">CT29 · F09
Status: Unknown
Grade: —
Source: —
Not documented in captured sources</t>
        </r>
      </text>
    </comment>
    <comment ref="N8" authorId="0">
      <text>
        <r>
          <rPr>
            <sz val="10"/>
            <rFont val="Arial"/>
            <family val="2"/>
          </rPr>
          <t xml:space="preserve">CT34 · F09
Status: Unknown
Grade: —
Source: —
Not documented in captured sources</t>
        </r>
      </text>
    </comment>
    <comment ref="N9" authorId="0">
      <text>
        <r>
          <rPr>
            <sz val="10"/>
            <rFont val="Arial"/>
            <family val="2"/>
          </rPr>
          <t xml:space="preserve">MF90 · F09
Status: Yes
Grade: B
Source: S14
</t>
        </r>
      </text>
    </comment>
    <comment ref="N10" authorId="0">
      <text>
        <r>
          <rPr>
            <sz val="10"/>
            <rFont val="Arial"/>
            <family val="2"/>
          </rPr>
          <t xml:space="preserve">MF91 · F09
Status: Yes
Grade: B
Source: S15
</t>
        </r>
      </text>
    </comment>
    <comment ref="N11" authorId="0">
      <text>
        <r>
          <rPr>
            <sz val="10"/>
            <rFont val="Arial"/>
            <family val="2"/>
          </rPr>
          <t xml:space="preserve">MF40 · F09
Status: Yes
Grade: B
Source: S39
One-click micro exam: emotion/fatigue/stress</t>
        </r>
      </text>
    </comment>
    <comment ref="N12" authorId="0">
      <text>
        <r>
          <rPr>
            <sz val="10"/>
            <rFont val="Arial"/>
            <family val="2"/>
          </rPr>
          <t xml:space="preserve">HW20 · F09
Status: Unknown
Grade: —
Source: —
Not documented in captured sources</t>
        </r>
      </text>
    </comment>
    <comment ref="N13" authorId="0">
      <text>
        <r>
          <rPr>
            <sz val="10"/>
            <rFont val="Arial"/>
            <family val="2"/>
          </rPr>
          <t xml:space="preserve">MF91Pro · F09
Status: Unknown
Grade: —
Source: —
Not documented in captured sources</t>
        </r>
      </text>
    </comment>
    <comment ref="N14" authorId="0">
      <text>
        <r>
          <rPr>
            <sz val="10"/>
            <rFont val="Arial"/>
            <family val="2"/>
          </rPr>
          <t xml:space="preserve">HW20Pro · F09
Status: Unknown
Grade: —
Source: —
Not documented in captured sources</t>
        </r>
      </text>
    </comment>
    <comment ref="N15" authorId="0">
      <text>
        <r>
          <rPr>
            <sz val="10"/>
            <rFont val="Arial"/>
            <family val="2"/>
          </rPr>
          <t xml:space="preserve">HW19 · F09
Status: Unknown
Grade: —
Source: —
Not documented in captured sources</t>
        </r>
      </text>
    </comment>
    <comment ref="N16" authorId="0">
      <text>
        <r>
          <rPr>
            <sz val="10"/>
            <rFont val="Arial"/>
            <family val="2"/>
          </rPr>
          <t xml:space="preserve">CT20S · F09
Status: Unknown
Grade: —
Source: —
Not documented in captured sources</t>
        </r>
      </text>
    </comment>
    <comment ref="N17" authorId="0">
      <text>
        <r>
          <rPr>
            <sz val="10"/>
            <rFont val="Arial"/>
            <family val="2"/>
          </rPr>
          <t xml:space="preserve">CT30 (band) · F09
Status: Unknown
Grade: —
Source: —
Not documented in captured sources</t>
        </r>
      </text>
    </comment>
    <comment ref="N18" authorId="0">
      <text>
        <r>
          <rPr>
            <sz val="10"/>
            <rFont val="Arial"/>
            <family val="2"/>
          </rPr>
          <t xml:space="preserve">CT31 · F09
Status: Unknown
Grade: —
Source: —
Not documented in captured sources</t>
        </r>
      </text>
    </comment>
    <comment ref="O6" authorId="0">
      <text>
        <r>
          <rPr>
            <sz val="10"/>
            <rFont val="Arial"/>
            <family val="2"/>
          </rPr>
          <t xml:space="preserve">VB10 · F10
Status: Unknown
Grade: —
Source: —
Not documented in captured sources</t>
        </r>
      </text>
    </comment>
    <comment ref="O7" authorId="0">
      <text>
        <r>
          <rPr>
            <sz val="10"/>
            <rFont val="Arial"/>
            <family val="2"/>
          </rPr>
          <t xml:space="preserve">CT29 · F10
Status: Yes
Grade: C
Source: S04
Stated in product name only</t>
        </r>
      </text>
    </comment>
    <comment ref="O8" authorId="0">
      <text>
        <r>
          <rPr>
            <sz val="10"/>
            <rFont val="Arial"/>
            <family val="2"/>
          </rPr>
          <t xml:space="preserve">CT34 · F10
Status: Yes
Grade: B
Source: S03
Automatic fall detection with alert/call</t>
        </r>
      </text>
    </comment>
    <comment ref="O9" authorId="0">
      <text>
        <r>
          <rPr>
            <sz val="10"/>
            <rFont val="Arial"/>
            <family val="2"/>
          </rPr>
          <t xml:space="preserve">MF90 · F10
Status: Unknown
Grade: —
Source: —
Not documented in captured sources</t>
        </r>
      </text>
    </comment>
    <comment ref="O10" authorId="0">
      <text>
        <r>
          <rPr>
            <sz val="10"/>
            <rFont val="Arial"/>
            <family val="2"/>
          </rPr>
          <t xml:space="preserve">MF91 · F10
Status: Unknown
Grade: —
Source: —
Not documented in captured sources</t>
        </r>
      </text>
    </comment>
    <comment ref="O11" authorId="0">
      <text>
        <r>
          <rPr>
            <sz val="10"/>
            <rFont val="Arial"/>
            <family val="2"/>
          </rPr>
          <t xml:space="preserve">MF40 · F10
Status: Unknown
Grade: —
Source: —
Not documented in captured sources</t>
        </r>
      </text>
    </comment>
    <comment ref="O12" authorId="0">
      <text>
        <r>
          <rPr>
            <sz val="10"/>
            <rFont val="Arial"/>
            <family val="2"/>
          </rPr>
          <t xml:space="preserve">HW20 · F10
Status: Yes
Grade: C
Source: S12
Only in promotional blog post</t>
        </r>
      </text>
    </comment>
    <comment ref="O13" authorId="0">
      <text>
        <r>
          <rPr>
            <sz val="10"/>
            <rFont val="Arial"/>
            <family val="2"/>
          </rPr>
          <t xml:space="preserve">MF91Pro · F10
Status: Unknown
Grade: —
Source: —
Not documented in captured sources</t>
        </r>
      </text>
    </comment>
    <comment ref="O14" authorId="0">
      <text>
        <r>
          <rPr>
            <sz val="10"/>
            <rFont val="Arial"/>
            <family val="2"/>
          </rPr>
          <t xml:space="preserve">HW20Pro · F10
Status: Yes
Grade: B
Source: S13
Built-in sensors detect sudden falls</t>
        </r>
      </text>
    </comment>
    <comment ref="O15" authorId="0">
      <text>
        <r>
          <rPr>
            <sz val="10"/>
            <rFont val="Arial"/>
            <family val="2"/>
          </rPr>
          <t xml:space="preserve">HW19 · F10
Status: Yes
Grade: B
Source: S11
Motion + barometric + height-change logic</t>
        </r>
      </text>
    </comment>
    <comment ref="O16" authorId="0">
      <text>
        <r>
          <rPr>
            <sz val="10"/>
            <rFont val="Arial"/>
            <family val="2"/>
          </rPr>
          <t xml:space="preserve">CT20S · F10
Status: Yes
Grade: B
Source: S09
Hard fall triggers automatic SOS with location</t>
        </r>
      </text>
    </comment>
    <comment ref="O17" authorId="0">
      <text>
        <r>
          <rPr>
            <sz val="10"/>
            <rFont val="Arial"/>
            <family val="2"/>
          </rPr>
          <t xml:space="preserve">CT30 (band) · F10
Status: Unknown
Grade: —
Source: —
Not documented in captured sources</t>
        </r>
      </text>
    </comment>
    <comment ref="O18" authorId="0">
      <text>
        <r>
          <rPr>
            <sz val="10"/>
            <rFont val="Arial"/>
            <family val="2"/>
          </rPr>
          <t xml:space="preserve">CT31 · F10
Status: Unknown
Grade: —
Source: S06
Alibaba title claims it; manufacturer page silent</t>
        </r>
      </text>
    </comment>
    <comment ref="P6" authorId="0">
      <text>
        <r>
          <rPr>
            <sz val="10"/>
            <rFont val="Arial"/>
            <family val="2"/>
          </rPr>
          <t xml:space="preserve">VB10 · F11
Status: Unknown
Grade: —
Source: —
Not documented in captured sources</t>
        </r>
      </text>
    </comment>
    <comment ref="P7" authorId="0">
      <text>
        <r>
          <rPr>
            <sz val="10"/>
            <rFont val="Arial"/>
            <family val="2"/>
          </rPr>
          <t xml:space="preserve">CT29 · F11
Status: Unknown
Grade: —
Source: —
Not documented in captured sources</t>
        </r>
      </text>
    </comment>
    <comment ref="P8" authorId="0">
      <text>
        <r>
          <rPr>
            <sz val="10"/>
            <rFont val="Arial"/>
            <family val="2"/>
          </rPr>
          <t xml:space="preserve">CT34 · F11
Status: Yes
Grade: B
Source: S03
Long-press main button</t>
        </r>
      </text>
    </comment>
    <comment ref="P9" authorId="0">
      <text>
        <r>
          <rPr>
            <sz val="10"/>
            <rFont val="Arial"/>
            <family val="2"/>
          </rPr>
          <t xml:space="preserve">MF90 · F11
Status: Unknown
Grade: —
Source: —
Not documented in captured sources</t>
        </r>
      </text>
    </comment>
    <comment ref="P10" authorId="0">
      <text>
        <r>
          <rPr>
            <sz val="10"/>
            <rFont val="Arial"/>
            <family val="2"/>
          </rPr>
          <t xml:space="preserve">MF91 · F11
Status: Unknown
Grade: —
Source: —
Not documented in captured sources</t>
        </r>
      </text>
    </comment>
    <comment ref="P11" authorId="0">
      <text>
        <r>
          <rPr>
            <sz val="10"/>
            <rFont val="Arial"/>
            <family val="2"/>
          </rPr>
          <t xml:space="preserve">MF40 · F11
Status: Unknown
Grade: —
Source: —
Not documented in captured sources</t>
        </r>
      </text>
    </comment>
    <comment ref="P12" authorId="0">
      <text>
        <r>
          <rPr>
            <sz val="10"/>
            <rFont val="Arial"/>
            <family val="2"/>
          </rPr>
          <t xml:space="preserve">HW20 · F11
Status: Yes
Grade: B
Source: S12
</t>
        </r>
      </text>
    </comment>
    <comment ref="P13" authorId="0">
      <text>
        <r>
          <rPr>
            <sz val="10"/>
            <rFont val="Arial"/>
            <family val="2"/>
          </rPr>
          <t xml:space="preserve">MF91Pro · F11
Status: Unknown
Grade: —
Source: —
Not documented in captured sources</t>
        </r>
      </text>
    </comment>
    <comment ref="P14" authorId="0">
      <text>
        <r>
          <rPr>
            <sz val="10"/>
            <rFont val="Arial"/>
            <family val="2"/>
          </rPr>
          <t xml:space="preserve">HW20Pro · F11
Status: Yes
Grade: B
Source: S13
Hold-to-call SOS</t>
        </r>
      </text>
    </comment>
    <comment ref="P15" authorId="0">
      <text>
        <r>
          <rPr>
            <sz val="10"/>
            <rFont val="Arial"/>
            <family val="2"/>
          </rPr>
          <t xml:space="preserve">HW19 · F11
Status: Yes
Grade: B
Source: S11
</t>
        </r>
      </text>
    </comment>
    <comment ref="P16" authorId="0">
      <text>
        <r>
          <rPr>
            <sz val="10"/>
            <rFont val="Arial"/>
            <family val="2"/>
          </rPr>
          <t xml:space="preserve">CT20S · F11
Status: Yes
Grade: C
Source: S09
Dedicated SOS button (blog)</t>
        </r>
      </text>
    </comment>
    <comment ref="P17" authorId="0">
      <text>
        <r>
          <rPr>
            <sz val="10"/>
            <rFont val="Arial"/>
            <family val="2"/>
          </rPr>
          <t xml:space="preserve">CT30 (band) · F11
Status: Yes
Grade: B
Source: S08
</t>
        </r>
      </text>
    </comment>
    <comment ref="P18" authorId="0">
      <text>
        <r>
          <rPr>
            <sz val="10"/>
            <rFont val="Arial"/>
            <family val="2"/>
          </rPr>
          <t xml:space="preserve">CT31 · F11
Status: Yes
Grade: B
Source: S06
Red SOS button</t>
        </r>
      </text>
    </comment>
    <comment ref="Q6" authorId="0">
      <text>
        <r>
          <rPr>
            <sz val="10"/>
            <rFont val="Arial"/>
            <family val="2"/>
          </rPr>
          <t xml:space="preserve">VB10 · F12
Status: Unknown
Grade: —
Source: —
Not documented in captured sources</t>
        </r>
      </text>
    </comment>
    <comment ref="Q7" authorId="0">
      <text>
        <r>
          <rPr>
            <sz val="10"/>
            <rFont val="Arial"/>
            <family val="2"/>
          </rPr>
          <t xml:space="preserve">CT29 · F12
Status: Unknown
Grade: —
Source: —
Not documented in captured sources</t>
        </r>
      </text>
    </comment>
    <comment ref="Q8" authorId="0">
      <text>
        <r>
          <rPr>
            <sz val="10"/>
            <rFont val="Arial"/>
            <family val="2"/>
          </rPr>
          <t xml:space="preserve">CT34 · F12
Status: Conditional
Grade: B
Source: S03
SOS places a call; mic/speaker not documented</t>
        </r>
      </text>
    </comment>
    <comment ref="Q9" authorId="0">
      <text>
        <r>
          <rPr>
            <sz val="10"/>
            <rFont val="Arial"/>
            <family val="2"/>
          </rPr>
          <t xml:space="preserve">MF90 · F12
Status: Unknown
Grade: —
Source: —
Not documented in captured sources</t>
        </r>
      </text>
    </comment>
    <comment ref="Q10" authorId="0">
      <text>
        <r>
          <rPr>
            <sz val="10"/>
            <rFont val="Arial"/>
            <family val="2"/>
          </rPr>
          <t xml:space="preserve">MF91 · F12
Status: Unknown
Grade: —
Source: —
Not documented in captured sources</t>
        </r>
      </text>
    </comment>
    <comment ref="Q11" authorId="0">
      <text>
        <r>
          <rPr>
            <sz val="10"/>
            <rFont val="Arial"/>
            <family val="2"/>
          </rPr>
          <t xml:space="preserve">MF40 · F12
Status: Unknown
Grade: —
Source: —
Not documented in captured sources</t>
        </r>
      </text>
    </comment>
    <comment ref="Q12" authorId="0">
      <text>
        <r>
          <rPr>
            <sz val="10"/>
            <rFont val="Arial"/>
            <family val="2"/>
          </rPr>
          <t xml:space="preserve">HW20 · F12
Status: Yes
Grade: B
Source: S12
Mic + speaker</t>
        </r>
      </text>
    </comment>
    <comment ref="Q13" authorId="0">
      <text>
        <r>
          <rPr>
            <sz val="10"/>
            <rFont val="Arial"/>
            <family val="2"/>
          </rPr>
          <t xml:space="preserve">MF91Pro · F12
Status: Unknown
Grade: —
Source: —
Not documented in captured sources</t>
        </r>
      </text>
    </comment>
    <comment ref="Q14" authorId="0">
      <text>
        <r>
          <rPr>
            <sz val="10"/>
            <rFont val="Arial"/>
            <family val="2"/>
          </rPr>
          <t xml:space="preserve">HW20Pro · F12
Status: Yes
Grade: B
Source: S13
Hold-to-call</t>
        </r>
      </text>
    </comment>
    <comment ref="Q15" authorId="0">
      <text>
        <r>
          <rPr>
            <sz val="10"/>
            <rFont val="Arial"/>
            <family val="2"/>
          </rPr>
          <t xml:space="preserve">HW19 · F12
Status: Yes
Grade: B
Source: S11
Standalone 4G calling, mic + speaker</t>
        </r>
      </text>
    </comment>
    <comment ref="Q16" authorId="0">
      <text>
        <r>
          <rPr>
            <sz val="10"/>
            <rFont val="Arial"/>
            <family val="2"/>
          </rPr>
          <t xml:space="preserve">CT20S · F12
Status: Unknown
Grade: —
Source: —
Not documented in captured sources</t>
        </r>
      </text>
    </comment>
    <comment ref="Q17" authorId="0">
      <text>
        <r>
          <rPr>
            <sz val="10"/>
            <rFont val="Arial"/>
            <family val="2"/>
          </rPr>
          <t xml:space="preserve">CT30 (band) · F12
Status: Yes
Grade: B
Source: S08
SOS emergency calling</t>
        </r>
      </text>
    </comment>
    <comment ref="Q18" authorId="0">
      <text>
        <r>
          <rPr>
            <sz val="10"/>
            <rFont val="Arial"/>
            <family val="2"/>
          </rPr>
          <t xml:space="preserve">CT31 · F12
Status: Yes
Grade: B
Source: S06
Immediate distress calls</t>
        </r>
      </text>
    </comment>
    <comment ref="R6" authorId="0">
      <text>
        <r>
          <rPr>
            <sz val="10"/>
            <rFont val="Arial"/>
            <family val="2"/>
          </rPr>
          <t xml:space="preserve">VB10 · F13
Status: No
Grade: C
Source: S01
No GNSS receiver in documented spec (BLE-only) — inferred</t>
        </r>
      </text>
    </comment>
    <comment ref="R7" authorId="0">
      <text>
        <r>
          <rPr>
            <sz val="10"/>
            <rFont val="Arial"/>
            <family val="2"/>
          </rPr>
          <t xml:space="preserve">CT29 · F13
Status: Unknown
Grade: —
Source: —
Not documented in captured sources</t>
        </r>
      </text>
    </comment>
    <comment ref="R8" authorId="0">
      <text>
        <r>
          <rPr>
            <sz val="10"/>
            <rFont val="Arial"/>
            <family val="2"/>
          </rPr>
          <t xml:space="preserve">CT34 · F13
Status: Yes
Grade: B
Source: S03
GPS + LBS + Wi-Fi, 5-15 m outdoor</t>
        </r>
      </text>
    </comment>
    <comment ref="R9" authorId="0">
      <text>
        <r>
          <rPr>
            <sz val="10"/>
            <rFont val="Arial"/>
            <family val="2"/>
          </rPr>
          <t xml:space="preserve">MF90 · F13
Status: No
Grade: C
Source: S14
BLE-only — inferred</t>
        </r>
      </text>
    </comment>
    <comment ref="R10" authorId="0">
      <text>
        <r>
          <rPr>
            <sz val="10"/>
            <rFont val="Arial"/>
            <family val="2"/>
          </rPr>
          <t xml:space="preserve">MF91 · F13
Status: No
Grade: C
Source: S15
BLE-only — inferred</t>
        </r>
      </text>
    </comment>
    <comment ref="R11" authorId="0">
      <text>
        <r>
          <rPr>
            <sz val="10"/>
            <rFont val="Arial"/>
            <family val="2"/>
          </rPr>
          <t xml:space="preserve">MF40 · F13
Status: No
Grade: C
Source: S17
BT-only — inferred</t>
        </r>
      </text>
    </comment>
    <comment ref="R12" authorId="0">
      <text>
        <r>
          <rPr>
            <sz val="10"/>
            <rFont val="Arial"/>
            <family val="2"/>
          </rPr>
          <t xml:space="preserve">HW20 · F13
Status: Yes
Grade: B
Source: S12
GPS + BeiDou + Wi-Fi</t>
        </r>
      </text>
    </comment>
    <comment ref="R13" authorId="0">
      <text>
        <r>
          <rPr>
            <sz val="10"/>
            <rFont val="Arial"/>
            <family val="2"/>
          </rPr>
          <t xml:space="preserve">MF91Pro · F13
Status: No
Grade: C
Source: S16
BLE-only — inferred</t>
        </r>
      </text>
    </comment>
    <comment ref="R14" authorId="0">
      <text>
        <r>
          <rPr>
            <sz val="10"/>
            <rFont val="Arial"/>
            <family val="2"/>
          </rPr>
          <t xml:space="preserve">HW20Pro · F13
Status: Yes
Grade: C
Source: S12
Per HW20 family page</t>
        </r>
      </text>
    </comment>
    <comment ref="R15" authorId="0">
      <text>
        <r>
          <rPr>
            <sz val="10"/>
            <rFont val="Arial"/>
            <family val="2"/>
          </rPr>
          <t xml:space="preserve">HW19 · F13
Status: Yes
Grade: B
Source: S11
GPS/BDS/GLONASS + Wi-Fi + LBS</t>
        </r>
      </text>
    </comment>
    <comment ref="R16" authorId="0">
      <text>
        <r>
          <rPr>
            <sz val="10"/>
            <rFont val="Arial"/>
            <family val="2"/>
          </rPr>
          <t xml:space="preserve">CT20S · F13
Status: Yes
Grade: B
Source: S09
GPS</t>
        </r>
      </text>
    </comment>
    <comment ref="R17" authorId="0">
      <text>
        <r>
          <rPr>
            <sz val="10"/>
            <rFont val="Arial"/>
            <family val="2"/>
          </rPr>
          <t xml:space="preserve">CT30 (band) · F13
Status: Yes
Grade: B
Source: S08
GPS + Wi-Fi + LBS</t>
        </r>
      </text>
    </comment>
    <comment ref="R18" authorId="0">
      <text>
        <r>
          <rPr>
            <sz val="10"/>
            <rFont val="Arial"/>
            <family val="2"/>
          </rPr>
          <t xml:space="preserve">CT31 · F13
Status: Yes
Grade: B
Source: S06
GPS + Wi-Fi + AGPS + LBS</t>
        </r>
      </text>
    </comment>
    <comment ref="S6" authorId="0">
      <text>
        <r>
          <rPr>
            <sz val="10"/>
            <rFont val="Arial"/>
            <family val="2"/>
          </rPr>
          <t xml:space="preserve">VB10 · F14
Status: No
Grade: C
Source: S01
No on-device positioning — inferred</t>
        </r>
      </text>
    </comment>
    <comment ref="S7" authorId="0">
      <text>
        <r>
          <rPr>
            <sz val="10"/>
            <rFont val="Arial"/>
            <family val="2"/>
          </rPr>
          <t xml:space="preserve">CT29 · F14
Status: Unknown
Grade: —
Source: —
Not documented in captured sources</t>
        </r>
      </text>
    </comment>
    <comment ref="S8" authorId="0">
      <text>
        <r>
          <rPr>
            <sz val="10"/>
            <rFont val="Arial"/>
            <family val="2"/>
          </rPr>
          <t xml:space="preserve">CT34 · F14
Status: Unknown
Grade: —
Source: —
Not documented in captured sources</t>
        </r>
      </text>
    </comment>
    <comment ref="S9" authorId="0">
      <text>
        <r>
          <rPr>
            <sz val="10"/>
            <rFont val="Arial"/>
            <family val="2"/>
          </rPr>
          <t xml:space="preserve">MF90 · F14
Status: No
Grade: C
Source: S14
Inferred</t>
        </r>
      </text>
    </comment>
    <comment ref="S10" authorId="0">
      <text>
        <r>
          <rPr>
            <sz val="10"/>
            <rFont val="Arial"/>
            <family val="2"/>
          </rPr>
          <t xml:space="preserve">MF91 · F14
Status: No
Grade: C
Source: S15
Inferred</t>
        </r>
      </text>
    </comment>
    <comment ref="S11" authorId="0">
      <text>
        <r>
          <rPr>
            <sz val="10"/>
            <rFont val="Arial"/>
            <family val="2"/>
          </rPr>
          <t xml:space="preserve">MF40 · F14
Status: No
Grade: C
Source: S17
Inferred</t>
        </r>
      </text>
    </comment>
    <comment ref="S12" authorId="0">
      <text>
        <r>
          <rPr>
            <sz val="10"/>
            <rFont val="Arial"/>
            <family val="2"/>
          </rPr>
          <t xml:space="preserve">HW20 · F14
Status: Unknown
Grade: —
Source: —
Not documented in captured sources</t>
        </r>
      </text>
    </comment>
    <comment ref="S13" authorId="0">
      <text>
        <r>
          <rPr>
            <sz val="10"/>
            <rFont val="Arial"/>
            <family val="2"/>
          </rPr>
          <t xml:space="preserve">MF91Pro · F14
Status: No
Grade: C
Source: S16
Inferred</t>
        </r>
      </text>
    </comment>
    <comment ref="S14" authorId="0">
      <text>
        <r>
          <rPr>
            <sz val="10"/>
            <rFont val="Arial"/>
            <family val="2"/>
          </rPr>
          <t xml:space="preserve">HW20Pro · F14
Status: Unknown
Grade: —
Source: —
Not documented in captured sources</t>
        </r>
      </text>
    </comment>
    <comment ref="S15" authorId="0">
      <text>
        <r>
          <rPr>
            <sz val="10"/>
            <rFont val="Arial"/>
            <family val="2"/>
          </rPr>
          <t xml:space="preserve">HW19 · F14
Status: Unknown
Grade: —
Source: —
Not documented in captured sources</t>
        </r>
      </text>
    </comment>
    <comment ref="S16" authorId="0">
      <text>
        <r>
          <rPr>
            <sz val="10"/>
            <rFont val="Arial"/>
            <family val="2"/>
          </rPr>
          <t xml:space="preserve">CT20S · F14
Status: Yes
Grade: C
Source: S09
Geo-fence zones (blog)</t>
        </r>
      </text>
    </comment>
    <comment ref="S17" authorId="0">
      <text>
        <r>
          <rPr>
            <sz val="10"/>
            <rFont val="Arial"/>
            <family val="2"/>
          </rPr>
          <t xml:space="preserve">CT30 (band) · F14
Status: Unknown
Grade: —
Source: —
Not documented in captured sources</t>
        </r>
      </text>
    </comment>
    <comment ref="S18" authorId="0">
      <text>
        <r>
          <rPr>
            <sz val="10"/>
            <rFont val="Arial"/>
            <family val="2"/>
          </rPr>
          <t xml:space="preserve">CT31 · F14
Status: Unknown
Grade: —
Source: —
Not documented in captured sources</t>
        </r>
      </text>
    </comment>
    <comment ref="T6" authorId="0">
      <text>
        <r>
          <rPr>
            <sz val="10"/>
            <rFont val="Arial"/>
            <family val="2"/>
          </rPr>
          <t xml:space="preserve">VB10 · F15
Status: No
Grade: B
Source: S01
BLE 6.0 only</t>
        </r>
      </text>
    </comment>
    <comment ref="T7" authorId="0">
      <text>
        <r>
          <rPr>
            <sz val="10"/>
            <rFont val="Arial"/>
            <family val="2"/>
          </rPr>
          <t xml:space="preserve">CT29 · F15
Status: Yes
Grade: C
Source: S04
Stated in product name only</t>
        </r>
      </text>
    </comment>
    <comment ref="T8" authorId="0">
      <text>
        <r>
          <rPr>
            <sz val="10"/>
            <rFont val="Arial"/>
            <family val="2"/>
          </rPr>
          <t xml:space="preserve">CT34 · F15
Status: Yes
Grade: B
Source: S03
4G Cat1 + GSM</t>
        </r>
      </text>
    </comment>
    <comment ref="T9" authorId="0">
      <text>
        <r>
          <rPr>
            <sz val="10"/>
            <rFont val="Arial"/>
            <family val="2"/>
          </rPr>
          <t xml:space="preserve">MF90 · F15
Status: No
Grade: B
Source: S14
BLE 5.3</t>
        </r>
      </text>
    </comment>
    <comment ref="T10" authorId="0">
      <text>
        <r>
          <rPr>
            <sz val="10"/>
            <rFont val="Arial"/>
            <family val="2"/>
          </rPr>
          <t xml:space="preserve">MF91 · F15
Status: No
Grade: B
Source: S15
BLE 5.3</t>
        </r>
      </text>
    </comment>
    <comment ref="T11" authorId="0">
      <text>
        <r>
          <rPr>
            <sz val="10"/>
            <rFont val="Arial"/>
            <family val="2"/>
          </rPr>
          <t xml:space="preserve">MF40 · F15
Status: No
Grade: B
Source: S17
Bluetooth 5.3</t>
        </r>
      </text>
    </comment>
    <comment ref="T12" authorId="0">
      <text>
        <r>
          <rPr>
            <sz val="10"/>
            <rFont val="Arial"/>
            <family val="2"/>
          </rPr>
          <t xml:space="preserve">HW20 · F15
Status: Yes
Grade: B
Source: S12
LTE B1/B3/B7/B8/B20/B28A</t>
        </r>
      </text>
    </comment>
    <comment ref="T13" authorId="0">
      <text>
        <r>
          <rPr>
            <sz val="10"/>
            <rFont val="Arial"/>
            <family val="2"/>
          </rPr>
          <t xml:space="preserve">MF91Pro · F15
Status: No
Grade: B
Source: S16
BLE 6.0</t>
        </r>
      </text>
    </comment>
    <comment ref="T14" authorId="0">
      <text>
        <r>
          <rPr>
            <sz val="10"/>
            <rFont val="Arial"/>
            <family val="2"/>
          </rPr>
          <t xml:space="preserve">HW20Pro · F15
Status: Yes
Grade: B
Source: S13
Standalone 4G</t>
        </r>
      </text>
    </comment>
    <comment ref="T15" authorId="0">
      <text>
        <r>
          <rPr>
            <sz val="10"/>
            <rFont val="Arial"/>
            <family val="2"/>
          </rPr>
          <t xml:space="preserve">HW19 · F15
Status: Yes
Grade: B
Source: S11
</t>
        </r>
      </text>
    </comment>
    <comment ref="T16" authorId="0">
      <text>
        <r>
          <rPr>
            <sz val="10"/>
            <rFont val="Arial"/>
            <family val="2"/>
          </rPr>
          <t xml:space="preserve">CT20S · F15
Status: Yes
Grade: B
Source: S09
</t>
        </r>
      </text>
    </comment>
    <comment ref="T17" authorId="0">
      <text>
        <r>
          <rPr>
            <sz val="10"/>
            <rFont val="Arial"/>
            <family val="2"/>
          </rPr>
          <t xml:space="preserve">CT30 (band) · F15
Status: Yes
Grade: B
Source: S08
</t>
        </r>
      </text>
    </comment>
    <comment ref="T18" authorId="0">
      <text>
        <r>
          <rPr>
            <sz val="10"/>
            <rFont val="Arial"/>
            <family val="2"/>
          </rPr>
          <t xml:space="preserve">CT31 · F15
Status: Yes
Grade: B
Source: S06
4G FDD-LTE</t>
        </r>
      </text>
    </comment>
    <comment ref="U6" authorId="0">
      <text>
        <r>
          <rPr>
            <sz val="10"/>
            <rFont val="Arial"/>
            <family val="2"/>
          </rPr>
          <t xml:space="preserve">VB10 · F16
Status: No
Grade: B
Source: S01
Needs companion app (Android 8+/iOS 13+)</t>
        </r>
      </text>
    </comment>
    <comment ref="U7" authorId="0">
      <text>
        <r>
          <rPr>
            <sz val="10"/>
            <rFont val="Arial"/>
            <family val="2"/>
          </rPr>
          <t xml:space="preserve">CT29 · F16
Status: Conditional
Grade: C
Source: S04
Implied by 4G; unverified</t>
        </r>
      </text>
    </comment>
    <comment ref="U8" authorId="0">
      <text>
        <r>
          <rPr>
            <sz val="10"/>
            <rFont val="Arial"/>
            <family val="2"/>
          </rPr>
          <t xml:space="preserve">CT34 · F16
Status: Yes
Grade: B
Source: S03
Standalone 4G</t>
        </r>
      </text>
    </comment>
    <comment ref="U9" authorId="0">
      <text>
        <r>
          <rPr>
            <sz val="10"/>
            <rFont val="Arial"/>
            <family val="2"/>
          </rPr>
          <t xml:space="preserve">MF90 · F16
Status: No
Grade: B
Source: S14
Companion app</t>
        </r>
      </text>
    </comment>
    <comment ref="U10" authorId="0">
      <text>
        <r>
          <rPr>
            <sz val="10"/>
            <rFont val="Arial"/>
            <family val="2"/>
          </rPr>
          <t xml:space="preserve">MF91 · F16
Status: No
Grade: B
Source: S15
Companion app</t>
        </r>
      </text>
    </comment>
    <comment ref="U11" authorId="0">
      <text>
        <r>
          <rPr>
            <sz val="10"/>
            <rFont val="Arial"/>
            <family val="2"/>
          </rPr>
          <t xml:space="preserve">MF40 · F16
Status: No
Grade: B
Source: S17
Companion app</t>
        </r>
      </text>
    </comment>
    <comment ref="U12" authorId="0">
      <text>
        <r>
          <rPr>
            <sz val="10"/>
            <rFont val="Arial"/>
            <family val="2"/>
          </rPr>
          <t xml:space="preserve">HW20 · F16
Status: Yes
Grade: B
Source: S12
</t>
        </r>
      </text>
    </comment>
    <comment ref="U13" authorId="0">
      <text>
        <r>
          <rPr>
            <sz val="10"/>
            <rFont val="Arial"/>
            <family val="2"/>
          </rPr>
          <t xml:space="preserve">MF91Pro · F16
Status: No
Grade: B
Source: S16
Companion app</t>
        </r>
      </text>
    </comment>
    <comment ref="U14" authorId="0">
      <text>
        <r>
          <rPr>
            <sz val="10"/>
            <rFont val="Arial"/>
            <family val="2"/>
          </rPr>
          <t xml:space="preserve">HW20Pro · F16
Status: Yes
Grade: B
Source: S13
</t>
        </r>
      </text>
    </comment>
    <comment ref="U15" authorId="0">
      <text>
        <r>
          <rPr>
            <sz val="10"/>
            <rFont val="Arial"/>
            <family val="2"/>
          </rPr>
          <t xml:space="preserve">HW19 · F16
Status: Yes
Grade: B
Source: S11
</t>
        </r>
      </text>
    </comment>
    <comment ref="U16" authorId="0">
      <text>
        <r>
          <rPr>
            <sz val="10"/>
            <rFont val="Arial"/>
            <family val="2"/>
          </rPr>
          <t xml:space="preserve">CT20S · F16
Status: Yes
Grade: B
Source: S09
</t>
        </r>
      </text>
    </comment>
    <comment ref="U17" authorId="0">
      <text>
        <r>
          <rPr>
            <sz val="10"/>
            <rFont val="Arial"/>
            <family val="2"/>
          </rPr>
          <t xml:space="preserve">CT30 (band) · F16
Status: Yes
Grade: B
Source: S08
</t>
        </r>
      </text>
    </comment>
    <comment ref="U18" authorId="0">
      <text>
        <r>
          <rPr>
            <sz val="10"/>
            <rFont val="Arial"/>
            <family val="2"/>
          </rPr>
          <t xml:space="preserve">CT31 · F16
Status: Yes
Grade: B
Source: S06
</t>
        </r>
      </text>
    </comment>
    <comment ref="V6" authorId="0">
      <text>
        <r>
          <rPr>
            <sz val="10"/>
            <rFont val="Arial"/>
            <family val="2"/>
          </rPr>
          <t xml:space="preserve">VB10 · F17
Status: Yes
Grade: B
Source: S01
Screenless</t>
        </r>
      </text>
    </comment>
    <comment ref="V7" authorId="0">
      <text>
        <r>
          <rPr>
            <sz val="10"/>
            <rFont val="Arial"/>
            <family val="2"/>
          </rPr>
          <t xml:space="preserve">CT29 · F17
Status: Unknown
Grade: —
Source: —
Not documented in captured sources</t>
        </r>
      </text>
    </comment>
    <comment ref="V8" authorId="0">
      <text>
        <r>
          <rPr>
            <sz val="10"/>
            <rFont val="Arial"/>
            <family val="2"/>
          </rPr>
          <t xml:space="preserve">CT34 · F17
Status: Yes
Grade: B
Source: S03
Screenless</t>
        </r>
      </text>
    </comment>
    <comment ref="V9" authorId="0">
      <text>
        <r>
          <rPr>
            <sz val="10"/>
            <rFont val="Arial"/>
            <family val="2"/>
          </rPr>
          <t xml:space="preserve">MF90 · F17
Status: Yes
Grade: B
Source: S14
</t>
        </r>
      </text>
    </comment>
    <comment ref="V10" authorId="0">
      <text>
        <r>
          <rPr>
            <sz val="10"/>
            <rFont val="Arial"/>
            <family val="2"/>
          </rPr>
          <t xml:space="preserve">MF91 · F17
Status: Yes
Grade: B
Source: S15
</t>
        </r>
      </text>
    </comment>
    <comment ref="V11" authorId="0">
      <text>
        <r>
          <rPr>
            <sz val="10"/>
            <rFont val="Arial"/>
            <family val="2"/>
          </rPr>
          <t xml:space="preserve">MF40 · F17
Status: No
Grade: B
Source: S39
AMOLED touchscreen</t>
        </r>
      </text>
    </comment>
    <comment ref="V12" authorId="0">
      <text>
        <r>
          <rPr>
            <sz val="10"/>
            <rFont val="Arial"/>
            <family val="2"/>
          </rPr>
          <t xml:space="preserve">HW20 · F17
Status: No
Grade: B
Source: S12
1.78" touchscreen</t>
        </r>
      </text>
    </comment>
    <comment ref="V13" authorId="0">
      <text>
        <r>
          <rPr>
            <sz val="10"/>
            <rFont val="Arial"/>
            <family val="2"/>
          </rPr>
          <t xml:space="preserve">MF91Pro · F17
Status: Yes
Grade: B
Source: S16
</t>
        </r>
      </text>
    </comment>
    <comment ref="V14" authorId="0">
      <text>
        <r>
          <rPr>
            <sz val="10"/>
            <rFont val="Arial"/>
            <family val="2"/>
          </rPr>
          <t xml:space="preserve">HW20Pro · F17
Status: No
Grade: C
Source: S30
1.96" AMOLED</t>
        </r>
      </text>
    </comment>
    <comment ref="V15" authorId="0">
      <text>
        <r>
          <rPr>
            <sz val="10"/>
            <rFont val="Arial"/>
            <family val="2"/>
          </rPr>
          <t xml:space="preserve">HW19 · F17
Status: No
Grade: B
Source: S11
1.96" AMOLED</t>
        </r>
      </text>
    </comment>
    <comment ref="V16" authorId="0">
      <text>
        <r>
          <rPr>
            <sz val="10"/>
            <rFont val="Arial"/>
            <family val="2"/>
          </rPr>
          <t xml:space="preserve">CT20S · F17
Status: No
Grade: B
Source: S09
1.85" IPS</t>
        </r>
      </text>
    </comment>
    <comment ref="V17" authorId="0">
      <text>
        <r>
          <rPr>
            <sz val="10"/>
            <rFont val="Arial"/>
            <family val="2"/>
          </rPr>
          <t xml:space="preserve">CT30 (band) · F17
Status: Unknown
Grade: —
Source: —
Not documented in captured sources</t>
        </r>
      </text>
    </comment>
    <comment ref="V18" authorId="0">
      <text>
        <r>
          <rPr>
            <sz val="10"/>
            <rFont val="Arial"/>
            <family val="2"/>
          </rPr>
          <t xml:space="preserve">CT31 · F17
Status: Yes
Grade: B
Source: S07
Screenless, two large buttons</t>
        </r>
      </text>
    </comment>
    <comment ref="W6" authorId="0">
      <text>
        <r>
          <rPr>
            <sz val="10"/>
            <rFont val="Arial"/>
            <family val="2"/>
          </rPr>
          <t xml:space="preserve">VB10 · F18
Status: Unknown
Grade: —
Source: —
Not documented in captured sources</t>
        </r>
      </text>
    </comment>
    <comment ref="W7" authorId="0">
      <text>
        <r>
          <rPr>
            <sz val="10"/>
            <rFont val="Arial"/>
            <family val="2"/>
          </rPr>
          <t xml:space="preserve">CT29 · F18
Status: Unknown
Grade: —
Source: —
Not documented in captured sources</t>
        </r>
      </text>
    </comment>
    <comment ref="W8" authorId="0">
      <text>
        <r>
          <rPr>
            <sz val="10"/>
            <rFont val="Arial"/>
            <family val="2"/>
          </rPr>
          <t xml:space="preserve">CT34 · F18
Status: Unknown
Grade: —
Source: —
Not documented in captured sources</t>
        </r>
      </text>
    </comment>
    <comment ref="W9" authorId="0">
      <text>
        <r>
          <rPr>
            <sz val="10"/>
            <rFont val="Arial"/>
            <family val="2"/>
          </rPr>
          <t xml:space="preserve">MF90 · F18
Status: Yes
Grade: B
Source: S39
</t>
        </r>
      </text>
    </comment>
    <comment ref="W10" authorId="0">
      <text>
        <r>
          <rPr>
            <sz val="10"/>
            <rFont val="Arial"/>
            <family val="2"/>
          </rPr>
          <t xml:space="preserve">MF91 · F18
Status: Yes
Grade: B
Source: S39
</t>
        </r>
      </text>
    </comment>
    <comment ref="W11" authorId="0">
      <text>
        <r>
          <rPr>
            <sz val="10"/>
            <rFont val="Arial"/>
            <family val="2"/>
          </rPr>
          <t xml:space="preserve">MF40 · F18
Status: Unknown
Grade: —
Source: —
Not documented in captured sources</t>
        </r>
      </text>
    </comment>
    <comment ref="W12" authorId="0">
      <text>
        <r>
          <rPr>
            <sz val="10"/>
            <rFont val="Arial"/>
            <family val="2"/>
          </rPr>
          <t xml:space="preserve">HW20 · F18
Status: Unknown
Grade: —
Source: —
Not documented in captured sources</t>
        </r>
      </text>
    </comment>
    <comment ref="W13" authorId="0">
      <text>
        <r>
          <rPr>
            <sz val="10"/>
            <rFont val="Arial"/>
            <family val="2"/>
          </rPr>
          <t xml:space="preserve">MF91Pro · F18
Status: Unknown
Grade: —
Source: —
Not documented in captured sources</t>
        </r>
      </text>
    </comment>
    <comment ref="W14" authorId="0">
      <text>
        <r>
          <rPr>
            <sz val="10"/>
            <rFont val="Arial"/>
            <family val="2"/>
          </rPr>
          <t xml:space="preserve">HW20Pro · F18
Status: Unknown
Grade: —
Source: —
Not documented in captured sources</t>
        </r>
      </text>
    </comment>
    <comment ref="W15" authorId="0">
      <text>
        <r>
          <rPr>
            <sz val="10"/>
            <rFont val="Arial"/>
            <family val="2"/>
          </rPr>
          <t xml:space="preserve">HW19 · F18
Status: Unknown
Grade: —
Source: —
Not documented in captured sources</t>
        </r>
      </text>
    </comment>
    <comment ref="W16" authorId="0">
      <text>
        <r>
          <rPr>
            <sz val="10"/>
            <rFont val="Arial"/>
            <family val="2"/>
          </rPr>
          <t xml:space="preserve">CT20S · F18
Status: Unknown
Grade: —
Source: —
Not documented in captured sources</t>
        </r>
      </text>
    </comment>
    <comment ref="W17" authorId="0">
      <text>
        <r>
          <rPr>
            <sz val="10"/>
            <rFont val="Arial"/>
            <family val="2"/>
          </rPr>
          <t xml:space="preserve">CT30 (band) · F18
Status: Unknown
Grade: —
Source: —
Not documented in captured sources</t>
        </r>
      </text>
    </comment>
    <comment ref="W18" authorId="0">
      <text>
        <r>
          <rPr>
            <sz val="10"/>
            <rFont val="Arial"/>
            <family val="2"/>
          </rPr>
          <t xml:space="preserve">CT31 · F18
Status: Unknown
Grade: —
Source: —
Not documented in captured sources</t>
        </r>
      </text>
    </comment>
    <comment ref="X6" authorId="0">
      <text>
        <r>
          <rPr>
            <sz val="10"/>
            <rFont val="Arial"/>
            <family val="2"/>
          </rPr>
          <t xml:space="preserve">VB10 · F19
Status: Yes
Grade: B
Source: S01
Glucose / lipid / uric-acid estimation claimed</t>
        </r>
      </text>
    </comment>
    <comment ref="X7" authorId="0">
      <text>
        <r>
          <rPr>
            <sz val="10"/>
            <rFont val="Arial"/>
            <family val="2"/>
          </rPr>
          <t xml:space="preserve">CT29 · F19
Status: Unknown
Grade: —
Source: —
Not documented in captured sources</t>
        </r>
      </text>
    </comment>
    <comment ref="X8" authorId="0">
      <text>
        <r>
          <rPr>
            <sz val="10"/>
            <rFont val="Arial"/>
            <family val="2"/>
          </rPr>
          <t xml:space="preserve">CT34 · F19
Status: Unknown
Grade: —
Source: —
Not documented in captured sources</t>
        </r>
      </text>
    </comment>
    <comment ref="X9" authorId="0">
      <text>
        <r>
          <rPr>
            <sz val="10"/>
            <rFont val="Arial"/>
            <family val="2"/>
          </rPr>
          <t xml:space="preserve">MF90 · F19
Status: Yes
Grade: B
Source: S39
Glucose trend + blood component estimation</t>
        </r>
      </text>
    </comment>
    <comment ref="X10" authorId="0">
      <text>
        <r>
          <rPr>
            <sz val="10"/>
            <rFont val="Arial"/>
            <family val="2"/>
          </rPr>
          <t xml:space="preserve">MF91 · F19
Status: Yes
Grade: B
Source: S39
Glucose trend + blood component estimation</t>
        </r>
      </text>
    </comment>
    <comment ref="X11" authorId="0">
      <text>
        <r>
          <rPr>
            <sz val="10"/>
            <rFont val="Arial"/>
            <family val="2"/>
          </rPr>
          <t xml:space="preserve">MF40 · F19
Status: Unknown
Grade: —
Source: —
Not documented in captured sources</t>
        </r>
      </text>
    </comment>
    <comment ref="X12" authorId="0">
      <text>
        <r>
          <rPr>
            <sz val="10"/>
            <rFont val="Arial"/>
            <family val="2"/>
          </rPr>
          <t xml:space="preserve">HW20 · F19
Status: Yes
Grade: B
Source: S12
Indicative blood glucose</t>
        </r>
      </text>
    </comment>
    <comment ref="X13" authorId="0">
      <text>
        <r>
          <rPr>
            <sz val="10"/>
            <rFont val="Arial"/>
            <family val="2"/>
          </rPr>
          <t xml:space="preserve">MF91Pro · F19
Status: Yes
Grade: B
Source: S16
Glucose / lipid / uric-acid trends claimed</t>
        </r>
      </text>
    </comment>
    <comment ref="X14" authorId="0">
      <text>
        <r>
          <rPr>
            <sz val="10"/>
            <rFont val="Arial"/>
            <family val="2"/>
          </rPr>
          <t xml:space="preserve">HW20Pro · F19
Status: Yes
Grade: C
Source: S13
Blood-glucose estimates (vendor claim)</t>
        </r>
      </text>
    </comment>
    <comment ref="X15" authorId="0">
      <text>
        <r>
          <rPr>
            <sz val="10"/>
            <rFont val="Arial"/>
            <family val="2"/>
          </rPr>
          <t xml:space="preserve">HW19 · F19
Status: Yes
Grade: B
Source: S11
Glucose trend (stated non-clinical)</t>
        </r>
      </text>
    </comment>
    <comment ref="X16" authorId="0">
      <text>
        <r>
          <rPr>
            <sz val="10"/>
            <rFont val="Arial"/>
            <family val="2"/>
          </rPr>
          <t xml:space="preserve">CT20S · F19
Status: Unknown
Grade: —
Source: —
Not documented in captured sources</t>
        </r>
      </text>
    </comment>
    <comment ref="X17" authorId="0">
      <text>
        <r>
          <rPr>
            <sz val="10"/>
            <rFont val="Arial"/>
            <family val="2"/>
          </rPr>
          <t xml:space="preserve">CT30 (band) · F19
Status: Unknown
Grade: —
Source: —
Not documented in captured sources</t>
        </r>
      </text>
    </comment>
    <comment ref="X18" authorId="0">
      <text>
        <r>
          <rPr>
            <sz val="10"/>
            <rFont val="Arial"/>
            <family val="2"/>
          </rPr>
          <t xml:space="preserve">CT31 · F19
Status: Unknown
Grade: —
Source: —
Not documented in captured sources</t>
        </r>
      </text>
    </comment>
    <comment ref="Y6" authorId="0">
      <text>
        <r>
          <rPr>
            <sz val="10"/>
            <rFont val="Arial"/>
            <family val="2"/>
          </rPr>
          <t xml:space="preserve">VB10 · F20
Status: Yes
Grade: C
Source: S01
No camera in documented spec</t>
        </r>
      </text>
    </comment>
    <comment ref="Y7" authorId="0">
      <text>
        <r>
          <rPr>
            <sz val="10"/>
            <rFont val="Arial"/>
            <family val="2"/>
          </rPr>
          <t xml:space="preserve">CT29 · F20
Status: Unknown
Grade: —
Source: —
Not documented in captured sources</t>
        </r>
      </text>
    </comment>
    <comment ref="Y8" authorId="0">
      <text>
        <r>
          <rPr>
            <sz val="10"/>
            <rFont val="Arial"/>
            <family val="2"/>
          </rPr>
          <t xml:space="preserve">CT34 · F20
Status: Yes
Grade: C
Source: S03
No camera</t>
        </r>
      </text>
    </comment>
    <comment ref="Y9" authorId="0">
      <text>
        <r>
          <rPr>
            <sz val="10"/>
            <rFont val="Arial"/>
            <family val="2"/>
          </rPr>
          <t xml:space="preserve">MF90 · F20
Status: Yes
Grade: C
Source: S14
</t>
        </r>
      </text>
    </comment>
    <comment ref="Y10" authorId="0">
      <text>
        <r>
          <rPr>
            <sz val="10"/>
            <rFont val="Arial"/>
            <family val="2"/>
          </rPr>
          <t xml:space="preserve">MF91 · F20
Status: Yes
Grade: C
Source: S15
</t>
        </r>
      </text>
    </comment>
    <comment ref="Y11" authorId="0">
      <text>
        <r>
          <rPr>
            <sz val="10"/>
            <rFont val="Arial"/>
            <family val="2"/>
          </rPr>
          <t xml:space="preserve">MF40 · F20
Status: Yes
Grade: C
Source: S39
</t>
        </r>
      </text>
    </comment>
    <comment ref="Y12" authorId="0">
      <text>
        <r>
          <rPr>
            <sz val="10"/>
            <rFont val="Arial"/>
            <family val="2"/>
          </rPr>
          <t xml:space="preserve">HW20 · F20
Status: Yes
Grade: C
Source: S12
</t>
        </r>
      </text>
    </comment>
    <comment ref="Y13" authorId="0">
      <text>
        <r>
          <rPr>
            <sz val="10"/>
            <rFont val="Arial"/>
            <family val="2"/>
          </rPr>
          <t xml:space="preserve">MF91Pro · F20
Status: Yes
Grade: C
Source: S16
</t>
        </r>
      </text>
    </comment>
    <comment ref="Y14" authorId="0">
      <text>
        <r>
          <rPr>
            <sz val="10"/>
            <rFont val="Arial"/>
            <family val="2"/>
          </rPr>
          <t xml:space="preserve">HW20Pro · F20
Status: Yes
Grade: C
Source: S13
</t>
        </r>
      </text>
    </comment>
    <comment ref="Y15" authorId="0">
      <text>
        <r>
          <rPr>
            <sz val="10"/>
            <rFont val="Arial"/>
            <family val="2"/>
          </rPr>
          <t xml:space="preserve">HW19 · F20
Status: Yes
Grade: C
Source: S11
</t>
        </r>
      </text>
    </comment>
    <comment ref="Y16" authorId="0">
      <text>
        <r>
          <rPr>
            <sz val="10"/>
            <rFont val="Arial"/>
            <family val="2"/>
          </rPr>
          <t xml:space="preserve">CT20S · F20
Status: Yes
Grade: C
Source: S09
</t>
        </r>
      </text>
    </comment>
    <comment ref="Y17" authorId="0">
      <text>
        <r>
          <rPr>
            <sz val="10"/>
            <rFont val="Arial"/>
            <family val="2"/>
          </rPr>
          <t xml:space="preserve">CT30 (band) · F20
Status: Yes
Grade: C
Source: S08
</t>
        </r>
      </text>
    </comment>
    <comment ref="Y18" authorId="0">
      <text>
        <r>
          <rPr>
            <sz val="10"/>
            <rFont val="Arial"/>
            <family val="2"/>
          </rPr>
          <t xml:space="preserve">CT31 · F20
Status: Yes
Grade: C
Source: S07
</t>
        </r>
      </text>
    </comment>
    <comment ref="Z6" authorId="0">
      <text>
        <r>
          <rPr>
            <sz val="10"/>
            <rFont val="Arial"/>
            <family val="2"/>
          </rPr>
          <t xml:space="preserve">VB10 · F21
Status: Unknown
Grade: —
Source: —
Not documented in captured sources</t>
        </r>
      </text>
    </comment>
    <comment ref="Z7" authorId="0">
      <text>
        <r>
          <rPr>
            <sz val="10"/>
            <rFont val="Arial"/>
            <family val="2"/>
          </rPr>
          <t xml:space="preserve">CT29 · F21
Status: Unknown
Grade: —
Source: —
Not documented in captured sources</t>
        </r>
      </text>
    </comment>
    <comment ref="Z8" authorId="0">
      <text>
        <r>
          <rPr>
            <sz val="10"/>
            <rFont val="Arial"/>
            <family val="2"/>
          </rPr>
          <t xml:space="preserve">CT34 · F21
Status: Unknown
Grade: —
Source: —
Not documented in captured sources</t>
        </r>
      </text>
    </comment>
    <comment ref="Z9" authorId="0">
      <text>
        <r>
          <rPr>
            <sz val="10"/>
            <rFont val="Arial"/>
            <family val="2"/>
          </rPr>
          <t xml:space="preserve">MF90 · F21
Status: Unknown
Grade: —
Source: —
Not documented in captured sources</t>
        </r>
      </text>
    </comment>
    <comment ref="Z10" authorId="0">
      <text>
        <r>
          <rPr>
            <sz val="10"/>
            <rFont val="Arial"/>
            <family val="2"/>
          </rPr>
          <t xml:space="preserve">MF91 · F21
Status: Unknown
Grade: —
Source: —
Not documented in captured sources</t>
        </r>
      </text>
    </comment>
    <comment ref="Z11" authorId="0">
      <text>
        <r>
          <rPr>
            <sz val="10"/>
            <rFont val="Arial"/>
            <family val="2"/>
          </rPr>
          <t xml:space="preserve">MF40 · F21
Status: Unknown
Grade: —
Source: —
Not documented in captured sources</t>
        </r>
      </text>
    </comment>
    <comment ref="Z12" authorId="0">
      <text>
        <r>
          <rPr>
            <sz val="10"/>
            <rFont val="Arial"/>
            <family val="2"/>
          </rPr>
          <t xml:space="preserve">HW20 · F21
Status: Unknown
Grade: —
Source: —
Not documented in captured sources</t>
        </r>
      </text>
    </comment>
    <comment ref="Z13" authorId="0">
      <text>
        <r>
          <rPr>
            <sz val="10"/>
            <rFont val="Arial"/>
            <family val="2"/>
          </rPr>
          <t xml:space="preserve">MF91Pro · F21
Status: Unknown
Grade: —
Source: —
Not documented in captured sources</t>
        </r>
      </text>
    </comment>
    <comment ref="Z14" authorId="0">
      <text>
        <r>
          <rPr>
            <sz val="10"/>
            <rFont val="Arial"/>
            <family val="2"/>
          </rPr>
          <t xml:space="preserve">HW20Pro · F21
Status: Unknown
Grade: —
Source: —
Not documented in captured sources</t>
        </r>
      </text>
    </comment>
    <comment ref="Z15" authorId="0">
      <text>
        <r>
          <rPr>
            <sz val="10"/>
            <rFont val="Arial"/>
            <family val="2"/>
          </rPr>
          <t xml:space="preserve">HW19 · F21
Status: Unknown
Grade: —
Source: —
Not documented in captured sources</t>
        </r>
      </text>
    </comment>
    <comment ref="Z16" authorId="0">
      <text>
        <r>
          <rPr>
            <sz val="10"/>
            <rFont val="Arial"/>
            <family val="2"/>
          </rPr>
          <t xml:space="preserve">CT20S · F21
Status: Unknown
Grade: —
Source: —
Not documented in captured sources</t>
        </r>
      </text>
    </comment>
    <comment ref="Z17" authorId="0">
      <text>
        <r>
          <rPr>
            <sz val="10"/>
            <rFont val="Arial"/>
            <family val="2"/>
          </rPr>
          <t xml:space="preserve">CT30 (band) · F21
Status: Unknown
Grade: —
Source: —
Not documented in captured sources</t>
        </r>
      </text>
    </comment>
    <comment ref="Z18" authorId="0">
      <text>
        <r>
          <rPr>
            <sz val="10"/>
            <rFont val="Arial"/>
            <family val="2"/>
          </rPr>
          <t xml:space="preserve">CT31 · F21
Status: Unknown
Grade: —
Source: —
Not documented in captured sources</t>
        </r>
      </text>
    </comment>
    <comment ref="AA6" authorId="0">
      <text>
        <r>
          <rPr>
            <sz val="10"/>
            <rFont val="Arial"/>
            <family val="2"/>
          </rPr>
          <t xml:space="preserve">VB10 · F22
Status: Yes
Grade: B
Source: S01
IP68</t>
        </r>
      </text>
    </comment>
    <comment ref="AA7" authorId="0">
      <text>
        <r>
          <rPr>
            <sz val="10"/>
            <rFont val="Arial"/>
            <family val="2"/>
          </rPr>
          <t xml:space="preserve">CT29 · F22
Status: Unknown
Grade: —
Source: —
Not documented in captured sources</t>
        </r>
      </text>
    </comment>
    <comment ref="AA8" authorId="0">
      <text>
        <r>
          <rPr>
            <sz val="10"/>
            <rFont val="Arial"/>
            <family val="2"/>
          </rPr>
          <t xml:space="preserve">CT34 · F22
Status: Yes
Grade: B
Source: S03
IP67</t>
        </r>
      </text>
    </comment>
    <comment ref="AA9" authorId="0">
      <text>
        <r>
          <rPr>
            <sz val="10"/>
            <rFont val="Arial"/>
            <family val="2"/>
          </rPr>
          <t xml:space="preserve">MF90 · F22
Status: Yes
Grade: B
Source: S14
IP68</t>
        </r>
      </text>
    </comment>
    <comment ref="AA10" authorId="0">
      <text>
        <r>
          <rPr>
            <sz val="10"/>
            <rFont val="Arial"/>
            <family val="2"/>
          </rPr>
          <t xml:space="preserve">MF91 · F22
Status: Yes
Grade: B
Source: S15
IP68</t>
        </r>
      </text>
    </comment>
    <comment ref="AA11" authorId="0">
      <text>
        <r>
          <rPr>
            <sz val="10"/>
            <rFont val="Arial"/>
            <family val="2"/>
          </rPr>
          <t xml:space="preserve">MF40 · F22
Status: No
Grade: B
Source: S17
IP66 (below IP67)</t>
        </r>
      </text>
    </comment>
    <comment ref="AA12" authorId="0">
      <text>
        <r>
          <rPr>
            <sz val="10"/>
            <rFont val="Arial"/>
            <family val="2"/>
          </rPr>
          <t xml:space="preserve">HW20 · F22
Status: Unknown
Grade: —
Source: —
Not documented in captured sources</t>
        </r>
      </text>
    </comment>
    <comment ref="AA13" authorId="0">
      <text>
        <r>
          <rPr>
            <sz val="10"/>
            <rFont val="Arial"/>
            <family val="2"/>
          </rPr>
          <t xml:space="preserve">MF91Pro · F22
Status: Unknown
Grade: —
Source: —
Not documented in captured sources</t>
        </r>
      </text>
    </comment>
    <comment ref="AA14" authorId="0">
      <text>
        <r>
          <rPr>
            <sz val="10"/>
            <rFont val="Arial"/>
            <family val="2"/>
          </rPr>
          <t xml:space="preserve">HW20Pro · F22
Status: Yes
Grade: C
Source: S30
IP67 (marketplace)</t>
        </r>
      </text>
    </comment>
    <comment ref="AA15" authorId="0">
      <text>
        <r>
          <rPr>
            <sz val="10"/>
            <rFont val="Arial"/>
            <family val="2"/>
          </rPr>
          <t xml:space="preserve">HW19 · F22
Status: Unknown
Grade: —
Source: —
Not documented in captured sources</t>
        </r>
      </text>
    </comment>
    <comment ref="AA16" authorId="0">
      <text>
        <r>
          <rPr>
            <sz val="10"/>
            <rFont val="Arial"/>
            <family val="2"/>
          </rPr>
          <t xml:space="preserve">CT20S · F22
Status: Yes
Grade: B
Source: S09
IP67</t>
        </r>
      </text>
    </comment>
    <comment ref="AA17" authorId="0">
      <text>
        <r>
          <rPr>
            <sz val="10"/>
            <rFont val="Arial"/>
            <family val="2"/>
          </rPr>
          <t xml:space="preserve">CT30 (band) · F22
Status: Unknown
Grade: —
Source: —
Not documented in captured sources</t>
        </r>
      </text>
    </comment>
    <comment ref="AA18" authorId="0">
      <text>
        <r>
          <rPr>
            <sz val="10"/>
            <rFont val="Arial"/>
            <family val="2"/>
          </rPr>
          <t xml:space="preserve">CT31 · F22
Status: Yes
Grade: B
Source: S07
IP67</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24" authorId="0">
      <text>
        <r>
          <rPr>
            <sz val="10"/>
            <rFont val="Arial"/>
            <family val="2"/>
          </rPr>
          <t xml:space="preserve">VB10 · I1
Grade: B
VB10 page links developer SDK (github.com/HBandSDK) [S01]</t>
        </r>
      </text>
    </comment>
    <comment ref="D25" authorId="0">
      <text>
        <r>
          <rPr>
            <sz val="10"/>
            <rFont val="Arial"/>
            <family val="2"/>
          </rPr>
          <t xml:space="preserve">CT29 · I1
Grade: —
Not documented for this model</t>
        </r>
      </text>
    </comment>
    <comment ref="D26" authorId="0">
      <text>
        <r>
          <rPr>
            <sz val="10"/>
            <rFont val="Arial"/>
            <family val="2"/>
          </rPr>
          <t xml:space="preserve">CT34 · I1
Grade: B
'Supports TCP protocol integration with care platforms' [S03]</t>
        </r>
      </text>
    </comment>
    <comment ref="D27" authorId="0">
      <text>
        <r>
          <rPr>
            <sz val="10"/>
            <rFont val="Arial"/>
            <family val="2"/>
          </rPr>
          <t xml:space="preserve">MF90 · I1
Grade: —
Not documented for this model</t>
        </r>
      </text>
    </comment>
    <comment ref="D28" authorId="0">
      <text>
        <r>
          <rPr>
            <sz val="10"/>
            <rFont val="Arial"/>
            <family val="2"/>
          </rPr>
          <t xml:space="preserve">MF91 · I1
Grade: —
Not documented for this model</t>
        </r>
      </text>
    </comment>
    <comment ref="D29" authorId="0">
      <text>
        <r>
          <rPr>
            <sz val="10"/>
            <rFont val="Arial"/>
            <family val="2"/>
          </rPr>
          <t xml:space="preserve">MF40 · I1
Grade: —
Not documented for this model</t>
        </r>
      </text>
    </comment>
    <comment ref="D30" authorId="0">
      <text>
        <r>
          <rPr>
            <sz val="10"/>
            <rFont val="Arial"/>
            <family val="2"/>
          </rPr>
          <t xml:space="preserve">HW20 · I1
Grade: —
Not documented for this model</t>
        </r>
      </text>
    </comment>
    <comment ref="D31" authorId="0">
      <text>
        <r>
          <rPr>
            <sz val="10"/>
            <rFont val="Arial"/>
            <family val="2"/>
          </rPr>
          <t xml:space="preserve">MF91Pro · I1
Grade: —
Not documented for this model</t>
        </r>
      </text>
    </comment>
    <comment ref="D32" authorId="0">
      <text>
        <r>
          <rPr>
            <sz val="10"/>
            <rFont val="Arial"/>
            <family val="2"/>
          </rPr>
          <t xml:space="preserve">HW20Pro · I1
Grade: —
Not documented for this model</t>
        </r>
      </text>
    </comment>
    <comment ref="D33" authorId="0">
      <text>
        <r>
          <rPr>
            <sz val="10"/>
            <rFont val="Arial"/>
            <family val="2"/>
          </rPr>
          <t xml:space="preserve">HW19 · I1
Grade: B
KSCtracker platform named on model page [S11]</t>
        </r>
      </text>
    </comment>
    <comment ref="D34" authorId="0">
      <text>
        <r>
          <rPr>
            <sz val="10"/>
            <rFont val="Arial"/>
            <family val="2"/>
          </rPr>
          <t xml:space="preserve">CT20S · I1
Grade: —
Not documented for this model</t>
        </r>
      </text>
    </comment>
    <comment ref="D35" authorId="0">
      <text>
        <r>
          <rPr>
            <sz val="10"/>
            <rFont val="Arial"/>
            <family val="2"/>
          </rPr>
          <t xml:space="preserve">CT30 (band) · I1
Grade: —
Not documented for this model</t>
        </r>
      </text>
    </comment>
    <comment ref="D36" authorId="0">
      <text>
        <r>
          <rPr>
            <sz val="10"/>
            <rFont val="Arial"/>
            <family val="2"/>
          </rPr>
          <t xml:space="preserve">CT31 · I1
Grade: —
Not documented for this model</t>
        </r>
      </text>
    </comment>
    <comment ref="E24" authorId="0">
      <text>
        <r>
          <rPr>
            <sz val="10"/>
            <rFont val="Arial"/>
            <family val="2"/>
          </rPr>
          <t xml:space="preserve">VB10 · I2
Grade: C
Public repo, authorised-customer use [S21,S22]</t>
        </r>
      </text>
    </comment>
    <comment ref="E25" authorId="0">
      <text>
        <r>
          <rPr>
            <sz val="10"/>
            <rFont val="Arial"/>
            <family val="2"/>
          </rPr>
          <t xml:space="preserve">CT29 · I2
Grade: —
Not documented for this model</t>
        </r>
      </text>
    </comment>
    <comment ref="E26" authorId="0">
      <text>
        <r>
          <rPr>
            <sz val="10"/>
            <rFont val="Arial"/>
            <family val="2"/>
          </rPr>
          <t xml:space="preserve">CT34 · I2
Grade: C
Protocol on request [S26]; third-party decoder exists [S23]</t>
        </r>
      </text>
    </comment>
    <comment ref="E27" authorId="0">
      <text>
        <r>
          <rPr>
            <sz val="10"/>
            <rFont val="Arial"/>
            <family val="2"/>
          </rPr>
          <t xml:space="preserve">MF90 · I2
Grade: —
Not documented for this model</t>
        </r>
      </text>
    </comment>
    <comment ref="E28" authorId="0">
      <text>
        <r>
          <rPr>
            <sz val="10"/>
            <rFont val="Arial"/>
            <family val="2"/>
          </rPr>
          <t xml:space="preserve">MF91 · I2
Grade: —
Not documented for this model</t>
        </r>
      </text>
    </comment>
    <comment ref="E29" authorId="0">
      <text>
        <r>
          <rPr>
            <sz val="10"/>
            <rFont val="Arial"/>
            <family val="2"/>
          </rPr>
          <t xml:space="preserve">MF40 · I2
Grade: —
Not documented for this model</t>
        </r>
      </text>
    </comment>
    <comment ref="E30" authorId="0">
      <text>
        <r>
          <rPr>
            <sz val="10"/>
            <rFont val="Arial"/>
            <family val="2"/>
          </rPr>
          <t xml:space="preserve">HW20 · I2
Grade: —
Not documented for this model</t>
        </r>
      </text>
    </comment>
    <comment ref="E31" authorId="0">
      <text>
        <r>
          <rPr>
            <sz val="10"/>
            <rFont val="Arial"/>
            <family val="2"/>
          </rPr>
          <t xml:space="preserve">MF91Pro · I2
Grade: —
Not documented for this model</t>
        </r>
      </text>
    </comment>
    <comment ref="E32" authorId="0">
      <text>
        <r>
          <rPr>
            <sz val="10"/>
            <rFont val="Arial"/>
            <family val="2"/>
          </rPr>
          <t xml:space="preserve">HW20Pro · I2
Grade: —
Not documented for this model</t>
        </r>
      </text>
    </comment>
    <comment ref="E33" authorId="0">
      <text>
        <r>
          <rPr>
            <sz val="10"/>
            <rFont val="Arial"/>
            <family val="2"/>
          </rPr>
          <t xml:space="preserve">HW19 · I2
Grade: C
Protocol on request [S26]; decoder [S23]</t>
        </r>
      </text>
    </comment>
    <comment ref="E34" authorId="0">
      <text>
        <r>
          <rPr>
            <sz val="10"/>
            <rFont val="Arial"/>
            <family val="2"/>
          </rPr>
          <t xml:space="preserve">CT20S · I2
Grade: —
Not documented for this model</t>
        </r>
      </text>
    </comment>
    <comment ref="E35" authorId="0">
      <text>
        <r>
          <rPr>
            <sz val="10"/>
            <rFont val="Arial"/>
            <family val="2"/>
          </rPr>
          <t xml:space="preserve">CT30 (band) · I2
Grade: —
Not documented for this model</t>
        </r>
      </text>
    </comment>
    <comment ref="E36" authorId="0">
      <text>
        <r>
          <rPr>
            <sz val="10"/>
            <rFont val="Arial"/>
            <family val="2"/>
          </rPr>
          <t xml:space="preserve">CT31 · I2
Grade: —
Not documented for this model</t>
        </r>
      </text>
    </comment>
    <comment ref="F24" authorId="0">
      <text>
        <r>
          <rPr>
            <sz val="10"/>
            <rFont val="Arial"/>
            <family val="2"/>
          </rPr>
          <t xml:space="preserve">VB10 · I3
Grade: —
Not documented for this model</t>
        </r>
      </text>
    </comment>
    <comment ref="F25" authorId="0">
      <text>
        <r>
          <rPr>
            <sz val="10"/>
            <rFont val="Arial"/>
            <family val="2"/>
          </rPr>
          <t xml:space="preserve">CT29 · I3
Grade: —
Not documented for this model</t>
        </r>
      </text>
    </comment>
    <comment ref="F26" authorId="0">
      <text>
        <r>
          <rPr>
            <sz val="10"/>
            <rFont val="Arial"/>
            <family val="2"/>
          </rPr>
          <t xml:space="preserve">CT34 · I3
Grade: B
Fall + SOS events are the device's core output; event list not seen [S03]</t>
        </r>
      </text>
    </comment>
    <comment ref="F27" authorId="0">
      <text>
        <r>
          <rPr>
            <sz val="10"/>
            <rFont val="Arial"/>
            <family val="2"/>
          </rPr>
          <t xml:space="preserve">MF90 · I3
Grade: —
Not documented for this model</t>
        </r>
      </text>
    </comment>
    <comment ref="F28" authorId="0">
      <text>
        <r>
          <rPr>
            <sz val="10"/>
            <rFont val="Arial"/>
            <family val="2"/>
          </rPr>
          <t xml:space="preserve">MF91 · I3
Grade: —
Not documented for this model</t>
        </r>
      </text>
    </comment>
    <comment ref="F29" authorId="0">
      <text>
        <r>
          <rPr>
            <sz val="10"/>
            <rFont val="Arial"/>
            <family val="2"/>
          </rPr>
          <t xml:space="preserve">MF40 · I3
Grade: —
Not documented for this model</t>
        </r>
      </text>
    </comment>
    <comment ref="F30" authorId="0">
      <text>
        <r>
          <rPr>
            <sz val="10"/>
            <rFont val="Arial"/>
            <family val="2"/>
          </rPr>
          <t xml:space="preserve">HW20 · I3
Grade: —
Not documented for this model</t>
        </r>
      </text>
    </comment>
    <comment ref="F31" authorId="0">
      <text>
        <r>
          <rPr>
            <sz val="10"/>
            <rFont val="Arial"/>
            <family val="2"/>
          </rPr>
          <t xml:space="preserve">MF91Pro · I3
Grade: —
Not documented for this model</t>
        </r>
      </text>
    </comment>
    <comment ref="F32" authorId="0">
      <text>
        <r>
          <rPr>
            <sz val="10"/>
            <rFont val="Arial"/>
            <family val="2"/>
          </rPr>
          <t xml:space="preserve">HW20Pro · I3
Grade: —
Not documented for this model</t>
        </r>
      </text>
    </comment>
    <comment ref="F33" authorId="0">
      <text>
        <r>
          <rPr>
            <sz val="10"/>
            <rFont val="Arial"/>
            <family val="2"/>
          </rPr>
          <t xml:space="preserve">HW19 · I3
Grade: B
SOS to 'monitoring platform' [S11]</t>
        </r>
      </text>
    </comment>
    <comment ref="F34" authorId="0">
      <text>
        <r>
          <rPr>
            <sz val="10"/>
            <rFont val="Arial"/>
            <family val="2"/>
          </rPr>
          <t xml:space="preserve">CT20S · I3
Grade: —
Not documented for this model</t>
        </r>
      </text>
    </comment>
    <comment ref="F35" authorId="0">
      <text>
        <r>
          <rPr>
            <sz val="10"/>
            <rFont val="Arial"/>
            <family val="2"/>
          </rPr>
          <t xml:space="preserve">CT30 (band) · I3
Grade: —
Not documented for this model</t>
        </r>
      </text>
    </comment>
    <comment ref="F36" authorId="0">
      <text>
        <r>
          <rPr>
            <sz val="10"/>
            <rFont val="Arial"/>
            <family val="2"/>
          </rPr>
          <t xml:space="preserve">CT31 · I3
Grade: —
Not documented for this model</t>
        </r>
      </text>
    </comment>
    <comment ref="G24" authorId="0">
      <text>
        <r>
          <rPr>
            <sz val="10"/>
            <rFont val="Arial"/>
            <family val="2"/>
          </rPr>
          <t xml:space="preserve">VB10 · I4
Grade: C
SDK listeners for HR, HRV raw, ECG raw, SpO2, BP [S21]</t>
        </r>
      </text>
    </comment>
    <comment ref="G25" authorId="0">
      <text>
        <r>
          <rPr>
            <sz val="10"/>
            <rFont val="Arial"/>
            <family val="2"/>
          </rPr>
          <t xml:space="preserve">CT29 · I4
Grade: —
Not documented for this model</t>
        </r>
      </text>
    </comment>
    <comment ref="G26" authorId="0">
      <text>
        <r>
          <rPr>
            <sz val="10"/>
            <rFont val="Arial"/>
            <family val="2"/>
          </rPr>
          <t xml:space="preserve">CT34 · I4
Grade: —
Not documented for this model</t>
        </r>
      </text>
    </comment>
    <comment ref="G27" authorId="0">
      <text>
        <r>
          <rPr>
            <sz val="10"/>
            <rFont val="Arial"/>
            <family val="2"/>
          </rPr>
          <t xml:space="preserve">MF90 · I4
Grade: —
Not documented for this model</t>
        </r>
      </text>
    </comment>
    <comment ref="G28" authorId="0">
      <text>
        <r>
          <rPr>
            <sz val="10"/>
            <rFont val="Arial"/>
            <family val="2"/>
          </rPr>
          <t xml:space="preserve">MF91 · I4
Grade: —
Not documented for this model</t>
        </r>
      </text>
    </comment>
    <comment ref="G29" authorId="0">
      <text>
        <r>
          <rPr>
            <sz val="10"/>
            <rFont val="Arial"/>
            <family val="2"/>
          </rPr>
          <t xml:space="preserve">MF40 · I4
Grade: —
Not documented for this model</t>
        </r>
      </text>
    </comment>
    <comment ref="G30" authorId="0">
      <text>
        <r>
          <rPr>
            <sz val="10"/>
            <rFont val="Arial"/>
            <family val="2"/>
          </rPr>
          <t xml:space="preserve">HW20 · I4
Grade: —
Not documented for this model</t>
        </r>
      </text>
    </comment>
    <comment ref="G31" authorId="0">
      <text>
        <r>
          <rPr>
            <sz val="10"/>
            <rFont val="Arial"/>
            <family val="2"/>
          </rPr>
          <t xml:space="preserve">MF91Pro · I4
Grade: —
Not documented for this model</t>
        </r>
      </text>
    </comment>
    <comment ref="G32" authorId="0">
      <text>
        <r>
          <rPr>
            <sz val="10"/>
            <rFont val="Arial"/>
            <family val="2"/>
          </rPr>
          <t xml:space="preserve">HW20Pro · I4
Grade: —
Not documented for this model</t>
        </r>
      </text>
    </comment>
    <comment ref="G33" authorId="0">
      <text>
        <r>
          <rPr>
            <sz val="10"/>
            <rFont val="Arial"/>
            <family val="2"/>
          </rPr>
          <t xml:space="preserve">HW19 · I4
Grade: C
Platform covers PPG/ECG data [S18]</t>
        </r>
      </text>
    </comment>
    <comment ref="G34" authorId="0">
      <text>
        <r>
          <rPr>
            <sz val="10"/>
            <rFont val="Arial"/>
            <family val="2"/>
          </rPr>
          <t xml:space="preserve">CT20S · I4
Grade: —
Not documented for this model</t>
        </r>
      </text>
    </comment>
    <comment ref="G35" authorId="0">
      <text>
        <r>
          <rPr>
            <sz val="10"/>
            <rFont val="Arial"/>
            <family val="2"/>
          </rPr>
          <t xml:space="preserve">CT30 (band) · I4
Grade: —
Not documented for this model</t>
        </r>
      </text>
    </comment>
    <comment ref="G36" authorId="0">
      <text>
        <r>
          <rPr>
            <sz val="10"/>
            <rFont val="Arial"/>
            <family val="2"/>
          </rPr>
          <t xml:space="preserve">CT31 · I4
Grade: —
Not documented for this model</t>
        </r>
      </text>
    </comment>
    <comment ref="H24" authorId="0">
      <text>
        <r>
          <rPr>
            <sz val="10"/>
            <rFont val="Arial"/>
            <family val="2"/>
          </rPr>
          <t xml:space="preserve">VB10 · I5
Grade: D
ECG raw ADC listener [S21]</t>
        </r>
      </text>
    </comment>
    <comment ref="H25" authorId="0">
      <text>
        <r>
          <rPr>
            <sz val="10"/>
            <rFont val="Arial"/>
            <family val="2"/>
          </rPr>
          <t xml:space="preserve">CT29 · I5
Grade: —
Not documented for this model</t>
        </r>
      </text>
    </comment>
    <comment ref="H26" authorId="0">
      <text>
        <r>
          <rPr>
            <sz val="10"/>
            <rFont val="Arial"/>
            <family val="2"/>
          </rPr>
          <t xml:space="preserve">CT34 · I5
Grade: —
Not documented for this model</t>
        </r>
      </text>
    </comment>
    <comment ref="H27" authorId="0">
      <text>
        <r>
          <rPr>
            <sz val="10"/>
            <rFont val="Arial"/>
            <family val="2"/>
          </rPr>
          <t xml:space="preserve">MF90 · I5
Grade: —
Not documented for this model</t>
        </r>
      </text>
    </comment>
    <comment ref="H28" authorId="0">
      <text>
        <r>
          <rPr>
            <sz val="10"/>
            <rFont val="Arial"/>
            <family val="2"/>
          </rPr>
          <t xml:space="preserve">MF91 · I5
Grade: —
Not documented for this model</t>
        </r>
      </text>
    </comment>
    <comment ref="H29" authorId="0">
      <text>
        <r>
          <rPr>
            <sz val="10"/>
            <rFont val="Arial"/>
            <family val="2"/>
          </rPr>
          <t xml:space="preserve">MF40 · I5
Grade: —
Not documented for this model</t>
        </r>
      </text>
    </comment>
    <comment ref="H30" authorId="0">
      <text>
        <r>
          <rPr>
            <sz val="10"/>
            <rFont val="Arial"/>
            <family val="2"/>
          </rPr>
          <t xml:space="preserve">HW20 · I5
Grade: —
Not documented for this model</t>
        </r>
      </text>
    </comment>
    <comment ref="H31" authorId="0">
      <text>
        <r>
          <rPr>
            <sz val="10"/>
            <rFont val="Arial"/>
            <family val="2"/>
          </rPr>
          <t xml:space="preserve">MF91Pro · I5
Grade: —
Not documented for this model</t>
        </r>
      </text>
    </comment>
    <comment ref="H32" authorId="0">
      <text>
        <r>
          <rPr>
            <sz val="10"/>
            <rFont val="Arial"/>
            <family val="2"/>
          </rPr>
          <t xml:space="preserve">HW20Pro · I5
Grade: —
Not documented for this model</t>
        </r>
      </text>
    </comment>
    <comment ref="H33" authorId="0">
      <text>
        <r>
          <rPr>
            <sz val="10"/>
            <rFont val="Arial"/>
            <family val="2"/>
          </rPr>
          <t xml:space="preserve">HW19 · I5
Grade: —
Not documented for this model</t>
        </r>
      </text>
    </comment>
    <comment ref="H34" authorId="0">
      <text>
        <r>
          <rPr>
            <sz val="10"/>
            <rFont val="Arial"/>
            <family val="2"/>
          </rPr>
          <t xml:space="preserve">CT20S · I5
Grade: —
Not documented for this model</t>
        </r>
      </text>
    </comment>
    <comment ref="H35" authorId="0">
      <text>
        <r>
          <rPr>
            <sz val="10"/>
            <rFont val="Arial"/>
            <family val="2"/>
          </rPr>
          <t xml:space="preserve">CT30 (band) · I5
Grade: —
Not documented for this model</t>
        </r>
      </text>
    </comment>
    <comment ref="H36" authorId="0">
      <text>
        <r>
          <rPr>
            <sz val="10"/>
            <rFont val="Arial"/>
            <family val="2"/>
          </rPr>
          <t xml:space="preserve">CT31 · I5
Grade: —
Not documented for this model</t>
        </r>
      </text>
    </comment>
    <comment ref="I24" authorId="0">
      <text>
        <r>
          <rPr>
            <sz val="10"/>
            <rFont val="Arial"/>
            <family val="2"/>
          </rPr>
          <t xml:space="preserve">VB10 · I6
Grade: B
BLE: data passes through a phone or home gateway</t>
        </r>
      </text>
    </comment>
    <comment ref="I25" authorId="0">
      <text>
        <r>
          <rPr>
            <sz val="10"/>
            <rFont val="Arial"/>
            <family val="2"/>
          </rPr>
          <t xml:space="preserve">CT29 · I6
Grade: C
4G per product name only</t>
        </r>
      </text>
    </comment>
    <comment ref="I26" authorId="0">
      <text>
        <r>
          <rPr>
            <sz val="10"/>
            <rFont val="Arial"/>
            <family val="2"/>
          </rPr>
          <t xml:space="preserve">CT34 · I6
Grade: B
Standalone 4G</t>
        </r>
      </text>
    </comment>
    <comment ref="I27" authorId="0">
      <text>
        <r>
          <rPr>
            <sz val="10"/>
            <rFont val="Arial"/>
            <family val="2"/>
          </rPr>
          <t xml:space="preserve">MF90 · I6
Grade: B
BLE: data passes through a phone or home gateway</t>
        </r>
      </text>
    </comment>
    <comment ref="I28" authorId="0">
      <text>
        <r>
          <rPr>
            <sz val="10"/>
            <rFont val="Arial"/>
            <family val="2"/>
          </rPr>
          <t xml:space="preserve">MF91 · I6
Grade: B
BLE: data passes through a phone or home gateway</t>
        </r>
      </text>
    </comment>
    <comment ref="I29" authorId="0">
      <text>
        <r>
          <rPr>
            <sz val="10"/>
            <rFont val="Arial"/>
            <family val="2"/>
          </rPr>
          <t xml:space="preserve">MF40 · I6
Grade: B
BLE: data passes through a phone or home gateway</t>
        </r>
      </text>
    </comment>
    <comment ref="I30" authorId="0">
      <text>
        <r>
          <rPr>
            <sz val="10"/>
            <rFont val="Arial"/>
            <family val="2"/>
          </rPr>
          <t xml:space="preserve">HW20 · I6
Grade: B
Standalone 4G</t>
        </r>
      </text>
    </comment>
    <comment ref="I31" authorId="0">
      <text>
        <r>
          <rPr>
            <sz val="10"/>
            <rFont val="Arial"/>
            <family val="2"/>
          </rPr>
          <t xml:space="preserve">MF91Pro · I6
Grade: B
BLE: data passes through a phone or home gateway</t>
        </r>
      </text>
    </comment>
    <comment ref="I32" authorId="0">
      <text>
        <r>
          <rPr>
            <sz val="10"/>
            <rFont val="Arial"/>
            <family val="2"/>
          </rPr>
          <t xml:space="preserve">HW20Pro · I6
Grade: B
Standalone 4G</t>
        </r>
      </text>
    </comment>
    <comment ref="I33" authorId="0">
      <text>
        <r>
          <rPr>
            <sz val="10"/>
            <rFont val="Arial"/>
            <family val="2"/>
          </rPr>
          <t xml:space="preserve">HW19 · I6
Grade: B
Standalone 4G</t>
        </r>
      </text>
    </comment>
    <comment ref="I34" authorId="0">
      <text>
        <r>
          <rPr>
            <sz val="10"/>
            <rFont val="Arial"/>
            <family val="2"/>
          </rPr>
          <t xml:space="preserve">CT20S · I6
Grade: B
Standalone 4G</t>
        </r>
      </text>
    </comment>
    <comment ref="I35" authorId="0">
      <text>
        <r>
          <rPr>
            <sz val="10"/>
            <rFont val="Arial"/>
            <family val="2"/>
          </rPr>
          <t xml:space="preserve">CT30 (band) · I6
Grade: B
Standalone 4G</t>
        </r>
      </text>
    </comment>
    <comment ref="I36" authorId="0">
      <text>
        <r>
          <rPr>
            <sz val="10"/>
            <rFont val="Arial"/>
            <family val="2"/>
          </rPr>
          <t xml:space="preserve">CT31 · I6
Grade: B
Standalone 4G</t>
        </r>
      </text>
    </comment>
    <comment ref="J24" authorId="0">
      <text>
        <r>
          <rPr>
            <sz val="10"/>
            <rFont val="Arial"/>
            <family val="2"/>
          </rPr>
          <t xml:space="preserve">VB10 · I7
Grade: D
'For authorised cooperative customers' — terms unknown [S22]</t>
        </r>
      </text>
    </comment>
    <comment ref="J25" authorId="0">
      <text>
        <r>
          <rPr>
            <sz val="10"/>
            <rFont val="Arial"/>
            <family val="2"/>
          </rPr>
          <t xml:space="preserve">CT29 · I7
Grade: —
Not documented for this model</t>
        </r>
      </text>
    </comment>
    <comment ref="J26" authorId="0">
      <text>
        <r>
          <rPr>
            <sz val="10"/>
            <rFont val="Arial"/>
            <family val="2"/>
          </rPr>
          <t xml:space="preserve">CT34 · I7
Grade: D
Docs on request; encryption-key fees reported for some Wonlex devices [S24]</t>
        </r>
      </text>
    </comment>
    <comment ref="J27" authorId="0">
      <text>
        <r>
          <rPr>
            <sz val="10"/>
            <rFont val="Arial"/>
            <family val="2"/>
          </rPr>
          <t xml:space="preserve">MF90 · I7
Grade: —
Not documented for this model</t>
        </r>
      </text>
    </comment>
    <comment ref="J28" authorId="0">
      <text>
        <r>
          <rPr>
            <sz val="10"/>
            <rFont val="Arial"/>
            <family val="2"/>
          </rPr>
          <t xml:space="preserve">MF91 · I7
Grade: —
Not documented for this model</t>
        </r>
      </text>
    </comment>
    <comment ref="J29" authorId="0">
      <text>
        <r>
          <rPr>
            <sz val="10"/>
            <rFont val="Arial"/>
            <family val="2"/>
          </rPr>
          <t xml:space="preserve">MF40 · I7
Grade: —
Not documented for this model</t>
        </r>
      </text>
    </comment>
    <comment ref="J30" authorId="0">
      <text>
        <r>
          <rPr>
            <sz val="10"/>
            <rFont val="Arial"/>
            <family val="2"/>
          </rPr>
          <t xml:space="preserve">HW20 · I7
Grade: —
Not documented for this model</t>
        </r>
      </text>
    </comment>
    <comment ref="J31" authorId="0">
      <text>
        <r>
          <rPr>
            <sz val="10"/>
            <rFont val="Arial"/>
            <family val="2"/>
          </rPr>
          <t xml:space="preserve">MF91Pro · I7
Grade: —
Not documented for this model</t>
        </r>
      </text>
    </comment>
    <comment ref="J32" authorId="0">
      <text>
        <r>
          <rPr>
            <sz val="10"/>
            <rFont val="Arial"/>
            <family val="2"/>
          </rPr>
          <t xml:space="preserve">HW20Pro · I7
Grade: —
Not documented for this model</t>
        </r>
      </text>
    </comment>
    <comment ref="J33" authorId="0">
      <text>
        <r>
          <rPr>
            <sz val="10"/>
            <rFont val="Arial"/>
            <family val="2"/>
          </rPr>
          <t xml:space="preserve">HW19 · I7
Grade: D
Terms unknown; encryption risk [S24]</t>
        </r>
      </text>
    </comment>
    <comment ref="J34" authorId="0">
      <text>
        <r>
          <rPr>
            <sz val="10"/>
            <rFont val="Arial"/>
            <family val="2"/>
          </rPr>
          <t xml:space="preserve">CT20S · I7
Grade: —
Not documented for this model</t>
        </r>
      </text>
    </comment>
    <comment ref="J35" authorId="0">
      <text>
        <r>
          <rPr>
            <sz val="10"/>
            <rFont val="Arial"/>
            <family val="2"/>
          </rPr>
          <t xml:space="preserve">CT30 (band) · I7
Grade: —
Not documented for this model</t>
        </r>
      </text>
    </comment>
    <comment ref="J36" authorId="0">
      <text>
        <r>
          <rPr>
            <sz val="10"/>
            <rFont val="Arial"/>
            <family val="2"/>
          </rPr>
          <t xml:space="preserve">CT31 · I7
Grade: —
Not documented for this model</t>
        </r>
      </text>
    </comment>
    <comment ref="K24" authorId="0">
      <text>
        <r>
          <rPr>
            <sz val="10"/>
            <rFont val="Arial"/>
            <family val="2"/>
          </rPr>
          <t xml:space="preserve">VB10 · I8
Grade: C
On-phone SDK; no vendor cloud needed (inferred) [S21]</t>
        </r>
      </text>
    </comment>
    <comment ref="K25" authorId="0">
      <text>
        <r>
          <rPr>
            <sz val="10"/>
            <rFont val="Arial"/>
            <family val="2"/>
          </rPr>
          <t xml:space="preserve">CT29 · I8
Grade: —
Not documented for this model</t>
        </r>
      </text>
    </comment>
    <comment ref="K26" authorId="0">
      <text>
        <r>
          <rPr>
            <sz val="10"/>
            <rFont val="Arial"/>
            <family val="2"/>
          </rPr>
          <t xml:space="preserve">CT34 · I8
Grade: B
KSCtracker: integrate with your own servers [S18]</t>
        </r>
      </text>
    </comment>
    <comment ref="K27" authorId="0">
      <text>
        <r>
          <rPr>
            <sz val="10"/>
            <rFont val="Arial"/>
            <family val="2"/>
          </rPr>
          <t xml:space="preserve">MF90 · I8
Grade: —
Not documented for this model</t>
        </r>
      </text>
    </comment>
    <comment ref="K28" authorId="0">
      <text>
        <r>
          <rPr>
            <sz val="10"/>
            <rFont val="Arial"/>
            <family val="2"/>
          </rPr>
          <t xml:space="preserve">MF91 · I8
Grade: —
Not documented for this model</t>
        </r>
      </text>
    </comment>
    <comment ref="K29" authorId="0">
      <text>
        <r>
          <rPr>
            <sz val="10"/>
            <rFont val="Arial"/>
            <family val="2"/>
          </rPr>
          <t xml:space="preserve">MF40 · I8
Grade: —
Not documented for this model</t>
        </r>
      </text>
    </comment>
    <comment ref="K30" authorId="0">
      <text>
        <r>
          <rPr>
            <sz val="10"/>
            <rFont val="Arial"/>
            <family val="2"/>
          </rPr>
          <t xml:space="preserve">HW20 · I8
Grade: —
Not documented for this model</t>
        </r>
      </text>
    </comment>
    <comment ref="K31" authorId="0">
      <text>
        <r>
          <rPr>
            <sz val="10"/>
            <rFont val="Arial"/>
            <family val="2"/>
          </rPr>
          <t xml:space="preserve">MF91Pro · I8
Grade: —
Not documented for this model</t>
        </r>
      </text>
    </comment>
    <comment ref="K32" authorId="0">
      <text>
        <r>
          <rPr>
            <sz val="10"/>
            <rFont val="Arial"/>
            <family val="2"/>
          </rPr>
          <t xml:space="preserve">HW20Pro · I8
Grade: —
Not documented for this model</t>
        </r>
      </text>
    </comment>
    <comment ref="K33" authorId="0">
      <text>
        <r>
          <rPr>
            <sz val="10"/>
            <rFont val="Arial"/>
            <family val="2"/>
          </rPr>
          <t xml:space="preserve">HW19 · I8
Grade: B
Own-server option [S18]</t>
        </r>
      </text>
    </comment>
    <comment ref="K34" authorId="0">
      <text>
        <r>
          <rPr>
            <sz val="10"/>
            <rFont val="Arial"/>
            <family val="2"/>
          </rPr>
          <t xml:space="preserve">CT20S · I8
Grade: —
Not documented for this model</t>
        </r>
      </text>
    </comment>
    <comment ref="K35" authorId="0">
      <text>
        <r>
          <rPr>
            <sz val="10"/>
            <rFont val="Arial"/>
            <family val="2"/>
          </rPr>
          <t xml:space="preserve">CT30 (band) · I8
Grade: —
Not documented for this model</t>
        </r>
      </text>
    </comment>
    <comment ref="K36" authorId="0">
      <text>
        <r>
          <rPr>
            <sz val="10"/>
            <rFont val="Arial"/>
            <family val="2"/>
          </rPr>
          <t xml:space="preserve">CT31 · I8
Grade: —
Not documented for this model</t>
        </r>
      </text>
    </comment>
    <comment ref="L24" authorId="0">
      <text>
        <r>
          <rPr>
            <sz val="10"/>
            <rFont val="Arial"/>
            <family val="2"/>
          </rPr>
          <t xml:space="preserve">VB10 · I9
Grade: C
Real-time while phone in BLE range</t>
        </r>
      </text>
    </comment>
    <comment ref="L25" authorId="0">
      <text>
        <r>
          <rPr>
            <sz val="10"/>
            <rFont val="Arial"/>
            <family val="2"/>
          </rPr>
          <t xml:space="preserve">CT29 · I9
Grade: —
Not documented for this model</t>
        </r>
      </text>
    </comment>
    <comment ref="L26" authorId="0">
      <text>
        <r>
          <rPr>
            <sz val="10"/>
            <rFont val="Arial"/>
            <family val="2"/>
          </rPr>
          <t xml:space="preserve">CT34 · I9
Grade: C
TCP push from device</t>
        </r>
      </text>
    </comment>
    <comment ref="L27" authorId="0">
      <text>
        <r>
          <rPr>
            <sz val="10"/>
            <rFont val="Arial"/>
            <family val="2"/>
          </rPr>
          <t xml:space="preserve">MF90 · I9
Grade: —
Not documented for this model</t>
        </r>
      </text>
    </comment>
    <comment ref="L28" authorId="0">
      <text>
        <r>
          <rPr>
            <sz val="10"/>
            <rFont val="Arial"/>
            <family val="2"/>
          </rPr>
          <t xml:space="preserve">MF91 · I9
Grade: —
Not documented for this model</t>
        </r>
      </text>
    </comment>
    <comment ref="L29" authorId="0">
      <text>
        <r>
          <rPr>
            <sz val="10"/>
            <rFont val="Arial"/>
            <family val="2"/>
          </rPr>
          <t xml:space="preserve">MF40 · I9
Grade: —
Not documented for this model</t>
        </r>
      </text>
    </comment>
    <comment ref="L30" authorId="0">
      <text>
        <r>
          <rPr>
            <sz val="10"/>
            <rFont val="Arial"/>
            <family val="2"/>
          </rPr>
          <t xml:space="preserve">HW20 · I9
Grade: —
Not documented for this model</t>
        </r>
      </text>
    </comment>
    <comment ref="L31" authorId="0">
      <text>
        <r>
          <rPr>
            <sz val="10"/>
            <rFont val="Arial"/>
            <family val="2"/>
          </rPr>
          <t xml:space="preserve">MF91Pro · I9
Grade: —
Not documented for this model</t>
        </r>
      </text>
    </comment>
    <comment ref="L32" authorId="0">
      <text>
        <r>
          <rPr>
            <sz val="10"/>
            <rFont val="Arial"/>
            <family val="2"/>
          </rPr>
          <t xml:space="preserve">HW20Pro · I9
Grade: —
Not documented for this model</t>
        </r>
      </text>
    </comment>
    <comment ref="L33" authorId="0">
      <text>
        <r>
          <rPr>
            <sz val="10"/>
            <rFont val="Arial"/>
            <family val="2"/>
          </rPr>
          <t xml:space="preserve">HW19 · I9
Grade: C
Platform alerts</t>
        </r>
      </text>
    </comment>
    <comment ref="L34" authorId="0">
      <text>
        <r>
          <rPr>
            <sz val="10"/>
            <rFont val="Arial"/>
            <family val="2"/>
          </rPr>
          <t xml:space="preserve">CT20S · I9
Grade: —
Not documented for this model</t>
        </r>
      </text>
    </comment>
    <comment ref="L35" authorId="0">
      <text>
        <r>
          <rPr>
            <sz val="10"/>
            <rFont val="Arial"/>
            <family val="2"/>
          </rPr>
          <t xml:space="preserve">CT30 (band) · I9
Grade: —
Not documented for this model</t>
        </r>
      </text>
    </comment>
    <comment ref="L36" authorId="0">
      <text>
        <r>
          <rPr>
            <sz val="10"/>
            <rFont val="Arial"/>
            <family val="2"/>
          </rPr>
          <t xml:space="preserve">CT31 · I9
Grade: —
Not documented for this model</t>
        </r>
      </text>
    </comment>
  </commentList>
</comments>
</file>

<file path=xl/sharedStrings.xml><?xml version="1.0" encoding="utf-8"?>
<sst xmlns="http://schemas.openxmlformats.org/spreadsheetml/2006/main" count="6828" uniqueCount="1898">
  <si>
    <t xml:space="preserve">REVII · WRIST-WEARABLE BENCHMARK — EXECUTIVE DASHBOARD</t>
  </si>
  <si>
    <t xml:space="preserve">Research as of 27 Oct 2026 · Wonlex wrist wearables vs Revii's customer research · every figure below recalculates from the input sheets</t>
  </si>
  <si>
    <t xml:space="preserve">Manufacturers authorised</t>
  </si>
  <si>
    <t xml:space="preserve">Models catalogued</t>
  </si>
  <si>
    <t xml:space="preserve">Wrist models scored</t>
  </si>
  <si>
    <t xml:space="preserve">Eligible (all gates passed)</t>
  </si>
  <si>
    <t xml:space="preserve">Conditionally eligible</t>
  </si>
  <si>
    <t xml:space="preserve">Pending verification</t>
  </si>
  <si>
    <t xml:space="preserve">Open P1 supplier questions</t>
  </si>
  <si>
    <t xml:space="preserve">Fleet used for TCO</t>
  </si>
  <si>
    <t xml:space="preserve">Provisional ranking — conditionally eligible models (shortlist for supplier verification; none is eligible yet)</t>
  </si>
  <si>
    <t xml:space="preserve">#</t>
  </si>
  <si>
    <t xml:space="preserve">Model</t>
  </si>
  <si>
    <t xml:space="preserve">Overall</t>
  </si>
  <si>
    <t xml:space="preserve">Market fit (confirmed – potential)</t>
  </si>
  <si>
    <t xml:space="preserve">Integration</t>
  </si>
  <si>
    <t xml:space="preserve">Commercial</t>
  </si>
  <si>
    <t xml:space="preserve">TCO 36m / device (EUR)</t>
  </si>
  <si>
    <t xml:space="preserve">Integration status</t>
  </si>
  <si>
    <t xml:space="preserve">Eligibility</t>
  </si>
  <si>
    <t xml:space="preserve">Confidence</t>
  </si>
  <si>
    <t xml:space="preserve">Strongest need</t>
  </si>
  <si>
    <t xml:space="preserve">Strong candidates still PENDING verification (no model-specific integration evidence yet) — top 3</t>
  </si>
  <si>
    <t xml:space="preserve">Market fit</t>
  </si>
  <si>
    <t xml:space="preserve">Best model by use case — within the ranking pool (live, from 13 and 11)</t>
  </si>
  <si>
    <t xml:space="preserve">Use case</t>
  </si>
  <si>
    <t xml:space="preserve">Top model</t>
  </si>
  <si>
    <t xml:space="preserve">Score</t>
  </si>
  <si>
    <t xml:space="preserve">Runner-up</t>
  </si>
  <si>
    <t xml:space="preserve">Best cost-to-value (score per EUR 100 of 36-month TCO)</t>
  </si>
  <si>
    <t xml:space="preserve">Critical uncertainties — open P1 supplier questions (15)</t>
  </si>
  <si>
    <t xml:space="preserve">Charts</t>
  </si>
  <si>
    <t xml:space="preserve">Colours: categorical pair validated for colour-vision deficiency. Bars share one axis per chart; the market-fit chart's gap between the two bars is the share of each score that still rests on Unknown evidence.</t>
  </si>
  <si>
    <t xml:space="preserve">MODEL MASTER LIST</t>
  </si>
  <si>
    <t xml:space="preserve">Every product considered: user-mandated, historical, discovered alternatives and screened-out items (with reasons). Scope: wrist-worn devices only.</t>
  </si>
  <si>
    <t xml:space="preserve">Authorised manufacturers: Wonlex (mandatory list + historical), 2M Engineering, Shelly, Aeotec, OWON (historical workbook). No other manufacturer was introduced. Excluded by scope: smart glasses (incl. Dinowear AI Glasses), rings and every other non-wrist category. No separate manufacturer/model list file was provided; the six images in the historical workbook are captures of Wonlex product pages (S39).</t>
  </si>
  <si>
    <t xml:space="preserve">ID</t>
  </si>
  <si>
    <t xml:space="preserve">Manufacturer</t>
  </si>
  <si>
    <t xml:space="preserve">Product category</t>
  </si>
  <si>
    <t xml:space="preserve">Form factor</t>
  </si>
  <si>
    <t xml:space="preserve">Official product URL</t>
  </si>
  <si>
    <t xml:space="preserve">Original source / input</t>
  </si>
  <si>
    <t xml:space="preserve">Classification</t>
  </si>
  <si>
    <t xml:space="preserve">Mandatory vs discovered</t>
  </si>
  <si>
    <t xml:space="preserve">Market availability</t>
  </si>
  <si>
    <t xml:space="preserve">Inclusion / exclusion rationale</t>
  </si>
  <si>
    <t xml:space="preserve">Research completeness</t>
  </si>
  <si>
    <t xml:space="preserve">Notes</t>
  </si>
  <si>
    <t xml:space="preserve">M01</t>
  </si>
  <si>
    <t xml:space="preserve">Wonlex</t>
  </si>
  <si>
    <t xml:space="preserve">VB10</t>
  </si>
  <si>
    <t xml:space="preserve">Screenless BLE health band</t>
  </si>
  <si>
    <t xml:space="preserve">Wrist — band</t>
  </si>
  <si>
    <t xml:space="preserve">https://www.iwonlex.net/products/vb10-medical-grade-screenless-health-band-with-ecg-and-hrv-monitoring/</t>
  </si>
  <si>
    <t xml:space="preserve">Brief — mandatory model</t>
  </si>
  <si>
    <t xml:space="preserve">User-mandated</t>
  </si>
  <si>
    <t xml:space="preserve">Mandatory</t>
  </si>
  <si>
    <t xml:space="preserve">Listed on manufacturer site (May 2026 spec)</t>
  </si>
  <si>
    <t xml:space="preserve">Mandatory. Richest physiological sensing (ECG 500 Hz, HRV, SpO2, sleep stages) with a public-but-licensed SDK pointer.</t>
  </si>
  <si>
    <t xml:space="preserve">M02</t>
  </si>
  <si>
    <t xml:space="preserve">CT29</t>
  </si>
  <si>
    <t xml:space="preserve">4G health bracelet with fall detection</t>
  </si>
  <si>
    <t xml:space="preserve">https://www.iwonlex.net/products/wonlex-4g-cheap-gps-wifi-calling-cat1-kids-smart-watch-s10/</t>
  </si>
  <si>
    <t xml:space="preserve">Name listed on manufacturer category page; no spec page found</t>
  </si>
  <si>
    <t xml:space="preserve">Mandatory. Supplied URL resolves to the S10 KIDS watch; CT29 specifications could not be established and S10 specs are not transferred.</t>
  </si>
  <si>
    <t xml:space="preserve">M03</t>
  </si>
  <si>
    <t xml:space="preserve">CT34</t>
  </si>
  <si>
    <t xml:space="preserve">4G GPS screenless SOS band for seniors</t>
  </si>
  <si>
    <t xml:space="preserve">https://www.iwonlex.net/products/wonlex-ct34-4g-gps-screenless-sos-smart-band-for-seniors/</t>
  </si>
  <si>
    <t xml:space="preserve">Listed on manufacturer site; Alibaba storefront</t>
  </si>
  <si>
    <t xml:space="preserve">Mandatory. Simplest safety device: screenless, fall detection, SOS call, 4G, TCP integration stated on the model page.</t>
  </si>
  <si>
    <t xml:space="preserve">M04</t>
  </si>
  <si>
    <t xml:space="preserve">MF90</t>
  </si>
  <si>
    <t xml:space="preserve">BLE screenless ECG &amp; health band</t>
  </si>
  <si>
    <t xml:space="preserve">https://www.iwonlex.net/products/mf90-bluetooth-screenless-ecg---health-monitoring-band/</t>
  </si>
  <si>
    <t xml:space="preserve">Historical workbook</t>
  </si>
  <si>
    <t xml:space="preserve">Historical comparison model</t>
  </si>
  <si>
    <t xml:space="preserve">Historical</t>
  </si>
  <si>
    <t xml:space="preserve">Listed on manufacturer site</t>
  </si>
  <si>
    <t xml:space="preserve">In historical benchmark; screenless ECG band, 7-15 day battery.</t>
  </si>
  <si>
    <t xml:space="preserve">M05</t>
  </si>
  <si>
    <t xml:space="preserve">MF91</t>
  </si>
  <si>
    <t xml:space="preserve">BLE screenless fitness/health bracelet</t>
  </si>
  <si>
    <t xml:space="preserve">https://www.iwonlex.net/products/mf91-screenless-health-fitness-bracelet-for-gym-and-sports-monitoring-band/</t>
  </si>
  <si>
    <t xml:space="preserve">Listed on manufacturer site ('offline sale only, not for USA')</t>
  </si>
  <si>
    <t xml:space="preserve">In historical benchmark (only model with a cost); 28 g, lightest device.</t>
  </si>
  <si>
    <t xml:space="preserve">M06</t>
  </si>
  <si>
    <t xml:space="preserve">MF40</t>
  </si>
  <si>
    <t xml:space="preserve">BLE AMOLED watch with air-pump BP and ECG</t>
  </si>
  <si>
    <t xml:space="preserve">Wrist — watch</t>
  </si>
  <si>
    <t xml:space="preserve">https://www.iwonlex.net/top-5-smart-health-watches-for-seniors-aging-in-place/</t>
  </si>
  <si>
    <t xml:space="preserve">Described on manufacturer articles; product page not captured</t>
  </si>
  <si>
    <t xml:space="preserve">In historical benchmark; only BLE device with cuff-type (air-pump) blood pressure.</t>
  </si>
  <si>
    <t xml:space="preserve">M07</t>
  </si>
  <si>
    <t xml:space="preserve">HW20</t>
  </si>
  <si>
    <t xml:space="preserve">4G senior watch with air-pump BP</t>
  </si>
  <si>
    <t xml:space="preserve">https://www.iwonlex.net/products/wonlex-hw20-4g-gps-senior-health-smartwatch-with-air-pump-blood-pressure-monitor/</t>
  </si>
  <si>
    <t xml:space="preserve">In historical benchmark (cost 77); combines 4G safety with cuff-type BP.</t>
  </si>
  <si>
    <t xml:space="preserve">M08</t>
  </si>
  <si>
    <t xml:space="preserve">MF91Pro</t>
  </si>
  <si>
    <t xml:space="preserve">BLE screenless medical-marketed ECG band</t>
  </si>
  <si>
    <t xml:space="preserve">https://www.iwonlex.net/products/mf91pro-medical-grade-screenless-health-band-with-ecg-and-hrv-monitoring/</t>
  </si>
  <si>
    <t xml:space="preserve">Discovered — Wonlex catalogue</t>
  </si>
  <si>
    <t xml:space="preserve">Additional shortlisted alternative</t>
  </si>
  <si>
    <t xml:space="preserve">Discovered</t>
  </si>
  <si>
    <t xml:space="preserve">Same documented platform as VB10 (nRF54L15, TI4950, 265 mAh); included to test whether VB10 has an interchangeable second source.</t>
  </si>
  <si>
    <t xml:space="preserve">M09</t>
  </si>
  <si>
    <t xml:space="preserve">HW20Pro</t>
  </si>
  <si>
    <t xml:space="preserve">4G + BLE watch with air-pump BP</t>
  </si>
  <si>
    <t xml:space="preserve">https://www.iwonlex.net/products/wonlex-4g-ble-medical-air-pump-smartwatch-hw20pro--precision-bp---senior-health-monitoring/</t>
  </si>
  <si>
    <t xml:space="preserve">Listed on manufacturer site; Alibaba listing</t>
  </si>
  <si>
    <t xml:space="preserve">Successor to historical HW20 with documented fall detection and power-saving BLE co-processor.</t>
  </si>
  <si>
    <t xml:space="preserve">M10</t>
  </si>
  <si>
    <t xml:space="preserve">HW19</t>
  </si>
  <si>
    <t xml:space="preserve">4G AMOLED senior health watch</t>
  </si>
  <si>
    <t xml:space="preserve">https://www.iwonlex.net/products/hw19-4g-senior-health-smartwatch-with-sos-and-gps/</t>
  </si>
  <si>
    <t xml:space="preserve">Only model documenting multi-sensor (barometric) fall detection; KSCtracker platform named on the model page.</t>
  </si>
  <si>
    <t xml:space="preserve">M11</t>
  </si>
  <si>
    <t xml:space="preserve">CT20S</t>
  </si>
  <si>
    <t xml:space="preserve">4G senior watch with fall detection</t>
  </si>
  <si>
    <t xml:space="preserve">https://www.iwonlex.net/products/wonlex-ct20s-4g-smart-watch-for-elderly-with-large-screen-and-fall-detection/</t>
  </si>
  <si>
    <t xml:space="preserve">Large-screen 4G watch with automatic fall-triggered SOS and IP67; screen-based alternative to CT34.</t>
  </si>
  <si>
    <t xml:space="preserve">M12</t>
  </si>
  <si>
    <t xml:space="preserve">CT30 (band)</t>
  </si>
  <si>
    <t xml:space="preserve">4G GPS senior band with HR/BP</t>
  </si>
  <si>
    <t xml:space="preserve">https://www.iwonlex.net/products/wonlex-4g-cat1-hr-br-monitoring-gps-kids-watch-s8-with-wifi-sos/</t>
  </si>
  <si>
    <t xml:space="preserve">4G band adding HR/BP and activity to SOS + GPS; candidate middle ground between CT34 and VB10.</t>
  </si>
  <si>
    <t xml:space="preserve">M13</t>
  </si>
  <si>
    <t xml:space="preserve">CT31</t>
  </si>
  <si>
    <t xml:space="preserve">4G screenless two-button senior band</t>
  </si>
  <si>
    <t xml:space="preserve">https://www.iwonlex.net/products/4g-ct31-screenless-senior-band-with-dual-big-button-and-big-battery/</t>
  </si>
  <si>
    <t xml:space="preserve">Listed on manufacturer site; Alibaba MOQ 2</t>
  </si>
  <si>
    <t xml:space="preserve">Screenless, largest battery (950 mAh), dedicated health-check and SOS buttons; positioned for telecare integrators.</t>
  </si>
  <si>
    <t xml:space="preserve">X01</t>
  </si>
  <si>
    <t xml:space="preserve">S10</t>
  </si>
  <si>
    <t xml:space="preserve">4G kids smartwatch</t>
  </si>
  <si>
    <t xml:space="preserve">Wrist</t>
  </si>
  <si>
    <t xml:space="preserve">URL supplied for CT29</t>
  </si>
  <si>
    <t xml:space="preserve">Screened out</t>
  </si>
  <si>
    <t xml:space="preserve">Children's product with touch screen; it is what the supplied CT29 URL shows. Recorded to prevent its specifications being attributed to CT29.</t>
  </si>
  <si>
    <t xml:space="preserve">—</t>
  </si>
  <si>
    <t xml:space="preserve">X02</t>
  </si>
  <si>
    <t xml:space="preserve">CT10T</t>
  </si>
  <si>
    <t xml:space="preserve">4G senior smartwatch</t>
  </si>
  <si>
    <t xml:space="preserve">SOS/HR/BP watch without documented fall detection; functionally dominated by CT20S (same chipset class, adds fall detection).</t>
  </si>
  <si>
    <t xml:space="preserve">X03</t>
  </si>
  <si>
    <t xml:space="preserve">KT17S</t>
  </si>
  <si>
    <t xml:space="preserve">4G SOS senior smartwatch</t>
  </si>
  <si>
    <t xml:space="preserve">Marginal variant of the CT20S/HW19 class; fall detection only in a third-party search summary.</t>
  </si>
  <si>
    <t xml:space="preserve">X04</t>
  </si>
  <si>
    <t xml:space="preserve">KT43</t>
  </si>
  <si>
    <t xml:space="preserve">4G Android senior smartwatch</t>
  </si>
  <si>
    <t xml:space="preserve">Full Android OS raises power draw and interface complexity — contrary to the research priority on ease of use.</t>
  </si>
  <si>
    <t xml:space="preserve">X05</t>
  </si>
  <si>
    <t xml:space="preserve">MF19 / MF30</t>
  </si>
  <si>
    <t xml:space="preserve">BLE AMOLED ECG / BP watches</t>
  </si>
  <si>
    <t xml:space="preserve">Near-duplicates of MF40 (BLE, AMOLED, ECG/air-pump BP); MF40 retained as the representative.</t>
  </si>
  <si>
    <t xml:space="preserve">X06</t>
  </si>
  <si>
    <t xml:space="preserve">CT30 Pro</t>
  </si>
  <si>
    <t xml:space="preserve">Discovered — marketplace</t>
  </si>
  <si>
    <t xml:space="preserve">Watch-format variant of CT30; CT30 band retained.</t>
  </si>
  <si>
    <t xml:space="preserve">X07</t>
  </si>
  <si>
    <t xml:space="preserve">Marsfit Apex ring</t>
  </si>
  <si>
    <t xml:space="preserve">Smart ring</t>
  </si>
  <si>
    <t xml:space="preserve">Ring</t>
  </si>
  <si>
    <t xml:space="preserve">Not wrist-worn (ring) — outside product scope.</t>
  </si>
  <si>
    <t xml:space="preserve">X08</t>
  </si>
  <si>
    <t xml:space="preserve">KT34 / KT10 / CT10 kids watches</t>
  </si>
  <si>
    <t xml:space="preserve">Kids smartwatches</t>
  </si>
  <si>
    <t xml:space="preserve">Children's products.</t>
  </si>
  <si>
    <t xml:space="preserve">H01</t>
  </si>
  <si>
    <t xml:space="preserve">2M Engineering</t>
  </si>
  <si>
    <t xml:space="preserve">Health Patch Platform</t>
  </si>
  <si>
    <t xml:space="preserve">Chest/body patch</t>
  </si>
  <si>
    <t xml:space="preserve">Non-wrist</t>
  </si>
  <si>
    <t xml:space="preserve">Not wrist-worn (adhesive patch).</t>
  </si>
  <si>
    <t xml:space="preserve">H02</t>
  </si>
  <si>
    <t xml:space="preserve">P-CARDIO HP201</t>
  </si>
  <si>
    <t xml:space="preserve">1-lead ECG patch</t>
  </si>
  <si>
    <t xml:space="preserve">Not wrist-worn (patch).</t>
  </si>
  <si>
    <t xml:space="preserve">H03</t>
  </si>
  <si>
    <t xml:space="preserve">T-Sense Smart Shirt</t>
  </si>
  <si>
    <t xml:space="preserve">Smart textile</t>
  </si>
  <si>
    <t xml:space="preserve">Not wrist-worn (garment).</t>
  </si>
  <si>
    <t xml:space="preserve">H04</t>
  </si>
  <si>
    <t xml:space="preserve">Activ8 Platform</t>
  </si>
  <si>
    <t xml:space="preserve">Activity monitor</t>
  </si>
  <si>
    <t xml:space="preserve">Prescribed wear location is trouser pocket / thigh (S36).</t>
  </si>
  <si>
    <t xml:space="preserve">H05</t>
  </si>
  <si>
    <t xml:space="preserve">Flight Sense System</t>
  </si>
  <si>
    <t xml:space="preserve">Unknown form factor</t>
  </si>
  <si>
    <t xml:space="preserve">No product information found; no evidence of a wrist-worn device. Re-check with supplier if wanted.</t>
  </si>
  <si>
    <t xml:space="preserve">I01</t>
  </si>
  <si>
    <t xml:space="preserve">Shelly</t>
  </si>
  <si>
    <t xml:space="preserve">BLU Motion</t>
  </si>
  <si>
    <t xml:space="preserve">Ambient IoT sensor / switch / button</t>
  </si>
  <si>
    <t xml:space="preserve">Non-wrist (home)</t>
  </si>
  <si>
    <t xml:space="preserve">Not wrist-worn — outside this benchmark; retained for the IoT Monitor roadmap.</t>
  </si>
  <si>
    <t xml:space="preserve">I02</t>
  </si>
  <si>
    <t xml:space="preserve">Flood</t>
  </si>
  <si>
    <t xml:space="preserve">I03</t>
  </si>
  <si>
    <t xml:space="preserve">Wave Door/Window</t>
  </si>
  <si>
    <t xml:space="preserve">I04</t>
  </si>
  <si>
    <t xml:space="preserve">Plus Plug S</t>
  </si>
  <si>
    <t xml:space="preserve">I05</t>
  </si>
  <si>
    <t xml:space="preserve">Plus Smoke</t>
  </si>
  <si>
    <t xml:space="preserve">I06</t>
  </si>
  <si>
    <t xml:space="preserve">Gas</t>
  </si>
  <si>
    <t xml:space="preserve">I07</t>
  </si>
  <si>
    <t xml:space="preserve">BLU Button1</t>
  </si>
  <si>
    <t xml:space="preserve">I08</t>
  </si>
  <si>
    <t xml:space="preserve">Plus H&amp;T</t>
  </si>
  <si>
    <t xml:space="preserve">I09</t>
  </si>
  <si>
    <t xml:space="preserve">Aeotec</t>
  </si>
  <si>
    <t xml:space="preserve">MultiSensor 7</t>
  </si>
  <si>
    <t xml:space="preserve">I10</t>
  </si>
  <si>
    <t xml:space="preserve">TriSensor</t>
  </si>
  <si>
    <t xml:space="preserve">I11</t>
  </si>
  <si>
    <t xml:space="preserve">Water Sensor 7 Pro</t>
  </si>
  <si>
    <t xml:space="preserve">I12</t>
  </si>
  <si>
    <t xml:space="preserve">Smart Switch 7</t>
  </si>
  <si>
    <t xml:space="preserve">I13</t>
  </si>
  <si>
    <t xml:space="preserve">Door/Window Sensor 7</t>
  </si>
  <si>
    <t xml:space="preserve">I14</t>
  </si>
  <si>
    <t xml:space="preserve">Smoke Sensor</t>
  </si>
  <si>
    <t xml:space="preserve">I15</t>
  </si>
  <si>
    <t xml:space="preserve">The Button</t>
  </si>
  <si>
    <t xml:space="preserve">I16</t>
  </si>
  <si>
    <t xml:space="preserve">OWON</t>
  </si>
  <si>
    <t xml:space="preserve">PIR323-Z</t>
  </si>
  <si>
    <t xml:space="preserve">I17</t>
  </si>
  <si>
    <t xml:space="preserve">THS317-ET</t>
  </si>
  <si>
    <t xml:space="preserve">I18</t>
  </si>
  <si>
    <t xml:space="preserve">PB236-Z</t>
  </si>
  <si>
    <t xml:space="preserve">I19</t>
  </si>
  <si>
    <t xml:space="preserve">DS302-ZB</t>
  </si>
  <si>
    <t xml:space="preserve">I20</t>
  </si>
  <si>
    <t xml:space="preserve">HS3SA-Z</t>
  </si>
  <si>
    <t xml:space="preserve">I21</t>
  </si>
  <si>
    <t xml:space="preserve">CG310-Z</t>
  </si>
  <si>
    <t xml:space="preserve">I22</t>
  </si>
  <si>
    <t xml:space="preserve">WPS311-Z</t>
  </si>
  <si>
    <t xml:space="preserve">DETAILED FEATURE COMPARISON — HARDWARE CAPABILITY</t>
  </si>
  <si>
    <t xml:space="preserve">Rows = shortlisted wrist wearables. Status = what the HARDWARE offers per captured evidence (Revii's data access is separate: 04). Hover any status cell for grade, source and note.</t>
  </si>
  <si>
    <t xml:space="preserve">Legend:</t>
  </si>
  <si>
    <t xml:space="preserve">Yes</t>
  </si>
  <si>
    <t xml:space="preserve">Conditional</t>
  </si>
  <si>
    <t xml:space="preserve">Unknown</t>
  </si>
  <si>
    <t xml:space="preserve">No</t>
  </si>
  <si>
    <t xml:space="preserve">N/A</t>
  </si>
  <si>
    <t xml:space="preserve">Unknown ≠ No: Unknown means no captured evidence either way. Blue status cells are editable — update them as suppliers answer and every score recalculates.</t>
  </si>
  <si>
    <t xml:space="preserve">Physiological</t>
  </si>
  <si>
    <t xml:space="preserve">Safety</t>
  </si>
  <si>
    <t xml:space="preserve">Connectivity</t>
  </si>
  <si>
    <t xml:space="preserve">Usability</t>
  </si>
  <si>
    <t xml:space="preserve">Wellbeing</t>
  </si>
  <si>
    <t xml:space="preserve">Risk flag</t>
  </si>
  <si>
    <t xml:space="preserve">Privacy</t>
  </si>
  <si>
    <t xml:space="preserve">Specifications (numbers are numeric; blank = not captured)</t>
  </si>
  <si>
    <t xml:space="preserve">Form</t>
  </si>
  <si>
    <t xml:space="preserve">Link</t>
  </si>
  <si>
    <t xml:space="preserve">F01 Heart rate</t>
  </si>
  <si>
    <t xml:space="preserve">F02 Heart-rate variability (HRV)</t>
  </si>
  <si>
    <t xml:space="preserve">F03 ECG</t>
  </si>
  <si>
    <t xml:space="preserve">F04 SpO2</t>
  </si>
  <si>
    <t xml:space="preserve">F05 Blood pressure</t>
  </si>
  <si>
    <t xml:space="preserve">F06 Body / skin temperature</t>
  </si>
  <si>
    <t xml:space="preserve">F07 Sleep monitoring</t>
  </si>
  <si>
    <t xml:space="preserve">F08 Steps &amp; activity</t>
  </si>
  <si>
    <t xml:space="preserve">F09 Stress indicator</t>
  </si>
  <si>
    <t xml:space="preserve">F10 Automatic fall detection</t>
  </si>
  <si>
    <t xml:space="preserve">F11 SOS button</t>
  </si>
  <si>
    <t xml:space="preserve">F12 Two-way voice calling</t>
  </si>
  <si>
    <t xml:space="preserve">F13 GNSS positioning</t>
  </si>
  <si>
    <t xml:space="preserve">F14 Geofencing</t>
  </si>
  <si>
    <t xml:space="preserve">F15 Standalone 4G/LTE</t>
  </si>
  <si>
    <t xml:space="preserve">F16 Works without a smartphone</t>
  </si>
  <si>
    <t xml:space="preserve">F17 Screenless / minimal interface</t>
  </si>
  <si>
    <t xml:space="preserve">F18 Medication reminder</t>
  </si>
  <si>
    <t xml:space="preserve">F19 Non-invasive glucose / lipid estimation</t>
  </si>
  <si>
    <t xml:space="preserve">F20 No camera</t>
  </si>
  <si>
    <t xml:space="preserve">F21 Offline on-device data storage</t>
  </si>
  <si>
    <t xml:space="preserve">F22 Water resistance IP67 or better</t>
  </si>
  <si>
    <t xml:space="preserve">Chipset / sensor platform</t>
  </si>
  <si>
    <t xml:space="preserve">LTE bands</t>
  </si>
  <si>
    <t xml:space="preserve">Battery (mAh)</t>
  </si>
  <si>
    <t xml:space="preserve">Battery life — typical use, lower bound (days)</t>
  </si>
  <si>
    <t xml:space="preserve">Battery evidence</t>
  </si>
  <si>
    <t xml:space="preserve">Battery note</t>
  </si>
  <si>
    <t xml:space="preserve">Weight (g)</t>
  </si>
  <si>
    <t xml:space="preserve">Dimensions</t>
  </si>
  <si>
    <t xml:space="preserve">Display</t>
  </si>
  <si>
    <t xml:space="preserve">Water rating</t>
  </si>
  <si>
    <t xml:space="preserve">Charging</t>
  </si>
  <si>
    <t xml:space="preserve">SIM</t>
  </si>
  <si>
    <t xml:space="preserve">App / platform</t>
  </si>
  <si>
    <t xml:space="preserve">Sampling mode</t>
  </si>
  <si>
    <t xml:space="preserve">Band</t>
  </si>
  <si>
    <t xml:space="preserve">BLE</t>
  </si>
  <si>
    <t xml:space="preserve">Nordic nRF54L15 + TI4950 AFE</t>
  </si>
  <si>
    <t xml:space="preserve">BLE 6.0</t>
  </si>
  <si>
    <t xml:space="preserve">X</t>
  </si>
  <si>
    <t xml:space="preserve">Spec table 'active up to 10 d'; intro says '10 d standby'</t>
  </si>
  <si>
    <t xml:space="preserve">Not captured</t>
  </si>
  <si>
    <t xml:space="preserve">Screenless</t>
  </si>
  <si>
    <t xml:space="preserve">IP68</t>
  </si>
  <si>
    <t xml:space="preserve">Magnetic pin dock</t>
  </si>
  <si>
    <t xml:space="preserve">Gband Companion App; SDK pointer github.com/HBandSDK</t>
  </si>
  <si>
    <t xml:space="preserve">Real-time optical; ECG 500 Hz / PPG 50 Hz</t>
  </si>
  <si>
    <t xml:space="preserve">4G</t>
  </si>
  <si>
    <t xml:space="preserve">4G (per name)</t>
  </si>
  <si>
    <t xml:space="preserve">ASR3603S (RTOS)</t>
  </si>
  <si>
    <t xml:space="preserve">4G Cat1 + GSM</t>
  </si>
  <si>
    <t xml:space="preserve">B1/B2/B3/B5/B7/B8/B20</t>
  </si>
  <si>
    <t xml:space="preserve">B</t>
  </si>
  <si>
    <t xml:space="preserve">3-5 days continuous use claimed</t>
  </si>
  <si>
    <t xml:space="preserve">IP67</t>
  </si>
  <si>
    <t xml:space="preserve">TCP protocol to care platform</t>
  </si>
  <si>
    <t xml:space="preserve">Not documented</t>
  </si>
  <si>
    <t xml:space="preserve">PPG GH3228T</t>
  </si>
  <si>
    <t xml:space="preserve">BLE 5.3</t>
  </si>
  <si>
    <t xml:space="preserve">7-15 days typical; 30+ days standby</t>
  </si>
  <si>
    <t xml:space="preserve">42.3 x 27.4 x 8.0 mm</t>
  </si>
  <si>
    <t xml:space="preserve">Magnetic</t>
  </si>
  <si>
    <t xml:space="preserve">Companion app; remote family view</t>
  </si>
  <si>
    <t xml:space="preserve">24 h HR; ECG 500 Hz</t>
  </si>
  <si>
    <t xml:space="preserve">JL7013A</t>
  </si>
  <si>
    <t xml:space="preserve">BLE 5.3 + NFC</t>
  </si>
  <si>
    <t xml:space="preserve">39 x 29 x 10 mm</t>
  </si>
  <si>
    <t xml:space="preserve">Companion app</t>
  </si>
  <si>
    <t xml:space="preserve">24 h HR</t>
  </si>
  <si>
    <t xml:space="preserve">Watch</t>
  </si>
  <si>
    <t xml:space="preserve">TI4950 ECG; Murata air pump</t>
  </si>
  <si>
    <t xml:space="preserve">Not found (MF30 sibling: 300 mAh — not transferred)</t>
  </si>
  <si>
    <t xml:space="preserve">AMOLED touchscreen (size conflicting)</t>
  </si>
  <si>
    <t xml:space="preserve">IP66</t>
  </si>
  <si>
    <t xml:space="preserve">24/7 HR &amp; SpO2</t>
  </si>
  <si>
    <t xml:space="preserve">4G LTE + BT 5.0</t>
  </si>
  <si>
    <t xml:space="preserve">B1/B3/B7/B8/B20/B28A</t>
  </si>
  <si>
    <t xml:space="preserve">Not stated on manufacturer page</t>
  </si>
  <si>
    <t xml:space="preserve">1.78" 368x448 touchscreen</t>
  </si>
  <si>
    <t xml:space="preserve">Continuous HR &amp; SpO2</t>
  </si>
  <si>
    <t xml:space="preserve">Only '10 days standby' stated</t>
  </si>
  <si>
    <t xml:space="preserve">ECG 500 Hz</t>
  </si>
  <si>
    <t xml:space="preserve">Not captured; BLE co-processor</t>
  </si>
  <si>
    <t xml:space="preserve">4G + BLE</t>
  </si>
  <si>
    <t xml:space="preserve">Per HW20 family (unconfirmed)</t>
  </si>
  <si>
    <t xml:space="preserve">C</t>
  </si>
  <si>
    <t xml:space="preserve">Up to 4 days (marketplace)</t>
  </si>
  <si>
    <t xml:space="preserve">1.96" AMOLED (marketplace)</t>
  </si>
  <si>
    <t xml:space="preserve">IP67 (marketplace)</t>
  </si>
  <si>
    <t xml:space="preserve">4G LTE + BT 5.3</t>
  </si>
  <si>
    <t xml:space="preserve">Runtime not stated</t>
  </si>
  <si>
    <t xml:space="preserve">1.96" AMOLED</t>
  </si>
  <si>
    <t xml:space="preserve">Nano SIM</t>
  </si>
  <si>
    <t xml:space="preserve">KSCtracker platform</t>
  </si>
  <si>
    <t xml:space="preserve">Product page 680 mAh; blog 650 mAh / 4 days standby</t>
  </si>
  <si>
    <t xml:space="preserve">1.85" IPS 240x280</t>
  </si>
  <si>
    <t xml:space="preserve">Alerts outside preset ranges</t>
  </si>
  <si>
    <t xml:space="preserve">ASR3603S</t>
  </si>
  <si>
    <t xml:space="preserve">4G Cat1</t>
  </si>
  <si>
    <t xml:space="preserve">Magnetic USB</t>
  </si>
  <si>
    <t xml:space="preserve">ASR3603C (RTOS)</t>
  </si>
  <si>
    <t xml:space="preserve">4G FDD-LTE</t>
  </si>
  <si>
    <t xml:space="preserve">'Multi-day' only</t>
  </si>
  <si>
    <t xml:space="preserve">40.5 x 50 x 14.6 mm</t>
  </si>
  <si>
    <t xml:space="preserve">Screenless, 2 large buttons</t>
  </si>
  <si>
    <t xml:space="preserve">Micro SIM</t>
  </si>
  <si>
    <t xml:space="preserve">Positioned for telecare integrators</t>
  </si>
  <si>
    <t xml:space="preserve">One-touch (on-demand) health check</t>
  </si>
  <si>
    <t xml:space="preserve">Evidence grade per hardware status cell (A verified · B strong · C indicative · D unverified · X contradicted · blank = no claim). Feeds the evidence-quality confidence indicator.</t>
  </si>
  <si>
    <t xml:space="preserve">F01</t>
  </si>
  <si>
    <t xml:space="preserve">F02</t>
  </si>
  <si>
    <t xml:space="preserve">F03</t>
  </si>
  <si>
    <t xml:space="preserve">F04</t>
  </si>
  <si>
    <t xml:space="preserve">F05</t>
  </si>
  <si>
    <t xml:space="preserve">F06</t>
  </si>
  <si>
    <t xml:space="preserve">F07</t>
  </si>
  <si>
    <t xml:space="preserve">F08</t>
  </si>
  <si>
    <t xml:space="preserve">F09</t>
  </si>
  <si>
    <t xml:space="preserve">F10</t>
  </si>
  <si>
    <t xml:space="preserve">F11</t>
  </si>
  <si>
    <t xml:space="preserve">F12</t>
  </si>
  <si>
    <t xml:space="preserve">F13</t>
  </si>
  <si>
    <t xml:space="preserve">F14</t>
  </si>
  <si>
    <t xml:space="preserve">F15</t>
  </si>
  <si>
    <t xml:space="preserve">F16</t>
  </si>
  <si>
    <t xml:space="preserve">F17</t>
  </si>
  <si>
    <t xml:space="preserve">F18</t>
  </si>
  <si>
    <t xml:space="preserve">F19</t>
  </si>
  <si>
    <t xml:space="preserve">F20</t>
  </si>
  <si>
    <t xml:space="preserve">F21</t>
  </si>
  <si>
    <t xml:space="preserve">F22</t>
  </si>
  <si>
    <t xml:space="preserve">Technical-depth criteria (Functional dimension B) — HOW WELL capabilities are implemented, distinct from market fit (WHETHER they exist). Weights live on 10.</t>
  </si>
  <si>
    <t xml:space="preserve">T1 Automatic / continuous physiological sampling</t>
  </si>
  <si>
    <t xml:space="preserve">T2 ECG waveform at &gt;=250 Hz documented</t>
  </si>
  <si>
    <t xml:space="preserve">T3 Fall-detection method (Y = multi-sensor documented; C = method unspecified)</t>
  </si>
  <si>
    <t xml:space="preserve">T4 Multi-mode positioning (GNSS + Wi-Fi/LBS)</t>
  </si>
  <si>
    <t xml:space="preserve">T5 Offline storage / store-and-forward</t>
  </si>
  <si>
    <t xml:space="preserve">T6 Blood-pressure method (Y = oscillometric cuff; C = estimate)</t>
  </si>
  <si>
    <t xml:space="preserve">T7 LTE bands cover PT/ES operators (B3, B7, B20)</t>
  </si>
  <si>
    <t xml:space="preserve">Grade T1</t>
  </si>
  <si>
    <t xml:space="preserve">T2</t>
  </si>
  <si>
    <t xml:space="preserve">T3</t>
  </si>
  <si>
    <t xml:space="preserve">T4</t>
  </si>
  <si>
    <t xml:space="preserve">T5</t>
  </si>
  <si>
    <t xml:space="preserve">T6</t>
  </si>
  <si>
    <t xml:space="preserve">T7</t>
  </si>
  <si>
    <t xml:space="preserve">Weight →</t>
  </si>
  <si>
    <t xml:space="preserve">Feature evidence register (long format, filterable). Status and grade are live links to the grids above; source and note are the research record.</t>
  </si>
  <si>
    <t xml:space="preserve">Model ID</t>
  </si>
  <si>
    <t xml:space="preserve">Feature code</t>
  </si>
  <si>
    <t xml:space="preserve">Feature</t>
  </si>
  <si>
    <t xml:space="preserve">Hardware status</t>
  </si>
  <si>
    <t xml:space="preserve">Evidence grade</t>
  </si>
  <si>
    <t xml:space="preserve">Source ID(s)</t>
  </si>
  <si>
    <t xml:space="preserve">Note</t>
  </si>
  <si>
    <t xml:space="preserve">Heart rate</t>
  </si>
  <si>
    <t xml:space="preserve">S01</t>
  </si>
  <si>
    <t xml:space="preserve">4-channel optical PPG (50 Hz)</t>
  </si>
  <si>
    <t xml:space="preserve">Heart-rate variability (HRV)</t>
  </si>
  <si>
    <t xml:space="preserve">HRV for fatigue/recovery/stress</t>
  </si>
  <si>
    <t xml:space="preserve">ECG</t>
  </si>
  <si>
    <t xml:space="preserve">ECG 500 Hz, TI4950 AFE</t>
  </si>
  <si>
    <t xml:space="preserve">SpO2</t>
  </si>
  <si>
    <t xml:space="preserve">Via 4-channel optical</t>
  </si>
  <si>
    <t xml:space="preserve">Blood pressure</t>
  </si>
  <si>
    <t xml:space="preserve">Not documented in captured sources</t>
  </si>
  <si>
    <t xml:space="preserve">Body / skin temperature</t>
  </si>
  <si>
    <t xml:space="preserve">Skin temperature</t>
  </si>
  <si>
    <t xml:space="preserve">Sleep monitoring</t>
  </si>
  <si>
    <t xml:space="preserve">Deep / light / REM</t>
  </si>
  <si>
    <t xml:space="preserve">Steps &amp; activity</t>
  </si>
  <si>
    <t xml:space="preserve">6-axis motion: steps, calories, distance; 120+ sports modes</t>
  </si>
  <si>
    <t xml:space="preserve">Stress indicator</t>
  </si>
  <si>
    <t xml:space="preserve">Optical + HRV</t>
  </si>
  <si>
    <t xml:space="preserve">Automatic fall detection</t>
  </si>
  <si>
    <t xml:space="preserve">SOS button</t>
  </si>
  <si>
    <t xml:space="preserve">Two-way voice calling</t>
  </si>
  <si>
    <t xml:space="preserve">GNSS positioning</t>
  </si>
  <si>
    <t xml:space="preserve">No GNSS receiver in documented spec (BLE-only) — inferred</t>
  </si>
  <si>
    <t xml:space="preserve">Geofencing</t>
  </si>
  <si>
    <t xml:space="preserve">No on-device positioning — inferred</t>
  </si>
  <si>
    <t xml:space="preserve">Standalone 4G/LTE</t>
  </si>
  <si>
    <t xml:space="preserve">BLE 6.0 only</t>
  </si>
  <si>
    <t xml:space="preserve">Works without a smartphone</t>
  </si>
  <si>
    <t xml:space="preserve">Needs companion app (Android 8+/iOS 13+)</t>
  </si>
  <si>
    <t xml:space="preserve">Screenless / minimal interface</t>
  </si>
  <si>
    <t xml:space="preserve">Medication reminder</t>
  </si>
  <si>
    <t xml:space="preserve">Non-invasive glucose / lipid estimation</t>
  </si>
  <si>
    <t xml:space="preserve">Glucose / lipid / uric-acid estimation claimed</t>
  </si>
  <si>
    <t xml:space="preserve">No camera</t>
  </si>
  <si>
    <t xml:space="preserve">No camera in documented spec</t>
  </si>
  <si>
    <t xml:space="preserve">Offline on-device data storage</t>
  </si>
  <si>
    <t xml:space="preserve">Water resistance IP67 or better</t>
  </si>
  <si>
    <t xml:space="preserve">S04</t>
  </si>
  <si>
    <t xml:space="preserve">Stated in product name only</t>
  </si>
  <si>
    <t xml:space="preserve">Implied by 4G; unverified</t>
  </si>
  <si>
    <t xml:space="preserve">S03</t>
  </si>
  <si>
    <t xml:space="preserve">Automatic fall detection with alert/call</t>
  </si>
  <si>
    <t xml:space="preserve">Long-press main button</t>
  </si>
  <si>
    <t xml:space="preserve">SOS places a call; mic/speaker not documented</t>
  </si>
  <si>
    <t xml:space="preserve">GPS + LBS + Wi-Fi, 5-15 m outdoor</t>
  </si>
  <si>
    <t xml:space="preserve">Standalone 4G</t>
  </si>
  <si>
    <t xml:space="preserve">S14</t>
  </si>
  <si>
    <t xml:space="preserve">24 h HR, PPG GH3228T</t>
  </si>
  <si>
    <t xml:space="preserve">ECG 500 Hz waveform + AI interpretation</t>
  </si>
  <si>
    <t xml:space="preserve">S39</t>
  </si>
  <si>
    <t xml:space="preserve">BP estimation (optical)</t>
  </si>
  <si>
    <t xml:space="preserve">24 h sleep</t>
  </si>
  <si>
    <t xml:space="preserve">'Sports mode' in description</t>
  </si>
  <si>
    <t xml:space="preserve">BLE-only — inferred</t>
  </si>
  <si>
    <t xml:space="preserve">Inferred</t>
  </si>
  <si>
    <t xml:space="preserve">Glucose trend + blood component estimation</t>
  </si>
  <si>
    <t xml:space="preserve">S15</t>
  </si>
  <si>
    <t xml:space="preserve">S15;S39</t>
  </si>
  <si>
    <t xml:space="preserve">CONFLICT: 2025 capture lists ECG; current spec page does not</t>
  </si>
  <si>
    <t xml:space="preserve">120+ sports modes</t>
  </si>
  <si>
    <t xml:space="preserve">4PD multi-channel, 24/7</t>
  </si>
  <si>
    <t xml:space="preserve">TI4950 ECG</t>
  </si>
  <si>
    <t xml:space="preserve">Murata piezo air pump (oscillometric)</t>
  </si>
  <si>
    <t xml:space="preserve">Shown on watch UI in capture</t>
  </si>
  <si>
    <t xml:space="preserve">Steps shown on watch UI</t>
  </si>
  <si>
    <t xml:space="preserve">One-click micro exam: emotion/fatigue/stress</t>
  </si>
  <si>
    <t xml:space="preserve">S17</t>
  </si>
  <si>
    <t xml:space="preserve">BT-only — inferred</t>
  </si>
  <si>
    <t xml:space="preserve">Bluetooth 5.3</t>
  </si>
  <si>
    <t xml:space="preserve">AMOLED touchscreen</t>
  </si>
  <si>
    <t xml:space="preserve">IP66 (below IP67)</t>
  </si>
  <si>
    <t xml:space="preserve">S12</t>
  </si>
  <si>
    <t xml:space="preserve">Continuous HR</t>
  </si>
  <si>
    <t xml:space="preserve">Continuous SpO2</t>
  </si>
  <si>
    <t xml:space="preserve">Oscillometric air pump</t>
  </si>
  <si>
    <t xml:space="preserve">Only in promotional blog post</t>
  </si>
  <si>
    <t xml:space="preserve">Mic + speaker</t>
  </si>
  <si>
    <t xml:space="preserve">GPS + BeiDou + Wi-Fi</t>
  </si>
  <si>
    <t xml:space="preserve">LTE B1/B3/B7/B8/B20/B28A</t>
  </si>
  <si>
    <t xml:space="preserve">1.78" touchscreen</t>
  </si>
  <si>
    <t xml:space="preserve">Indicative blood glucose</t>
  </si>
  <si>
    <t xml:space="preserve">S16</t>
  </si>
  <si>
    <t xml:space="preserve">Inferred from ECG/HRV capability</t>
  </si>
  <si>
    <t xml:space="preserve">ECG 500 Hz, TI4950</t>
  </si>
  <si>
    <t xml:space="preserve">Glucose / lipid / uric-acid trends claimed</t>
  </si>
  <si>
    <t xml:space="preserve">S13</t>
  </si>
  <si>
    <t xml:space="preserve">Air-pump airbag in strap</t>
  </si>
  <si>
    <t xml:space="preserve">Built-in sensors detect sudden falls</t>
  </si>
  <si>
    <t xml:space="preserve">Hold-to-call SOS</t>
  </si>
  <si>
    <t xml:space="preserve">Hold-to-call</t>
  </si>
  <si>
    <t xml:space="preserve">Per HW20 family page</t>
  </si>
  <si>
    <t xml:space="preserve">S30</t>
  </si>
  <si>
    <t xml:space="preserve">Blood-glucose estimates (vendor claim)</t>
  </si>
  <si>
    <t xml:space="preserve">S11</t>
  </si>
  <si>
    <t xml:space="preserve">Estimated; 'wellness reference only'</t>
  </si>
  <si>
    <t xml:space="preserve">Motion + barometric + height-change logic</t>
  </si>
  <si>
    <t xml:space="preserve">Standalone 4G calling, mic + speaker</t>
  </si>
  <si>
    <t xml:space="preserve">GPS/BDS/GLONASS + Wi-Fi + LBS</t>
  </si>
  <si>
    <t xml:space="preserve">Glucose trend (stated non-clinical)</t>
  </si>
  <si>
    <t xml:space="preserve">S09</t>
  </si>
  <si>
    <t xml:space="preserve">Body temperature alerts</t>
  </si>
  <si>
    <t xml:space="preserve">Wonlex blog</t>
  </si>
  <si>
    <t xml:space="preserve">Hard fall triggers automatic SOS with location</t>
  </si>
  <si>
    <t xml:space="preserve">Dedicated SOS button (blog)</t>
  </si>
  <si>
    <t xml:space="preserve">GPS</t>
  </si>
  <si>
    <t xml:space="preserve">Geo-fence zones (blog)</t>
  </si>
  <si>
    <t xml:space="preserve">1.85" IPS</t>
  </si>
  <si>
    <t xml:space="preserve">S08</t>
  </si>
  <si>
    <t xml:space="preserve">'BP test' — method not stated</t>
  </si>
  <si>
    <t xml:space="preserve">Steps, distance, calories, sports modes</t>
  </si>
  <si>
    <t xml:space="preserve">SOS emergency calling</t>
  </si>
  <si>
    <t xml:space="preserve">GPS + Wi-Fi + LBS</t>
  </si>
  <si>
    <t xml:space="preserve">S06</t>
  </si>
  <si>
    <t xml:space="preserve">One-touch check</t>
  </si>
  <si>
    <t xml:space="preserve">One-touch BP; method not stated</t>
  </si>
  <si>
    <t xml:space="preserve">Alibaba title claims it; manufacturer page silent</t>
  </si>
  <si>
    <t xml:space="preserve">Red SOS button</t>
  </si>
  <si>
    <t xml:space="preserve">Immediate distress calls</t>
  </si>
  <si>
    <t xml:space="preserve">GPS + Wi-Fi + AGPS + LBS</t>
  </si>
  <si>
    <t xml:space="preserve">S07</t>
  </si>
  <si>
    <t xml:space="preserve">Screenless, two large buttons</t>
  </si>
  <si>
    <t xml:space="preserve">API &amp; INTEGRATION — CAN REVII ACTUALLY GET THE DATA?</t>
  </si>
  <si>
    <t xml:space="preserve">Hardware capability is not integration capability. Only 'Verified feasible' can pass the integration gate; nothing is verified until a supplier confirms in writing.</t>
  </si>
  <si>
    <t xml:space="preserve">1. Integration overview (Integration status is an editable input — it drives mandatory gate G1)</t>
  </si>
  <si>
    <t xml:space="preserve">API / SDK type</t>
  </si>
  <si>
    <t xml:space="preserve">Documentation</t>
  </si>
  <si>
    <t xml:space="preserve">Synchronisation</t>
  </si>
  <si>
    <t xml:space="preserve">Smartphone dependence</t>
  </si>
  <si>
    <t xml:space="preserve">Backend requirements</t>
  </si>
  <si>
    <t xml:space="preserve">API restrictions</t>
  </si>
  <si>
    <t xml:space="preserve">Licensing</t>
  </si>
  <si>
    <t xml:space="preserve">Required verification actions</t>
  </si>
  <si>
    <t xml:space="preserve">Phone-side BLE SDK (Veepoo HBandSDK, Android AAR + iOS framework)</t>
  </si>
  <si>
    <t xml:space="preserve">Public GitHub repo; VB10 support list not published</t>
  </si>
  <si>
    <t xml:space="preserve">Phone-mediated; real-time when in range; periodic history pull (to confirm)</t>
  </si>
  <si>
    <t xml:space="preserve">High — needs senior's phone (63-64% of seniors use one) or a home BLE gateway</t>
  </si>
  <si>
    <t xml:space="preserve">Revii app running in background on Android/iOS; or gateway</t>
  </si>
  <si>
    <t xml:space="preserve">SDK for authorised cooperative customers; device list unknown</t>
  </si>
  <si>
    <t xml:space="preserve">Unknown — SDK licence required</t>
  </si>
  <si>
    <t xml:space="preserve">Obtain written confirmation VB10 is HBandSDK-supported; licence &amp; fees; iOS SDK; field list incl. raw ECG/HRV; background-sync limits</t>
  </si>
  <si>
    <t xml:space="preserve">Unknown — presumably Wonlex 4G TCP protocol</t>
  </si>
  <si>
    <t xml:space="preserve">None found</t>
  </si>
  <si>
    <t xml:space="preserve">None if 4G as named</t>
  </si>
  <si>
    <t xml:space="preserve">Not verified</t>
  </si>
  <si>
    <t xml:space="preserve">Obtain CT29 datasheet and protocol document; confirm it is not the S10 kids watch</t>
  </si>
  <si>
    <t xml:space="preserve">Device-to-server TCP protocol (Wonlex 4G family); server address configurable; optional KSCtracker cloud</t>
  </si>
  <si>
    <t xml:space="preserve">Protocol on request; third-party decoders (flespi) for the protocol family</t>
  </si>
  <si>
    <t xml:space="preserve">Event push over 4G (TCP); positioning on schedule</t>
  </si>
  <si>
    <t xml:space="preserve">None — standalone 4G</t>
  </si>
  <si>
    <t xml:space="preserve">TCP listener/decoder on Revii backend (or flespi), SIM provisioning</t>
  </si>
  <si>
    <t xml:space="preserve">Some Wonlex firmware encrypted; one report of paid decryption key</t>
  </si>
  <si>
    <t xml:space="preserve">Request CT34 protocol spec (event codes for fall, SOS, battery, wear), encryption status, server re-pointing method, licence fees</t>
  </si>
  <si>
    <t xml:space="preserve">BLE SDK on request (H Band line)</t>
  </si>
  <si>
    <t xml:space="preserve">Not model-specific</t>
  </si>
  <si>
    <t xml:space="preserve">Phone-mediated</t>
  </si>
  <si>
    <t xml:space="preserve">High</t>
  </si>
  <si>
    <t xml:space="preserve">Revii app / gateway</t>
  </si>
  <si>
    <t xml:space="preserve">Confirm MF90 SDK support and field list</t>
  </si>
  <si>
    <t xml:space="preserve">'Offline sale only — not for USA'</t>
  </si>
  <si>
    <t xml:space="preserve">Confirm MF91 SDK support; resolve ECG conflict</t>
  </si>
  <si>
    <t xml:space="preserve">Confirm MF40 SDK support incl. air-pump BP readings</t>
  </si>
  <si>
    <t xml:space="preserve">Wonlex 4G TCP protocol (company-level)</t>
  </si>
  <si>
    <t xml:space="preserve">Company-level only</t>
  </si>
  <si>
    <t xml:space="preserve">Event push over 4G</t>
  </si>
  <si>
    <t xml:space="preserve">None</t>
  </si>
  <si>
    <t xml:space="preserve">TCP decoder</t>
  </si>
  <si>
    <t xml:space="preserve">Confirm HW20 protocol, BP data fields</t>
  </si>
  <si>
    <t xml:space="preserve">BLE SDK (platform identical to VB10; no SDK pointer captured)</t>
  </si>
  <si>
    <t xml:space="preserve">Confirm MF91Pro vs VB10 relationship and SDK support</t>
  </si>
  <si>
    <t xml:space="preserve">Confirm HW20Pro protocol, fall/BP events</t>
  </si>
  <si>
    <t xml:space="preserve">KSCtracker platform (hosted on AWS) or device TCP to own server</t>
  </si>
  <si>
    <t xml:space="preserve">Platform API not public; protocol on request</t>
  </si>
  <si>
    <t xml:space="preserve">Platform push / device TCP</t>
  </si>
  <si>
    <t xml:space="preserve">Own TCP server or KSCtracker API</t>
  </si>
  <si>
    <t xml:space="preserve">Encryption risk; terms unknown</t>
  </si>
  <si>
    <t xml:space="preserve">Unknown — platform fee unknown</t>
  </si>
  <si>
    <t xml:space="preserve">Request KSCtracker API reference, own-server option, AWS region, DPA, per-device fee</t>
  </si>
  <si>
    <t xml:space="preserve">Confirm CT20S protocol and fall event</t>
  </si>
  <si>
    <t xml:space="preserve">Confirm CT30 protocol and HR/BP fields</t>
  </si>
  <si>
    <t xml:space="preserve">Not documented — page positions CT31 for telecare &amp; healthcare integrators</t>
  </si>
  <si>
    <t xml:space="preserve">Not found</t>
  </si>
  <si>
    <t xml:space="preserve">Strong lead: request CT31 integration interface, health-check data fields, fall-detection status</t>
  </si>
  <si>
    <t xml:space="preserve">2. Integration criteria (dimension C). Status per model — hover for grade and source. Weights are set on 10.</t>
  </si>
  <si>
    <t xml:space="preserve">Conn.</t>
  </si>
  <si>
    <t xml:space="preserve">I1 Model-specific integration mechanism documented</t>
  </si>
  <si>
    <t xml:space="preserve">I2 Interface documentation obtainable (public or on request)</t>
  </si>
  <si>
    <t xml:space="preserve">I3 Safety events (fall / SOS) exposed via integration</t>
  </si>
  <si>
    <t xml:space="preserve">I4 Physiological data exposed via integration</t>
  </si>
  <si>
    <t xml:space="preserve">I5 Raw data available (not only processed values)</t>
  </si>
  <si>
    <t xml:space="preserve">I6 Data path independent of the senior's smartphone</t>
  </si>
  <si>
    <t xml:space="preserve">I7 Commercial / licensing terms for Revii's use clear</t>
  </si>
  <si>
    <t xml:space="preserve">I8 Revii can host the data (no mandatory vendor cloud)</t>
  </si>
  <si>
    <t xml:space="preserve">I9 Near-real-time event delivery</t>
  </si>
  <si>
    <t xml:space="preserve">Integration score (0-100)</t>
  </si>
  <si>
    <t xml:space="preserve">3. Revii-accessible data — can Revii obtain each measurement/event through a documented, authorised interface? (N/A = hardware does not offer it)</t>
  </si>
  <si>
    <t xml:space="preserve">Fall event</t>
  </si>
  <si>
    <t xml:space="preserve">SOS event</t>
  </si>
  <si>
    <t xml:space="preserve">Location</t>
  </si>
  <si>
    <t xml:space="preserve">HRV</t>
  </si>
  <si>
    <t xml:space="preserve">ECG raw waveform</t>
  </si>
  <si>
    <t xml:space="preserve">Sleep</t>
  </si>
  <si>
    <t xml:space="preserve">Steps / activity</t>
  </si>
  <si>
    <t xml:space="preserve">Temperature</t>
  </si>
  <si>
    <t xml:space="preserve">Device status (battery / wear / online)</t>
  </si>
  <si>
    <t xml:space="preserve">Accessible (Yes or Conditional)</t>
  </si>
  <si>
    <t xml:space="preserve">4. How data reaches Revii — mechanism notes</t>
  </si>
  <si>
    <t xml:space="preserve">Wonlex 4G family (CT29, CT34, CT31, CT30, CT20S, HW19, HW20, HW20Pro)</t>
  </si>
  <si>
    <t xml:space="preserve">Device opens a TCP connection over 4G to a configurable server and pushes positions, heartbeats and alarms. Wonlex offers the protocol to developers on request (S26) and its KSCtracker page allows integration with your own servers (S18). Third-party decoders exist for the protocol family (S23, S25). Risks: model-specific firmware behaviour, encryption on some devices and a reported paid decryption key (S24).</t>
  </si>
  <si>
    <t xml:space="preserve">Wonlex BLE line (VB10, MF91Pro, MF90, MF91, MF40)</t>
  </si>
  <si>
    <t xml:space="preserve">Data travels band → phone over BLE. The VB10 page links the HBandSDK (S01), which is Veepoo's SDK for authorised cooperative customers (S21, S22). Revii's app (or a home gateway) must stay paired and sync in the background. About 36% of seniors do not use a smartphone (S40), so a gateway is costed on 08.</t>
  </si>
  <si>
    <t xml:space="preserve">Why no model is 'Verified feasible'</t>
  </si>
  <si>
    <t xml:space="preserve">No supplier has confirmed in writing, for a specific model, the data fields, licence terms and encryption. A generic manufacturer API statement is not proof that a given model exposes a given metric.</t>
  </si>
  <si>
    <t xml:space="preserve">MARKET RESEARCH CONSOLIDATION</t>
  </si>
  <si>
    <t xml:space="preserve">All market-research inputs analysed together. Blue cells (need mapping, interview coding) are editable and flow into 06 Needs-Feature Map.</t>
  </si>
  <si>
    <t xml:space="preserve">1. Research files analysed</t>
  </si>
  <si>
    <t xml:space="preserve">File</t>
  </si>
  <si>
    <t xml:space="preserve">Research type</t>
  </si>
  <si>
    <t xml:space="preserve">Respondent population</t>
  </si>
  <si>
    <t xml:space="preserve">Sample / participants</t>
  </si>
  <si>
    <t xml:space="preserve">Questions / themes</t>
  </si>
  <si>
    <t xml:space="preserve">Key findings</t>
  </si>
  <si>
    <t xml:space="preserve">Limitations</t>
  </si>
  <si>
    <t xml:space="preserve">Source</t>
  </si>
  <si>
    <t xml:space="preserve">R1</t>
  </si>
  <si>
    <t xml:space="preserve">quantitative_reearch.pptx</t>
  </si>
  <si>
    <t xml:space="preserve">Quantitative</t>
  </si>
  <si>
    <t xml:space="preserve">Informal caregivers of 70+ (buyers) and seniors (users), PT/ES/EN, online Qualtrics</t>
  </si>
  <si>
    <t xml:space="preserve">952 started; 615 qualified caregivers; 546 at value questions (497 caregivers, 49-50 seniors)</t>
  </si>
  <si>
    <t xml:space="preserve">Demand, concerns, technology acceptance, feature priorities, WTP, channels</t>
  </si>
  <si>
    <t xml:space="preserve">Fall detection, early decline and doctor sharing top features; ease of use and privacy top decision drivers; wearables 86%/70% accepted; cameras rejected by seniors</t>
  </si>
  <si>
    <t xml:space="preserve">Online, LinkedIn-heavy, higher-educated, urban, PT-dominant; senior sub-sample ~50; Spain ~76 directional</t>
  </si>
  <si>
    <t xml:space="preserve">S40</t>
  </si>
  <si>
    <t xml:space="preserve">R2</t>
  </si>
  <si>
    <t xml:space="preserve">Revii_Research_Report.docx</t>
  </si>
  <si>
    <t xml:space="preserve">Quantitative (report on R1 survey)</t>
  </si>
  <si>
    <t xml:space="preserve">Same survey as R1</t>
  </si>
  <si>
    <t xml:space="preserve">938 initiated; 543 completed (494 caregivers, 49 seniors)</t>
  </si>
  <si>
    <t xml:space="preserve">Narrative report of the same survey</t>
  </si>
  <si>
    <t xml:space="preserve">Same direction as R1; several magnitudes differ (e.g., fall detection 73% vs 90.5%)</t>
  </si>
  <si>
    <t xml:space="preserve">Same respondents as R1 — NOT counted as independent evidence</t>
  </si>
  <si>
    <t xml:space="preserve">S41</t>
  </si>
  <si>
    <t xml:space="preserve">R3</t>
  </si>
  <si>
    <t xml:space="preserve">Interview_Status_and__analysis.xlsx</t>
  </si>
  <si>
    <t xml:space="preserve">Qualitative</t>
  </si>
  <si>
    <t xml:space="preserve">Seniors (A), informal caregivers (B), professional caregivers (C), PT (some ES)</t>
  </si>
  <si>
    <t xml:space="preserve">24 structured interview summaries: 5 A, 14 B, 5 C (business plan cites 27)</t>
  </si>
  <si>
    <t xml:space="preserve">Daily life, concerns, technology attitudes, privacy, WTP, professional workflow</t>
  </si>
  <si>
    <t xml:space="preserve">Core problem is uncertainty; falls when alone dominate; passive, simple, non-intrusive technology preferred; sedentary behaviour and medication rate highly</t>
  </si>
  <si>
    <t xml:space="preserve">Convenience sample from team networks; small n; no statistical inference; possible overlap with survey respondents</t>
  </si>
  <si>
    <t xml:space="preserve">S42</t>
  </si>
  <si>
    <t xml:space="preserve">Not market research: Revii_product_features.xlsx (historical device benchmark, input A) — used on 02/03. Respondent overlap between the survey (team networks via LinkedIn) and interviews (team personal networks) cannot be established: interview evidence is therefore used only as corroboration (30% weight) and never as a prevalence estimate.</t>
  </si>
  <si>
    <t xml:space="preserve">2. Quantitative batteries used for need importance (survey R1 / S40; R2 reports the same respondents and is not counted again)</t>
  </si>
  <si>
    <t xml:space="preserve">B1 · Feature importance — Q37-44: % rating 4-5 (very/extremely important) · caregivers n=497 · seniors n≈50</t>
  </si>
  <si>
    <t xml:space="preserve">Item</t>
  </si>
  <si>
    <t xml:space="preserve">Caregivers %</t>
  </si>
  <si>
    <t xml:space="preserve">Seniors %</t>
  </si>
  <si>
    <t xml:space="preserve">Mapped need</t>
  </si>
  <si>
    <t xml:space="preserve">Blended index (0-1)</t>
  </si>
  <si>
    <t xml:space="preserve">Mapping note</t>
  </si>
  <si>
    <t xml:space="preserve">Index = (caregiver share × caregiver % + senior share × senior %) ÷ the highest blended value in the same battery. Blending before normalising avoids amplifying the small senior percentages (n≈50: one respondent ≈ 2 points), and normalising within each battery puts rating, concern and top-3 questions on a common 0-1 footing.</t>
  </si>
  <si>
    <t xml:space="preserve">Fall detection</t>
  </si>
  <si>
    <t xml:space="preserve">N1</t>
  </si>
  <si>
    <t xml:space="preserve">Early decline detection</t>
  </si>
  <si>
    <t xml:space="preserve">N3</t>
  </si>
  <si>
    <t xml:space="preserve">Doctor data sharing</t>
  </si>
  <si>
    <t xml:space="preserve">N6</t>
  </si>
  <si>
    <t xml:space="preserve">Cognitive monitoring</t>
  </si>
  <si>
    <t xml:space="preserve">Biometric monitoring</t>
  </si>
  <si>
    <t xml:space="preserve">Daily check-in calls</t>
  </si>
  <si>
    <t xml:space="preserve">Service-level (Revii Voice Care), not a wearable capability</t>
  </si>
  <si>
    <t xml:space="preserve">Daily routine app</t>
  </si>
  <si>
    <t xml:space="preserve">App feature, not a device capability</t>
  </si>
  <si>
    <t xml:space="preserve">Home environment monitoring</t>
  </si>
  <si>
    <t xml:space="preserve">Ambient IoT, not wrist-worn</t>
  </si>
  <si>
    <t xml:space="preserve">B2 · Concerns — Q18-27: % rating 4-5 (high concern) · caregivers n=497 · seniors n≈56</t>
  </si>
  <si>
    <t xml:space="preserve">Falls / accidents</t>
  </si>
  <si>
    <t xml:space="preserve">Difficulty calling for help</t>
  </si>
  <si>
    <t xml:space="preserve">N2</t>
  </si>
  <si>
    <t xml:space="preserve">Undetected health problems</t>
  </si>
  <si>
    <t xml:space="preserve">Cognitive decline</t>
  </si>
  <si>
    <t xml:space="preserve">Physical decline</t>
  </si>
  <si>
    <t xml:space="preserve">Medication errors</t>
  </si>
  <si>
    <t xml:space="preserve">N8</t>
  </si>
  <si>
    <t xml:space="preserve">Forgotten appointments</t>
  </si>
  <si>
    <t xml:space="preserve">Not addressable by the wearable</t>
  </si>
  <si>
    <t xml:space="preserve">Safety at home</t>
  </si>
  <si>
    <t xml:space="preserve">Ambient/home hazards — IoT scope</t>
  </si>
  <si>
    <t xml:space="preserve">Inactivity</t>
  </si>
  <si>
    <t xml:space="preserve">N7</t>
  </si>
  <si>
    <t xml:space="preserve">Poor diet</t>
  </si>
  <si>
    <t xml:space="preserve">B3 · Decision drivers — Q36: % selecting in top 3 · caregivers n=497 · seniors n≈50</t>
  </si>
  <si>
    <t xml:space="preserve">That is easy to use</t>
  </si>
  <si>
    <t xml:space="preserve">N4</t>
  </si>
  <si>
    <t xml:space="preserve">That respects privacy</t>
  </si>
  <si>
    <t xml:space="preserve">N5</t>
  </si>
  <si>
    <t xml:space="preserve">Peace of mind to the family</t>
  </si>
  <si>
    <t xml:space="preserve">Outcome of all needs — mapping it would double-count</t>
  </si>
  <si>
    <t xml:space="preserve">That it is not expensive</t>
  </si>
  <si>
    <t xml:space="preserve">Handled in the Commercial dimension, not market fit</t>
  </si>
  <si>
    <t xml:space="preserve">That gives me more security</t>
  </si>
  <si>
    <t xml:space="preserve">Ambiguous (personal safety vs data security) — not mapped</t>
  </si>
  <si>
    <t xml:space="preserve">3. Other quantitative findings (context — not used as weights)</t>
  </si>
  <si>
    <t xml:space="preserve">Question</t>
  </si>
  <si>
    <t xml:space="preserve">Finding</t>
  </si>
  <si>
    <t xml:space="preserve">Result</t>
  </si>
  <si>
    <t xml:space="preserve">Implication for wearable selection</t>
  </si>
  <si>
    <t xml:space="preserve">Q45-50</t>
  </si>
  <si>
    <t xml:space="preserve">Would accept a biometric bracelet</t>
  </si>
  <si>
    <t xml:space="preserve">86.1% caregivers (for elder) / 70.0% seniors</t>
  </si>
  <si>
    <t xml:space="preserve">Form factor accepted — common to all candidates, so not differentiating</t>
  </si>
  <si>
    <t xml:space="preserve">Would accept cameras in common areas</t>
  </si>
  <si>
    <t xml:space="preserve">50.5% / 36.0%</t>
  </si>
  <si>
    <t xml:space="preserve">Supports 'no camera' as a privacy attribute</t>
  </si>
  <si>
    <t xml:space="preserve">Would accept family access to health data</t>
  </si>
  <si>
    <t xml:space="preserve">87.5% / 70.0%</t>
  </si>
  <si>
    <t xml:space="preserve">Data sharing to family is legitimate</t>
  </si>
  <si>
    <t xml:space="preserve">Would accept AI for monitoring</t>
  </si>
  <si>
    <t xml:space="preserve">70.6% / 42.0%</t>
  </si>
  <si>
    <t xml:space="preserve">Seniors cautious — explain, do not hide</t>
  </si>
  <si>
    <t xml:space="preserve">Q30</t>
  </si>
  <si>
    <t xml:space="preserve">Caregivers say elder minimises / does not share symptoms</t>
  </si>
  <si>
    <t xml:space="preserve">53% yes today; 29% expect it soon; 17% no concern</t>
  </si>
  <si>
    <t xml:space="preserve">Passive, continuous sensing is valued (supports N2, Functional T1)</t>
  </si>
  <si>
    <t xml:space="preserve">Q31</t>
  </si>
  <si>
    <t xml:space="preserve">Seniors using a smartphone (caregiver-reported)</t>
  </si>
  <si>
    <t xml:space="preserve">63-64%</t>
  </si>
  <si>
    <t xml:space="preserve">~36% would need a gateway for a BLE-only wearable (TCO assumption)</t>
  </si>
  <si>
    <t xml:space="preserve">S40;S41</t>
  </si>
  <si>
    <t xml:space="preserve">Q34</t>
  </si>
  <si>
    <t xml:space="preserve">Top caregiver barrier</t>
  </si>
  <si>
    <t xml:space="preserve">'I don't know solutions' 39.6%; 'family member would not accept' 20.1%; too expensive 10.1%</t>
  </si>
  <si>
    <t xml:space="preserve">Acceptance by the senior matters more than price</t>
  </si>
  <si>
    <t xml:space="preserve">Top senior barrier</t>
  </si>
  <si>
    <t xml:space="preserve">'I don't see the need' 58%; difficult to use 12%</t>
  </si>
  <si>
    <t xml:space="preserve">Passive, low-effort device reduces resistance</t>
  </si>
  <si>
    <t xml:space="preserve">Q33</t>
  </si>
  <si>
    <t xml:space="preserve">Interested / very interested</t>
  </si>
  <si>
    <t xml:space="preserve">Caregivers 58.6% (291/497); seniors 38% (19/50)</t>
  </si>
  <si>
    <t xml:space="preserve">Buyer = caregiver; user comfort is the design constraint</t>
  </si>
  <si>
    <t xml:space="preserve">Q53-54</t>
  </si>
  <si>
    <t xml:space="preserve">Willingness to pay (median, EUR/month)</t>
  </si>
  <si>
    <t xml:space="preserve">Basic: caregiver 26 / senior 38. Full service: caregiver 50 / senior 67</t>
  </si>
  <si>
    <t xml:space="preserve">Hardware cost must fit inside a ~EUR 25-50 monthly service</t>
  </si>
  <si>
    <t xml:space="preserve">4. Qualitative thematic coding — 24 interviews (S42). 1 = need explicitly expressed by the interviewee (analyst coding of the summaries; evidence paraphrased with source-cell references)</t>
  </si>
  <si>
    <t xml:space="preserve">Interviewee names in the source file are replaced by IDs. A = seniors, B = informal caregivers, C = professional caregivers. Mention frequency describes these interviews only — it is not a market prevalence estimate.</t>
  </si>
  <si>
    <t xml:space="preserve">Group</t>
  </si>
  <si>
    <t xml:space="preserve">Profile</t>
  </si>
  <si>
    <t xml:space="preserve">N9</t>
  </si>
  <si>
    <t xml:space="preserve">Evidence (paraphrased; sheet!cell in the interview file)</t>
  </si>
  <si>
    <t xml:space="preserve">A1</t>
  </si>
  <si>
    <t xml:space="preserve">Senior</t>
  </si>
  <si>
    <t xml:space="preserve">76, lives with spouse, urban, digital literacy 2/5</t>
  </si>
  <si>
    <t xml:space="preserve">N1: Concern about falls/incidents when alone (A.Seniors!C14) | N4: Must be simple, reliable, useful; excessive alerts annoying (C22,C23) | N5: Open to devices if useful and not intrusive (C17) | N7: Already uses a smartband/step counter (C15)</t>
  </si>
  <si>
    <t xml:space="preserve">A2</t>
  </si>
  <si>
    <t xml:space="preserve">80, pacemaker, lives with spouse</t>
  </si>
  <si>
    <t xml:space="preserve">N1: Falls or sudden health events when alone (D14) | N4: Simple, intuitive, minimal procedures (D22) | N6: Measures BP with own device; health info shared with doctors (D15,D16)</t>
  </si>
  <si>
    <t xml:space="preserve">A3</t>
  </si>
  <si>
    <t xml:space="preserve">76, rural, lives with spouse</t>
  </si>
  <si>
    <t xml:space="preserve">N2: Uses an SOS button in the home-alarm app (E15) | N6: Measures BP when dizzy; 'monitoring' = measuring BP (E15,E39)</t>
  </si>
  <si>
    <t xml:space="preserve">A4</t>
  </si>
  <si>
    <t xml:space="preserve">71, lives alone</t>
  </si>
  <si>
    <t xml:space="preserve">N3: Greatest fear is losing mental faculties (F10,F27) | N4: Frustrated by not knowing how to use everything (F21)</t>
  </si>
  <si>
    <t xml:space="preserve">A5</t>
  </si>
  <si>
    <t xml:space="preserve">69, lives alone, knee problem</t>
  </si>
  <si>
    <t xml:space="preserve">N1: Afraid of falling (G10) | N4: Fears making mistakes with technology (G21) | N6: BP reminders would be useful (G23) | N7: Exercise reminders would be useful (G23)</t>
  </si>
  <si>
    <t xml:space="preserve">B1</t>
  </si>
  <si>
    <t xml:space="preserve">Informal caregiver</t>
  </si>
  <si>
    <t xml:space="preserve">Father 89, lives alone</t>
  </si>
  <si>
    <t xml:space="preserve">N2: Cannot reach the phone to call for help after a fall (C5,C7) | N1: Fall without reaching the phone; help getting up (B!C5,C7) | N4: Father would need convincing or it be imposed (C19) | N8: Confusion taking medication (C7)</t>
  </si>
  <si>
    <t xml:space="preserve">B2</t>
  </si>
  <si>
    <t xml:space="preserve">Parents 79, live together</t>
  </si>
  <si>
    <t xml:space="preserve">N3: Early signs of cognitive decline (D7) | N5: Deviation alerts, not surveillance; avoid intrusive control (D8)</t>
  </si>
  <si>
    <t xml:space="preserve">B3</t>
  </si>
  <si>
    <t xml:space="preserve">Mother 88, alone, abroad</t>
  </si>
  <si>
    <t xml:space="preserve">N1: Falls at home; wants fall detection (E7,E16) | N4: Mother struggles with devices (E19) | N5: Strong concern about intrusiveness (E18) | N7: Inactivity alerts (E16)</t>
  </si>
  <si>
    <t xml:space="preserve">B4</t>
  </si>
  <si>
    <t xml:space="preserve">Father 92, alone</t>
  </si>
  <si>
    <t xml:space="preserve">N1: 'Something can happen at any moment' (F7) | N3: Physical and mental health in general (F7) | N5: How health data is stored and who accesses it (F18)</t>
  </si>
  <si>
    <t xml:space="preserve">B5</t>
  </si>
  <si>
    <t xml:space="preserve">Mother 85, alone</t>
  </si>
  <si>
    <t xml:space="preserve">N2: Immediate activation of emergency services (G22) | N1: 24/7 monitoring, real-time alerts, emergency activation (G22) | N3: Loss of autonomy through illness (G7)</t>
  </si>
  <si>
    <t xml:space="preserve">B6</t>
  </si>
  <si>
    <t xml:space="preserve">Mother 77, alone, village</t>
  </si>
  <si>
    <t xml:space="preserve">N2: Must be able to react quickly (H22) | N1: Unexpected health episodes or falls; react quickly (H7,H22) | N3: Alerts on vital-sign changes (H18)</t>
  </si>
  <si>
    <t xml:space="preserve">B7</t>
  </si>
  <si>
    <t xml:space="preserve">Mother 73, alone, diabetic</t>
  </si>
  <si>
    <t xml:space="preserve">N1: Something happening unnoticed (I7) | N3: Missing early signs; wearable tracking &amp; reports (I7,I16) | N5: Mother must not feel watched; would resist cameras (I18,I19) | N7: Sedentary lifestyle (I7)</t>
  </si>
  <si>
    <t xml:space="preserve">B8</t>
  </si>
  <si>
    <t xml:space="preserve">Parents 74/77, rural, 250 km away</t>
  </si>
  <si>
    <t xml:space="preserve">N2: Wearable with an emergency button (J22) | N1: Falls/stroke with delayed response; wearable with emergency button (J7,J22) | N3: Difficulty detecting early deterioration (J7) | N5: Must not interfere with freedom (J8,J19) | N6: Father self-monitors glucose &amp; BP (J4)</t>
  </si>
  <si>
    <t xml:space="preserve">B9</t>
  </si>
  <si>
    <t xml:space="preserve">Father 67, with spouse</t>
  </si>
  <si>
    <t xml:space="preserve">N1: Emergency while father is alone (K7) | N4: Must be simple and 'friendly' (K17) | N5: No 'Big Brother' monitoring (K18) | N6: High-level medical reports (K16) | N8: Medication timing and dosage (K5)</t>
  </si>
  <si>
    <t xml:space="preserve">B10</t>
  </si>
  <si>
    <t xml:space="preserve">Mother 77, alone</t>
  </si>
  <si>
    <t xml:space="preserve">N1: Something happening while completely alone (L7) | N4: Passive technology, no active maintenance (L19) | N5: Data ownership and storage (L18) | N7: Stimulate activity vs sedentary (L16)</t>
  </si>
  <si>
    <t xml:space="preserve">B11</t>
  </si>
  <si>
    <t xml:space="preserve">Mother 74, insulin-dependent diabetic</t>
  </si>
  <si>
    <t xml:space="preserve">N2: Unable to ask for help in a crisis (M7) | N1: Fall or diabetic crisis, unable to ask for help (M7,M22) | N3: Bracelets detecting health parameters (M22) | N5: Concern about GPS location data (M18) | N8: Medication reminders (M16)</t>
  </si>
  <si>
    <t xml:space="preserve">B12</t>
  </si>
  <si>
    <t xml:space="preserve">Parents ~72, Alzheimer, live-in carer</t>
  </si>
  <si>
    <t xml:space="preserve">N1: Night falls unnoticed; real-time alerts (N7,N16) | N5: Privacy and consent of residents (N18) | N8: Medication management (N5)</t>
  </si>
  <si>
    <t xml:space="preserve">B13</t>
  </si>
  <si>
    <t xml:space="preserve">Father 80 (diabetes, stroke), mother 73</t>
  </si>
  <si>
    <t xml:space="preserve">N4: Correct use by elderly; features needing no user action (O17,O22) | N5: Data used only for health (O18) | N7: Motivating father to walk (O7) | N8: Medication management (O5)</t>
  </si>
  <si>
    <t xml:space="preserve">B14</t>
  </si>
  <si>
    <t xml:space="preserve">Parents 78, mother oncological</t>
  </si>
  <si>
    <t xml:space="preserve">N2: Unable to get up — needs help to come (P7) | N1: Mother falling and unable to get up (P7,P22) | N5: External access to data/images (P18) | N7: Mobility monitoring (P16) | N8: Medication management (P5)</t>
  </si>
  <si>
    <t xml:space="preserve">C1</t>
  </si>
  <si>
    <t xml:space="preserve">Professional caregiver</t>
  </si>
  <si>
    <t xml:space="preserve">Social worker, IPSS, 15 yrs</t>
  </si>
  <si>
    <t xml:space="preserve">N3: Early detection easier to resolve; how the night went (C.Prof!C9,C11) | N6: HR, BP, glycaemia, hypoglycaemia useful (C13)</t>
  </si>
  <si>
    <t xml:space="preserve">C2</t>
  </si>
  <si>
    <t xml:space="preserve">Gerontologist, private, 15 yrs</t>
  </si>
  <si>
    <t xml:space="preserve">N1: Fall risk; why a fall happened (D5,D21) | N6: Carries thermometer, BP monitor, oximeter (D5) | N7: Steps and movements (D13) | N9: Knowing where the person is in the house (D9)</t>
  </si>
  <si>
    <t xml:space="preserve">C3</t>
  </si>
  <si>
    <t xml:space="preserve">Residence manager, 12 yrs</t>
  </si>
  <si>
    <t xml:space="preserve">N2: Not being able to respond in time (E17) | N1: Not responding in time; night-time fear (E16,E17) | N3: Night summary and changes in clinical data (E9) | N6: Vital-sign monitoring (E12)</t>
  </si>
  <si>
    <t xml:space="preserve">C4</t>
  </si>
  <si>
    <t xml:space="preserve">Nursing-home director, 13 yrs</t>
  </si>
  <si>
    <t xml:space="preserve">N3: Daily tracking to identify risks sooner (F11) | N7: Activity / step-count alerts (F19) | N8: Medication alerts (F19)</t>
  </si>
  <si>
    <t xml:space="preserve">C5</t>
  </si>
  <si>
    <t xml:space="preserve">Nurse, public sector, 20 yrs</t>
  </si>
  <si>
    <t xml:space="preserve">N1: Fall detection useful for high-risk cases (G13) | N4: Excessive monitoring causes anxiety (G13) | N6: Vital signs; alerts to the right professional (G13,G18) | N8: Duplicate-medication errors (G7)</t>
  </si>
  <si>
    <t xml:space="preserve">Interviews expressing the need</t>
  </si>
  <si>
    <t xml:space="preserve">Share of 24 interviews</t>
  </si>
  <si>
    <t xml:space="preserve">Seniors (A)</t>
  </si>
  <si>
    <t xml:space="preserve">Informal caregivers (B)</t>
  </si>
  <si>
    <t xml:space="preserve">Professional caregivers (C)</t>
  </si>
  <si>
    <t xml:space="preserve">5. Informal caregivers' own 1-5 concern ratings (interview file, rows 9-15) — n = 13-14, descriptive only</t>
  </si>
  <si>
    <t xml:space="preserve">Concern item</t>
  </si>
  <si>
    <t xml:space="preserve">Mean</t>
  </si>
  <si>
    <t xml:space="preserve">n</t>
  </si>
  <si>
    <t xml:space="preserve">Survey comparator (S40)</t>
  </si>
  <si>
    <t xml:space="preserve">Medication errors 21.2% high concern</t>
  </si>
  <si>
    <t xml:space="preserve">Early signs of illness</t>
  </si>
  <si>
    <t xml:space="preserve">Undetected health problems 36.2%</t>
  </si>
  <si>
    <t xml:space="preserve">Skipping medical appointments</t>
  </si>
  <si>
    <t xml:space="preserve">Forgotten appointments 12.0%</t>
  </si>
  <si>
    <t xml:space="preserve">Unhealthy diet</t>
  </si>
  <si>
    <t xml:space="preserve">Poor diet 22.8%</t>
  </si>
  <si>
    <t xml:space="preserve">Sedentary lifestyle</t>
  </si>
  <si>
    <t xml:space="preserve">Inactivity 36.4%</t>
  </si>
  <si>
    <t xml:space="preserve">Social isolation</t>
  </si>
  <si>
    <t xml:space="preserve">(no survey item)</t>
  </si>
  <si>
    <t xml:space="preserve">Detect early signs of physical/cognitive decline</t>
  </si>
  <si>
    <t xml:space="preserve">Early decline detection 77.1% important</t>
  </si>
  <si>
    <t xml:space="preserve">6. Segments supported by the evidence</t>
  </si>
  <si>
    <t xml:space="preserve">Segment axis</t>
  </si>
  <si>
    <t xml:space="preserve">Evidence</t>
  </si>
  <si>
    <t xml:space="preserve">How it is used in this workbook</t>
  </si>
  <si>
    <t xml:space="preserve">Buyer (caregiver) vs user (senior)</t>
  </si>
  <si>
    <t xml:space="preserve">Quantitative, both groups measured (S40); concern levels 2-3x higher for caregivers</t>
  </si>
  <si>
    <t xml:space="preserve">Blended need importance — caregiver 70% / senior 30% (editable on 06)</t>
  </si>
  <si>
    <t xml:space="preserve">Independence level (stable vs vulnerable)</t>
  </si>
  <si>
    <t xml:space="preserve">Qualitative: high-dependency cases B11, B12, B14 stress falls, night events, medication; independent seniors A1-A5 stress simplicity and autonomy</t>
  </si>
  <si>
    <t xml:space="preserve">Scenarios S6 and S7 on 13 (analyst-defined multipliers — labelled assumptions)</t>
  </si>
  <si>
    <t xml:space="preserve">Portugal vs Spain</t>
  </si>
  <si>
    <t xml:space="preserve">Spanish sample ~76, almost all caregivers — directional only (S40, S41)</t>
  </si>
  <si>
    <t xml:space="preserve">Not segmented</t>
  </si>
  <si>
    <t xml:space="preserve">Professional caregivers</t>
  </si>
  <si>
    <t xml:space="preserve">Qualitative only, n = 5</t>
  </si>
  <si>
    <t xml:space="preserve">Informs clinical-data (N5) and early-decline (N2) needs; no separate weighting</t>
  </si>
  <si>
    <t xml:space="preserve">7. Contradictions between sources (recorded, not hidden)</t>
  </si>
  <si>
    <t xml:space="preserve">Topic</t>
  </si>
  <si>
    <t xml:space="preserve">Source / finding 1</t>
  </si>
  <si>
    <t xml:space="preserve">Source / finding 2</t>
  </si>
  <si>
    <t xml:space="preserve">Adopted interpretation</t>
  </si>
  <si>
    <t xml:space="preserve">Fall detection importance</t>
  </si>
  <si>
    <t xml:space="preserve">Deck: 90.5% caregivers / 62% seniors (S40)</t>
  </si>
  <si>
    <t xml:space="preserve">Report: 73% / 52% (S41)</t>
  </si>
  <si>
    <t xml:space="preserve">Same survey, different cut/denominator. Deck used (full battery with consistent n). Fall detection is the #1 feature in both, so the ranking of needs is unchanged.</t>
  </si>
  <si>
    <t xml:space="preserve">Detection vs summoning help</t>
  </si>
  <si>
    <t xml:space="preserve">Survey separates 'fall detection' / 'falls' from 'difficulty calling for help'</t>
  </si>
  <si>
    <t xml:space="preserve">Interviews mix both ('fall without reaching the phone')</t>
  </si>
  <si>
    <t xml:space="preserve">Modelled as two needs (N1 detection, N2 summoning help) so fall detection is not diluted across five features.</t>
  </si>
  <si>
    <t xml:space="preserve">Sample size</t>
  </si>
  <si>
    <t xml:space="preserve">Deck: 952 started / 546 at value questions</t>
  </si>
  <si>
    <t xml:space="preserve">Report: 938 initiated / 543 completed</t>
  </si>
  <si>
    <t xml:space="preserve">Treated as one evidence base; no double counting.</t>
  </si>
  <si>
    <t xml:space="preserve">Interview count</t>
  </si>
  <si>
    <t xml:space="preserve">Business plan: 27 (5/17/5)</t>
  </si>
  <si>
    <t xml:space="preserve">Analysis file: 24 (5/14/5); status tab tallies 4/9/5</t>
  </si>
  <si>
    <t xml:space="preserve">Only the 24 documented interviews are coded.</t>
  </si>
  <si>
    <t xml:space="preserve">Sedentary behaviour</t>
  </si>
  <si>
    <t xml:space="preserve">Survey: inactivity 36.4% caregivers (mid-ranked)</t>
  </si>
  <si>
    <t xml:space="preserve">Interview caregivers rate sedentary lifestyle highest of seven items (mean ~3.8/5)</t>
  </si>
  <si>
    <t xml:space="preserve">Qualitative evidence lifts N7 above its survey rank; neither dominates (30% qualitative weight).</t>
  </si>
  <si>
    <t xml:space="preserve">Medication</t>
  </si>
  <si>
    <t xml:space="preserve">Survey: medication errors 21.2% (low)</t>
  </si>
  <si>
    <t xml:space="preserve">Coded in 8/24 interviews; caregiver mean ~2.9/5</t>
  </si>
  <si>
    <t xml:space="preserve">N8 kept low-to-moderate; not a primary wearable job.</t>
  </si>
  <si>
    <t xml:space="preserve">Location / GPS</t>
  </si>
  <si>
    <t xml:space="preserve">Professional C2 wants to know where the person is</t>
  </si>
  <si>
    <t xml:space="preserve">Caregiver B11 worries about GPS location data</t>
  </si>
  <si>
    <t xml:space="preserve">N9 receives a low weight; GPS is valued inside N2 (being located in an emergency), not as surveillance.</t>
  </si>
  <si>
    <t xml:space="preserve">Senior acceptance</t>
  </si>
  <si>
    <t xml:space="preserve">Survey: 70% of seniors would accept a biometric bracelet</t>
  </si>
  <si>
    <t xml:space="preserve">Interviews B4, B5 expect their parent to refuse technology</t>
  </si>
  <si>
    <t xml:space="preserve">Acceptance risk handled through ease of use (N4) and screenless design, not assumed away.</t>
  </si>
  <si>
    <t xml:space="preserve">Senior concern levels</t>
  </si>
  <si>
    <t xml:space="preserve">Seniors rate every concern far lower than caregivers (n~50)</t>
  </si>
  <si>
    <t xml:space="preserve">Caregivers 2-3x more concerned</t>
  </si>
  <si>
    <t xml:space="preserve">Caregiver (buyer) weighted 70%, senior (user) 30% — editable.</t>
  </si>
  <si>
    <t xml:space="preserve">NEEDS-TO-FEATURE MAPPING</t>
  </si>
  <si>
    <t xml:space="preserve">Research finding → customer need → device feature → evaluation criterion → device performance. All weights editable; every step is a formula.</t>
  </si>
  <si>
    <t xml:space="preserve">1. Research-weighting parameters (editable assumptions)</t>
  </si>
  <si>
    <t xml:space="preserve">Parameter</t>
  </si>
  <si>
    <t xml:space="preserve">Value</t>
  </si>
  <si>
    <t xml:space="preserve">Basis</t>
  </si>
  <si>
    <t xml:space="preserve">Caregiver (buyer) share in the quantitative blend</t>
  </si>
  <si>
    <t xml:space="preserve">Caregivers are the economic buyer (interest 59% vs 38%; WTP; concern 2-3x). Assumption — editable.</t>
  </si>
  <si>
    <t xml:space="preserve">Senior (user) share</t>
  </si>
  <si>
    <t xml:space="preserve">Seniors are the wearer; small n (~50)</t>
  </si>
  <si>
    <t xml:space="preserve">Quantitative share of need importance</t>
  </si>
  <si>
    <t xml:space="preserve">Survey n=497 vs 24 interviews; qualitative must not dominate by volume. Assumption — editable.</t>
  </si>
  <si>
    <t xml:space="preserve">Qualitative share</t>
  </si>
  <si>
    <t xml:space="preserve">Interviews reveal needs the survey missed and corroborate direction</t>
  </si>
  <si>
    <t xml:space="preserve">Discount for needs with qualitative evidence only</t>
  </si>
  <si>
    <t xml:space="preserve">Prevents a need with no survey support from receiving full weight. Assumption — editable.</t>
  </si>
  <si>
    <t xml:space="preserve">2. Need importance — normalised survey batteries (05 §2) blended with interview coding (05 §4)</t>
  </si>
  <si>
    <t xml:space="preserve">Need</t>
  </si>
  <si>
    <t xml:space="preserve">Customer need</t>
  </si>
  <si>
    <t xml:space="preserve">What it means</t>
  </si>
  <si>
    <t xml:space="preserve">Feature-importance index (B1)</t>
  </si>
  <si>
    <t xml:space="preserve">Concern index (B2)</t>
  </si>
  <si>
    <t xml:space="preserve">Decision-driver index (B3)</t>
  </si>
  <si>
    <t xml:space="preserve">Quantitative index</t>
  </si>
  <si>
    <t xml:space="preserve">Interviews (of 24)</t>
  </si>
  <si>
    <t xml:space="preserve">Qualitative index</t>
  </si>
  <si>
    <t xml:space="preserve">Raw importance</t>
  </si>
  <si>
    <t xml:space="preserve">Weight</t>
  </si>
  <si>
    <t xml:space="preserve">Rank</t>
  </si>
  <si>
    <t xml:space="preserve">Evidence basis</t>
  </si>
  <si>
    <t xml:space="preserve">Automatic fall / incident detection</t>
  </si>
  <si>
    <t xml:space="preserve">An alert is raised even if the senior cannot act</t>
  </si>
  <si>
    <t xml:space="preserve">Fall detection is the #1 feature: 90.5% caregivers / 62% seniors (B1); falls 54.8% high concern (B2); 18 of 24 interviews</t>
  </si>
  <si>
    <t xml:space="preserve">Summoning help &amp; being reached</t>
  </si>
  <si>
    <t xml:space="preserve">SOS, two-way calling and locating the person in an emergency</t>
  </si>
  <si>
    <t xml:space="preserve">Difficulty calling for help 44.5% high concern (B2); 8 of 24 interviews ('cannot reach the phone', 'emergency button')</t>
  </si>
  <si>
    <t xml:space="preserve">Early detection of physical &amp; cognitive decline</t>
  </si>
  <si>
    <t xml:space="preserve">Passive signals that surface what seniors do not report</t>
  </si>
  <si>
    <t xml:space="preserve">Early decline 77.1% / 48% (B1); physical decline 49.3% (B2); 53% say elder minimises symptoms (Q30); 11 of 24 interviews</t>
  </si>
  <si>
    <t xml:space="preserve">Ease of use &amp; low burden for the senior</t>
  </si>
  <si>
    <t xml:space="preserve">Simple, passive, rarely charged, no phone needed, comfortable</t>
  </si>
  <si>
    <t xml:space="preserve">Easy to use is the #1 decision driver: 69.4% / 76% (B3); 10 of 24 interviews ('passive', 'no maintenance'); ~36% of seniors have no smartphone (Q31)</t>
  </si>
  <si>
    <t xml:space="preserve">Privacy &amp; non-intrusiveness</t>
  </si>
  <si>
    <t xml:space="preserve">No surveillance feel; control over where data goes</t>
  </si>
  <si>
    <t xml:space="preserve">Privacy is the #2 decision driver: 55.1% / 42% (B3); cameras rejected by 64% of seniors; 12 of 24 interviews</t>
  </si>
  <si>
    <t xml:space="preserve">Clinical data for the doctor</t>
  </si>
  <si>
    <t xml:space="preserve">Vital signs a physician can use</t>
  </si>
  <si>
    <t xml:space="preserve">Doctor data sharing 73% / 48% (B1); professionals want vital signs (C1, C3, C5); 9 of 24 interviews</t>
  </si>
  <si>
    <t xml:space="preserve">Activity &amp; sedentary behaviour</t>
  </si>
  <si>
    <t xml:space="preserve">Movement and inactivity</t>
  </si>
  <si>
    <t xml:space="preserve">Inactivity 36.4% (B2); sedentary lifestyle is caregivers' highest-rated interview concern (mean ~3.8/5); 9 of 24 interviews</t>
  </si>
  <si>
    <t xml:space="preserve">Medication adherence</t>
  </si>
  <si>
    <t xml:space="preserve">Reminders / adherence support</t>
  </si>
  <si>
    <t xml:space="preserve">Medication errors 21.2% (B2); 8 of 24 interviews</t>
  </si>
  <si>
    <t xml:space="preserve">Location &amp; wandering</t>
  </si>
  <si>
    <t xml:space="preserve">Knowing where the person is</t>
  </si>
  <si>
    <t xml:space="preserve">No survey item; 1 of 24 interviews positive (C2) and 1 privacy concern about GPS (B11)</t>
  </si>
  <si>
    <t xml:space="preserve">Total</t>
  </si>
  <si>
    <t xml:space="preserve">3. Within-need contributions — which device features deliver each need (editable; each need column must total 100%)</t>
  </si>
  <si>
    <t xml:space="preserve">Code</t>
  </si>
  <si>
    <t xml:space="preserve">Feature / attribute</t>
  </si>
  <si>
    <t xml:space="preserve">Research importance of feature</t>
  </si>
  <si>
    <t xml:space="preserve">Category</t>
  </si>
  <si>
    <t xml:space="preserve">Need weight →</t>
  </si>
  <si>
    <t xml:space="preserve">N5 note: wrist devices differ little in physical intrusiveness (none has a camera). Privacy differences sit in data handling, scored in Integration (I8) and Regulatory (R3) rather than here — avoiding double counting.</t>
  </si>
  <si>
    <t xml:space="preserve">Risk flag — not valued (risk flag)</t>
  </si>
  <si>
    <t xml:space="preserve">BAT</t>
  </si>
  <si>
    <t xml:space="preserve">Battery-life class (from 03 specs)</t>
  </si>
  <si>
    <t xml:space="preserve">WGT</t>
  </si>
  <si>
    <t xml:space="preserve">Weight / comfort class (from 03 specs)</t>
  </si>
  <si>
    <t xml:space="preserve">Column total (must be 100%)</t>
  </si>
  <si>
    <t xml:space="preserve">4. Device credit per feature — status on 03 × status credits on 10 (Unknown receives partial credit, never full)</t>
  </si>
  <si>
    <t xml:space="preserve">5. Unknown indicator — 1 where the status is Unknown (drives the confirmed / potential market-fit range)</t>
  </si>
  <si>
    <t xml:space="preserve">6. Need scores (0-1) and market fit (0-100) per model</t>
  </si>
  <si>
    <t xml:space="preserve">Market fit (0-100)</t>
  </si>
  <si>
    <t xml:space="preserve">Share resting on Unknowns</t>
  </si>
  <si>
    <t xml:space="preserve">Market fit — confirmed only</t>
  </si>
  <si>
    <t xml:space="preserve">Market fit — if all Unknowns were Yes</t>
  </si>
  <si>
    <t xml:space="preserve">Weakest need</t>
  </si>
  <si>
    <t xml:space="preserve">7. Audit chain — research finding → need → feature → criterion → best-scoring device (live)</t>
  </si>
  <si>
    <t xml:space="preserve">Research evidence</t>
  </si>
  <si>
    <t xml:space="preserve">Relevant device features</t>
  </si>
  <si>
    <t xml:space="preserve">Evaluation criteria</t>
  </si>
  <si>
    <t xml:space="preserve">Best-scoring model</t>
  </si>
  <si>
    <t xml:space="preserve">Its need score</t>
  </si>
  <si>
    <t xml:space="preserve">N1 Automatic fall / incident detection</t>
  </si>
  <si>
    <t xml:space="preserve">F10 automatic fall detection</t>
  </si>
  <si>
    <t xml:space="preserve">Market fit N1; Functional T3; Integration I3</t>
  </si>
  <si>
    <t xml:space="preserve">N2 Summoning help &amp; being reached</t>
  </si>
  <si>
    <t xml:space="preserve">F11 SOS, F12 two-way calling, F13 positioning, F16 phone-independence</t>
  </si>
  <si>
    <t xml:space="preserve">Market fit N2; Functional T4; Integration I3</t>
  </si>
  <si>
    <t xml:space="preserve">N3 Early detection of physical &amp; cognitive decline</t>
  </si>
  <si>
    <t xml:space="preserve">HR, HRV, SpO2, temperature, sleep, activity, stress</t>
  </si>
  <si>
    <t xml:space="preserve">Market fit N3; Functional T1</t>
  </si>
  <si>
    <t xml:space="preserve">N4 Ease of use &amp; low burden for the senior</t>
  </si>
  <si>
    <t xml:space="preserve">Screenless, battery life, no phone needed, water resistance, weight</t>
  </si>
  <si>
    <t xml:space="preserve">Market fit N4</t>
  </si>
  <si>
    <t xml:space="preserve">N5 Privacy &amp; non-intrusiveness</t>
  </si>
  <si>
    <t xml:space="preserve">No camera (device level). Data-handling privacy is scored in Integration I8 and Regulatory R3</t>
  </si>
  <si>
    <t xml:space="preserve">Market fit N5; Integration I8; Regulatory R3</t>
  </si>
  <si>
    <t xml:space="preserve">N6 Clinical data for the doctor</t>
  </si>
  <si>
    <t xml:space="preserve">ECG, BP, SpO2, temperature, HR</t>
  </si>
  <si>
    <t xml:space="preserve">Market fit N6; Functional T2/T6</t>
  </si>
  <si>
    <t xml:space="preserve">N7 Activity &amp; sedentary behaviour</t>
  </si>
  <si>
    <t xml:space="preserve">Market fit N7</t>
  </si>
  <si>
    <t xml:space="preserve">N8 Medication adherence</t>
  </si>
  <si>
    <t xml:space="preserve">Market fit N8</t>
  </si>
  <si>
    <t xml:space="preserve">N9 Location &amp; wandering</t>
  </si>
  <si>
    <t xml:space="preserve">GNSS positioning, geofencing</t>
  </si>
  <si>
    <t xml:space="preserve">Market fit N9 (qualitative only, discounted)</t>
  </si>
  <si>
    <t xml:space="preserve">COMMERCIAL COMPARISON</t>
  </si>
  <si>
    <t xml:space="preserve">One supplier quotation so far (VB10, USD 50 — S52). Every price is labelled by type; unknown terms say 'RFQ'. Blue cells are editable — enter quotations here and TCO/scores update.</t>
  </si>
  <si>
    <t xml:space="preserve">1. Commercial terms per model (G2 = commercial deployability gate input)</t>
  </si>
  <si>
    <t xml:space="preserve">Price (original)</t>
  </si>
  <si>
    <t xml:space="preserve">Currency</t>
  </si>
  <si>
    <t xml:space="preserve">Price type</t>
  </si>
  <si>
    <t xml:space="preserve">Price grade</t>
  </si>
  <si>
    <t xml:space="preserve">Price source</t>
  </si>
  <si>
    <t xml:space="preserve">Proxy model for TCO</t>
  </si>
  <si>
    <t xml:space="preserve">MOQ (pcs)</t>
  </si>
  <si>
    <t xml:space="preserve">MOQ source</t>
  </si>
  <si>
    <t xml:space="preserve">Volume discounts</t>
  </si>
  <si>
    <t xml:space="preserve">OEM / white-label</t>
  </si>
  <si>
    <t xml:space="preserve">Firmware customisation</t>
  </si>
  <si>
    <t xml:space="preserve">Packaging customisation</t>
  </si>
  <si>
    <t xml:space="preserve">API licensing cost</t>
  </si>
  <si>
    <t xml:space="preserve">Cloud / platform subscription</t>
  </si>
  <si>
    <t xml:space="preserve">Cellular connectivity</t>
  </si>
  <si>
    <t xml:space="preserve">Warranty (months)</t>
  </si>
  <si>
    <t xml:space="preserve">Warranty source</t>
  </si>
  <si>
    <t xml:space="preserve">Lead time</t>
  </si>
  <si>
    <t xml:space="preserve">Shipping cost</t>
  </si>
  <si>
    <t xml:space="preserve">Supplier support</t>
  </si>
  <si>
    <t xml:space="preserve">EU market availability</t>
  </si>
  <si>
    <t xml:space="preserve">Long-term availability</t>
  </si>
  <si>
    <t xml:space="preserve">G2 Commercial gate</t>
  </si>
  <si>
    <t xml:space="preserve">Supplier notes</t>
  </si>
  <si>
    <t xml:space="preserve">USD</t>
  </si>
  <si>
    <t xml:space="preserve">Supplier quotation</t>
  </si>
  <si>
    <t xml:space="preserve">A</t>
  </si>
  <si>
    <t xml:space="preserve">S52</t>
  </si>
  <si>
    <t xml:space="preserve">Unknown — RFQ</t>
  </si>
  <si>
    <t xml:space="preserve">None (on-phone SDK)</t>
  </si>
  <si>
    <t xml:space="preserve">None (uses phone / gateway)</t>
  </si>
  <si>
    <t xml:space="preserve">Official Wonlex quotation to Revii: USD 50 per unit. MOQ, quantity tier, Incoterms, warranty, SDK licence and validity not recorded here — add them from the quotation.</t>
  </si>
  <si>
    <t xml:space="preserve">KSCtracker fee unknown (0 if own server)</t>
  </si>
  <si>
    <t xml:space="preserve">SIM data plan required (see 08)</t>
  </si>
  <si>
    <t xml:space="preserve">Pending</t>
  </si>
  <si>
    <t xml:space="preserve">RFQ required; product identity unresolved.</t>
  </si>
  <si>
    <t xml:space="preserve">Public marketplace price</t>
  </si>
  <si>
    <t xml:space="preserve">S27</t>
  </si>
  <si>
    <t xml:space="preserve">Alibaba storefront USD 27; manufacturer site shows USD 17-20 without basis. MOQ not captured.</t>
  </si>
  <si>
    <t xml:space="preserve">RFQ required.</t>
  </si>
  <si>
    <t xml:space="preserve">Historical internal figure</t>
  </si>
  <si>
    <t xml:space="preserve">S38</t>
  </si>
  <si>
    <t xml:space="preserve">Historical workbook cost 23.25; currency not stated (assumed USD). 'Not for USA' — no EU restriction known.</t>
  </si>
  <si>
    <t xml:space="preserve">RFQ required. Two-year warranty claimed in a Wonlex article.</t>
  </si>
  <si>
    <t xml:space="preserve">Historical workbook cost 77; currency not stated (assumed USD).</t>
  </si>
  <si>
    <t xml:space="preserve">RFQ required. Proxy likely understates.</t>
  </si>
  <si>
    <t xml:space="preserve">RFQ required. KSCtracker platform fee unknown.</t>
  </si>
  <si>
    <t xml:space="preserve">Alibaba storefront USD 24, MOQ 2 pcs (sample quantity).</t>
  </si>
  <si>
    <t xml:space="preserve">2. Commercial criteria (dimension D) — credits 0-1 computed from the terms above and the TCO on 08</t>
  </si>
  <si>
    <t xml:space="preserve">Price basis used</t>
  </si>
  <si>
    <t xml:space="preserve">C1 36-month TCO competitiveness (selected fleet)</t>
  </si>
  <si>
    <t xml:space="preserve">C2 Price evidence quality</t>
  </si>
  <si>
    <t xml:space="preserve">C3 MOQ fit for a pilot</t>
  </si>
  <si>
    <t xml:space="preserve">C4 OEM / white-label availability</t>
  </si>
  <si>
    <t xml:space="preserve">C5 Warranty</t>
  </si>
  <si>
    <t xml:space="preserve">C6 EU availability &amp; lead time</t>
  </si>
  <si>
    <t xml:space="preserve">Commercial score (0-100)</t>
  </si>
  <si>
    <t xml:space="preserve">3. Price-evidence credit by price type (editable)</t>
  </si>
  <si>
    <t xml:space="preserve">Credit</t>
  </si>
  <si>
    <t xml:space="preserve">Company-level terms captured (not model-specific): standard MOQ 100 pcs; OEM MOQ 500 pcs; 30% deposit (S29, ~1 year old). OEM/ODM, firmware and packaging customisation offered company-wide (S26) — recorded as Conditional for every model.</t>
  </si>
  <si>
    <t xml:space="preserve">Official public price</t>
  </si>
  <si>
    <t xml:space="preserve">Analyst assumption</t>
  </si>
  <si>
    <t xml:space="preserve">TOTAL COST OF OWNERSHIP MODEL</t>
  </si>
  <si>
    <t xml:space="preserve">Per-device and fleet TCO at 12 and 36 months. Every TCO is PROVISIONAL: only VB10 has a supplier-quoted price and most cost inputs are labelled analyst assumptions.</t>
  </si>
  <si>
    <t xml:space="preserve">1. Assumptions (blue = editable)</t>
  </si>
  <si>
    <t xml:space="preserve">Assumption</t>
  </si>
  <si>
    <t xml:space="preserve">Unit</t>
  </si>
  <si>
    <t xml:space="preserve">Basis / source</t>
  </si>
  <si>
    <t xml:space="preserve">USD → EUR exchange rate</t>
  </si>
  <si>
    <t xml:space="preserve">EUR per USD</t>
  </si>
  <si>
    <t xml:space="preserve">Analyst assumption — set to the current ECB reference rate</t>
  </si>
  <si>
    <t xml:space="preserve">Include analyst price assumptions (1 = yes, 0 = RFQ only)</t>
  </si>
  <si>
    <t xml:space="preserve">switch</t>
  </si>
  <si>
    <t xml:space="preserve">When 0, models without a sourced price show 'RFQ' and get Unknown credit</t>
  </si>
  <si>
    <t xml:space="preserve">Shipping &amp; handling per unit</t>
  </si>
  <si>
    <t xml:space="preserve">EUR</t>
  </si>
  <si>
    <t xml:space="preserve">Analyst assumption (consolidated air/sea freight)</t>
  </si>
  <si>
    <t xml:space="preserve">Import duty</t>
  </si>
  <si>
    <t xml:space="preserve">%</t>
  </si>
  <si>
    <t xml:space="preserve">Analyst assumption: 0% for smartwatches/bands under HS 8517.62 — verify classification</t>
  </si>
  <si>
    <t xml:space="preserve">Provisioning per 4G device (SIM, config, test)</t>
  </si>
  <si>
    <t xml:space="preserve">Provisioning per BLE device (pairing, config)</t>
  </si>
  <si>
    <t xml:space="preserve">Branding / customisation per unit</t>
  </si>
  <si>
    <t xml:space="preserve">Unknown — RFQ (OEM MOQ 500 company-level, S29)</t>
  </si>
  <si>
    <t xml:space="preserve">One-time integration — 4G TCP protocol</t>
  </si>
  <si>
    <t xml:space="preserve">EUR per fleet</t>
  </si>
  <si>
    <t xml:space="preserve">Analyst assumption (decoder + event mapping + testing)</t>
  </si>
  <si>
    <t xml:space="preserve">One-time integration — BLE SDK (iOS + Android)</t>
  </si>
  <si>
    <t xml:space="preserve">Analyst assumption (two mobile SDKs + background sync)</t>
  </si>
  <si>
    <t xml:space="preserve">SIM / data per 4G device per month</t>
  </si>
  <si>
    <t xml:space="preserve">Analyst assumption (EU IoT SIM, low data)</t>
  </si>
  <si>
    <t xml:space="preserve">Platform subscription per device per month</t>
  </si>
  <si>
    <t xml:space="preserve">Unknown — KSCtracker fee not published; 0 if own server</t>
  </si>
  <si>
    <t xml:space="preserve">Device management per device per month</t>
  </si>
  <si>
    <t xml:space="preserve">Analyst assumption (in-house)</t>
  </si>
  <si>
    <t xml:space="preserve">BLE home gateway (for seniors without a smartphone)</t>
  </si>
  <si>
    <t xml:space="preserve">Share of BLE users needing a gateway</t>
  </si>
  <si>
    <t xml:space="preserve">Research: 63-64% of seniors use a smartphone (S40, S41)</t>
  </si>
  <si>
    <t xml:space="preserve">Default warranty when unknown</t>
  </si>
  <si>
    <t xml:space="preserve">months</t>
  </si>
  <si>
    <t xml:space="preserve">Annual device failure / loss rate</t>
  </si>
  <si>
    <t xml:space="preserve">Fleet size used for scoring and dashboard</t>
  </si>
  <si>
    <t xml:space="preserve">devices</t>
  </si>
  <si>
    <t xml:space="preserve">Choose 100, 1,000 or 5,000</t>
  </si>
  <si>
    <t xml:space="preserve">2. Fleet scenarios and volume discounts</t>
  </si>
  <si>
    <t xml:space="preserve">Tier</t>
  </si>
  <si>
    <t xml:space="preserve">Fleet size</t>
  </si>
  <si>
    <t xml:space="preserve">Volume discount</t>
  </si>
  <si>
    <t xml:space="preserve">Pilot</t>
  </si>
  <si>
    <t xml:space="preserve">Analyst assumption — replace with quoted tiers</t>
  </si>
  <si>
    <t xml:space="preserve">Launch</t>
  </si>
  <si>
    <t xml:space="preserve">Scale</t>
  </si>
  <si>
    <t xml:space="preserve">3. TCO per model (EUR). 'RFQ' = no price available. 12/36 = months.</t>
  </si>
  <si>
    <t xml:space="preserve">Sourced price (USD)</t>
  </si>
  <si>
    <t xml:space="preserve">Proxy model</t>
  </si>
  <si>
    <t xml:space="preserve">Price used (USD)</t>
  </si>
  <si>
    <t xml:space="preserve">Price basis</t>
  </si>
  <si>
    <t xml:space="preserve">Unit price (EUR, list)</t>
  </si>
  <si>
    <t xml:space="preserve">Warranty used (m)</t>
  </si>
  <si>
    <t xml:space="preserve">Integration one-time (fleet)</t>
  </si>
  <si>
    <t xml:space="preserve">Provisioning / unit</t>
  </si>
  <si>
    <t xml:space="preserve">Gateway expected / device</t>
  </si>
  <si>
    <t xml:space="preserve">Recurring / device / month</t>
  </si>
  <si>
    <t xml:space="preserve">TCO 12m @100</t>
  </si>
  <si>
    <t xml:space="preserve">TCO 36m @100</t>
  </si>
  <si>
    <t xml:space="preserve">TCO 12m @1,000</t>
  </si>
  <si>
    <t xml:space="preserve">TCO 36m @1,000</t>
  </si>
  <si>
    <t xml:space="preserve">TCO 12m @5,000</t>
  </si>
  <si>
    <t xml:space="preserve">TCO 36m @5,000</t>
  </si>
  <si>
    <t xml:space="preserve">Fleet TCO 36m @100</t>
  </si>
  <si>
    <t xml:space="preserve">Fleet TCO 36m @1,000</t>
  </si>
  <si>
    <t xml:space="preserve">Fleet TCO 36m @5,000</t>
  </si>
  <si>
    <t xml:space="preserve">Annual recurring / device</t>
  </si>
  <si>
    <t xml:space="preserve">TCO 36m @ selected fleet</t>
  </si>
  <si>
    <t xml:space="preserve">Status</t>
  </si>
  <si>
    <t xml:space="preserve">Method: TCO(T) = landed unit cost + branding + provisioning + gateway share (BLE) + integration ÷ fleet + monthly recurring × T + expected replacements (failure rate × T/12) — within warranty only shipping is paid, after warranty a new landed unit + provisioning. Landed = price × FX × (1 − volume discount) × (1 + duty) + shipping. Annual recurring excludes hardware.</t>
  </si>
  <si>
    <t xml:space="preserve">REGULATORY &amp; SECURITY</t>
  </si>
  <si>
    <t xml:space="preserve">Product-selection risk view for Portugal / EU — not legal advice. Blue cells are editable inputs; G3 is the regulatory/legal blocker gate.</t>
  </si>
  <si>
    <t xml:space="preserve">1. Per-model assessment</t>
  </si>
  <si>
    <t xml:space="preserve">Health data generated</t>
  </si>
  <si>
    <t xml:space="preserve">Medical / health claims</t>
  </si>
  <si>
    <t xml:space="preserve">Claim-risk level</t>
  </si>
  <si>
    <t xml:space="preserve">MDR certification evidence</t>
  </si>
  <si>
    <t xml:space="preserve">R2 CE / RED evidence</t>
  </si>
  <si>
    <t xml:space="preserve">Data hosting &amp; processing</t>
  </si>
  <si>
    <t xml:space="preserve">R3 Hosting transparency</t>
  </si>
  <si>
    <t xml:space="preserve">Encryption / API security</t>
  </si>
  <si>
    <t xml:space="preserve">R4 Security documentation</t>
  </si>
  <si>
    <t xml:space="preserve">R5 Availability &amp; lifecycle</t>
  </si>
  <si>
    <t xml:space="preserve">Deployment restrictions</t>
  </si>
  <si>
    <t xml:space="preserve">Outstanding questions</t>
  </si>
  <si>
    <t xml:space="preserve">G3 Regulatory gate</t>
  </si>
  <si>
    <t xml:space="preserve">R1 credit</t>
  </si>
  <si>
    <t xml:space="preserve">Regulatory &amp; supplier score (0-100)</t>
  </si>
  <si>
    <t xml:space="preserve">Yes — health data (GDPR Art. 9)</t>
  </si>
  <si>
    <t xml:space="preserve">'Medical-grade' / 'clinical-grade' marketing; non-invasive glucose, lipid, uric-acid estimation [S01]</t>
  </si>
  <si>
    <t xml:space="preserve">None found; Wonlex states its BT ECG line is general wellness [S20]</t>
  </si>
  <si>
    <t xml:space="preserve">On-phone SDK — data can stay within Revii's own stack</t>
  </si>
  <si>
    <t xml:space="preserve">Not documented for BLE link</t>
  </si>
  <si>
    <t xml:space="preserve">None known for EU</t>
  </si>
  <si>
    <t xml:space="preserve">Basis for 'medical-grade'; can glucose/lipid features be disabled in firmware/SDK?</t>
  </si>
  <si>
    <t xml:space="preserve">All regulatory facts unknown — product identity unresolved</t>
  </si>
  <si>
    <t xml:space="preserve">No health or medical claims documented (generic 'health monitoring') [S03]</t>
  </si>
  <si>
    <t xml:space="preserve">Low</t>
  </si>
  <si>
    <t xml:space="preserve">Not applicable as documented (safety/SOS device)</t>
  </si>
  <si>
    <t xml:space="preserve">Own server via TCP or KSCtracker on AWS (region unknown) [S18]</t>
  </si>
  <si>
    <t xml:space="preserve">KSCtracker claims end-to-end encryption; device-link encryption varies [S18,S24]</t>
  </si>
  <si>
    <t xml:space="preserve">None known</t>
  </si>
  <si>
    <t xml:space="preserve">Model-specific RED DoC incl. EN 18031; TCP link encryption; data residency if KSCtracker used</t>
  </si>
  <si>
    <t xml:space="preserve">'Medical-grade sensing'; glucose trend and blood-component estimation [S14,S39]</t>
  </si>
  <si>
    <t xml:space="preserve">None found [S20]</t>
  </si>
  <si>
    <t xml:space="preserve">Disable estimation features; DoC</t>
  </si>
  <si>
    <t xml:space="preserve">Glucose trend and blood-component estimation [S39]</t>
  </si>
  <si>
    <t xml:space="preserve">Disable estimation features; DoC; EU sale permitted?</t>
  </si>
  <si>
    <t xml:space="preserve">'Medical-grade precision'; EDA depression-risk insight [S39]</t>
  </si>
  <si>
    <t xml:space="preserve">Product page not captured</t>
  </si>
  <si>
    <t xml:space="preserve">Mental-health inference is high-risk under MDR/AI Act if surfaced; DoC</t>
  </si>
  <si>
    <t xml:space="preserve">'Medical-grade sensors'; indicative blood glucose [S12,S39]</t>
  </si>
  <si>
    <t xml:space="preserve">Disable glucose estimate; DoC</t>
  </si>
  <si>
    <t xml:space="preserve">'Medical-grade'; glucose/lipid/uric-acid trends [S16]</t>
  </si>
  <si>
    <t xml:space="preserve">As VB10</t>
  </si>
  <si>
    <t xml:space="preserve">'Medical' in product name; BP accuracy and glucose estimates are vendor claims [S13]</t>
  </si>
  <si>
    <t xml:space="preserve">BP 'for wellness reference only'; glucose trend &amp; mood stated non-clinical [S11]</t>
  </si>
  <si>
    <t xml:space="preserve">Medium</t>
  </si>
  <si>
    <t xml:space="preserve">KSCtracker on AWS (region unknown) or own server [S18]</t>
  </si>
  <si>
    <t xml:space="preserve">KSCtracker claims end-to-end encryption</t>
  </si>
  <si>
    <t xml:space="preserve">AWS region, DPA, sub-processors; mood inference — do not surface</t>
  </si>
  <si>
    <t xml:space="preserve">HR / temperature range alerts; no medical claims captured [S09]</t>
  </si>
  <si>
    <t xml:space="preserve">Not applicable as documented</t>
  </si>
  <si>
    <t xml:space="preserve">DoC; data hosting</t>
  </si>
  <si>
    <t xml:space="preserve">HR / BP test; no medical claims captured [S08]</t>
  </si>
  <si>
    <t xml:space="preserve">BP method; DoC</t>
  </si>
  <si>
    <t xml:space="preserve">One-touch HR / BP / temperature check; no medical claims captured [S06]</t>
  </si>
  <si>
    <t xml:space="preserve">BP method; DoC; integration data path</t>
  </si>
  <si>
    <t xml:space="preserve">2. Regulatory framework and what it means for the wearable choice</t>
  </si>
  <si>
    <t xml:space="preserve">Instrument</t>
  </si>
  <si>
    <t xml:space="preserve">Implication for Revii</t>
  </si>
  <si>
    <t xml:space="preserve">GDPR — Regulation (EU) 2016/679</t>
  </si>
  <si>
    <t xml:space="preserve">Every candidate produces health data (Art. 9 special category). Revii needs a lawful basis + explicit consent, DPIA, DPA with the device supplier and any platform (e.g., KSCtracker) and Chapter V safeguards if data leaves the EEA.</t>
  </si>
  <si>
    <t xml:space="preserve">S44</t>
  </si>
  <si>
    <t xml:space="preserve">Lei n.º 58/2019 (Portugal) / CNPD</t>
  </si>
  <si>
    <t xml:space="preserve">National execution of the GDPR; CNPD is the supervisory authority for Revii in Portugal.</t>
  </si>
  <si>
    <t xml:space="preserve">S49</t>
  </si>
  <si>
    <t xml:space="preserve">MDR — Regulation (EU) 2017/745</t>
  </si>
  <si>
    <t xml:space="preserve">Qualification turns on Revii's intended purpose. Using ECG/BP/glucose outputs to diagnose or predict disease would make Revii's software (and possibly the device) a medical device. No candidate shows MDR certification. Stay in wellness/early-warning positioning; do not surface diagnostic-style estimates.</t>
  </si>
  <si>
    <t xml:space="preserve">S45</t>
  </si>
  <si>
    <t xml:space="preserve">AI Act — Regulation (EU) 2024/1689</t>
  </si>
  <si>
    <t xml:space="preserve">AI that is (or is a safety component of) an MDR device can be high-risk. Wellness anomaly detection is lower risk, but mood/depression inference (MF40 EDA, HW19 mood) should not be surfaced.</t>
  </si>
  <si>
    <t xml:space="preserve">S47</t>
  </si>
  <si>
    <t xml:space="preserve">RED 2014/53/EU + Delegated Reg. (EU) 2022/30</t>
  </si>
  <si>
    <t xml:space="preserve">All candidates are radio equipment. Since 1 Aug 2025 internet-connected radio devices must meet cybersecurity, privacy and anti-fraud requirements (EN 18031). A model-specific DoC is needed; if Revii brands the device it may carry manufacturer obligations.</t>
  </si>
  <si>
    <t xml:space="preserve">S46</t>
  </si>
  <si>
    <t xml:space="preserve">Cyber Resilience Act — Regulation (EU) 2024/2847</t>
  </si>
  <si>
    <t xml:space="preserve">Products with digital elements: vulnerability reporting from Sep 2026, full application Dec 2027. Requires supplier security-update commitments.</t>
  </si>
  <si>
    <t xml:space="preserve">S48</t>
  </si>
  <si>
    <t xml:space="preserve">CE marking — what it does and does not mean</t>
  </si>
  <si>
    <t xml:space="preserve">CE on a wellness wearable signals RED/EMC/RoHS conformity — not medical validation. 'Medical-grade' marketing without MDR certification is a supplier claim, not a regulatory status.</t>
  </si>
  <si>
    <t xml:space="preserve">S28;S20</t>
  </si>
  <si>
    <t xml:space="preserve">3. Cross-cutting risks</t>
  </si>
  <si>
    <t xml:space="preserve">•  Glucose / lipid / uric-acid 'estimation' (VB10, MF90, MF91, MF91Pro, HW20, HW20Pro, HW19) — unvalidated diagnostic-style output; contractually require it to be disabled and never shown.</t>
  </si>
  <si>
    <t xml:space="preserve">•  No candidate has a model-specific RED DoC on file — required before placing devices on the EU market, especially under a Revii brand.</t>
  </si>
  <si>
    <t xml:space="preserve">•  KSCtracker (Wonlex cloud) on AWS with undisclosed region — if used, assess Chapter V transfer and sign a DPA; prefer pointing devices at Revii's own EU server.</t>
  </si>
  <si>
    <t xml:space="preserve">•  Device-to-server encryption varies across Wonlex firmware (S24) — confirm TLS or equivalent before any pilot with real health data.</t>
  </si>
  <si>
    <t xml:space="preserve">SCORING &amp; WEIGHTS — central, editable framework</t>
  </si>
  <si>
    <t xml:space="preserve">Change any blue cell and every score, rank and recommendation recalculates. Need weights are derived from research on 06 (change them there).</t>
  </si>
  <si>
    <t xml:space="preserve">1. Credits</t>
  </si>
  <si>
    <t xml:space="preserve">Claim risk</t>
  </si>
  <si>
    <t xml:space="preserve">Unknown earns partial credit so that missing evidence is neither treated as a confirmed feature nor as a confirmed absence. Set it to 0 for a strict, evidence-only ranking. The confirmed / potential market-fit range on 06 shows how much each score rests on Unknowns.</t>
  </si>
  <si>
    <t xml:space="preserve">D</t>
  </si>
  <si>
    <t xml:space="preserve">excluded</t>
  </si>
  <si>
    <t xml:space="preserve">2. Thresholds for specification-based attributes</t>
  </si>
  <si>
    <t xml:space="preserve">Attribute</t>
  </si>
  <si>
    <t xml:space="preserve">Threshold</t>
  </si>
  <si>
    <t xml:space="preserve">Unit / basis</t>
  </si>
  <si>
    <t xml:space="preserve">Battery life — full credit at or above</t>
  </si>
  <si>
    <t xml:space="preserve">days; research: 'passive, no maintenance'</t>
  </si>
  <si>
    <t xml:space="preserve">Battery figures graded X (contradictory sources) receive Conditional credit regardless of the number.</t>
  </si>
  <si>
    <t xml:space="preserve">Battery life — partial credit at or above</t>
  </si>
  <si>
    <t xml:space="preserve">days</t>
  </si>
  <si>
    <t xml:space="preserve">Battery life — below partial threshold</t>
  </si>
  <si>
    <t xml:space="preserve">Weight — full credit at or below</t>
  </si>
  <si>
    <t xml:space="preserve">grams</t>
  </si>
  <si>
    <t xml:space="preserve">Weight — partial credit at or below</t>
  </si>
  <si>
    <t xml:space="preserve">Weight — above partial threshold</t>
  </si>
  <si>
    <t xml:space="preserve">3. Dimension weights (baseline) and confidence rules</t>
  </si>
  <si>
    <t xml:space="preserve">Dimension</t>
  </si>
  <si>
    <t xml:space="preserve">Confidence rule</t>
  </si>
  <si>
    <t xml:space="preserve">A Market fit</t>
  </si>
  <si>
    <t xml:space="preserve">Research-derived internally (06); largest share because customer value is the objective</t>
  </si>
  <si>
    <t xml:space="preserve">Data completeness for Medium</t>
  </si>
  <si>
    <t xml:space="preserve">B Functional capability</t>
  </si>
  <si>
    <t xml:space="preserve">Strategic assumption — technical depth</t>
  </si>
  <si>
    <t xml:space="preserve">Data completeness for High</t>
  </si>
  <si>
    <t xml:space="preserve">C Integration &amp; operations</t>
  </si>
  <si>
    <t xml:space="preserve">Strategic assumption — data access is mandatory (also gated)</t>
  </si>
  <si>
    <t xml:space="preserve">Evidence quality for Medium</t>
  </si>
  <si>
    <t xml:space="preserve">D Commercial attractiveness</t>
  </si>
  <si>
    <t xml:space="preserve">Research: price is a secondary decision driver (Q36)</t>
  </si>
  <si>
    <t xml:space="preserve">Evidence quality for High</t>
  </si>
  <si>
    <t xml:space="preserve">E Regulatory &amp; supplier readiness</t>
  </si>
  <si>
    <t xml:space="preserve">Strategic assumption — blockers are gated separately</t>
  </si>
  <si>
    <t xml:space="preserve">Supplier-verified share for High</t>
  </si>
  <si>
    <t xml:space="preserve">4. Functional criteria weights (dimension B) — statuses on 03</t>
  </si>
  <si>
    <t xml:space="preserve">Criterion</t>
  </si>
  <si>
    <t xml:space="preserve">Rationale</t>
  </si>
  <si>
    <t xml:space="preserve">T1</t>
  </si>
  <si>
    <t xml:space="preserve">Automatic / continuous physiological sampling</t>
  </si>
  <si>
    <t xml:space="preserve">Passive monitoring addresses symptom minimisation (53% of caregivers)</t>
  </si>
  <si>
    <t xml:space="preserve">ECG waveform at &gt;=250 Hz documented</t>
  </si>
  <si>
    <t xml:space="preserve">Clinical-bridge depth</t>
  </si>
  <si>
    <t xml:space="preserve">Fall-detection method (Y = multi-sensor documented; C = method unspecified)</t>
  </si>
  <si>
    <t xml:space="preserve">Top research need</t>
  </si>
  <si>
    <t xml:space="preserve">Multi-mode positioning (GNSS + Wi-Fi/LBS)</t>
  </si>
  <si>
    <t xml:space="preserve">Indoor + outdoor location of an incident</t>
  </si>
  <si>
    <t xml:space="preserve">Offline storage / store-and-forward</t>
  </si>
  <si>
    <t xml:space="preserve">Data survives connectivity gaps</t>
  </si>
  <si>
    <t xml:space="preserve">Blood-pressure method (Y = oscillometric cuff; C = estimate)</t>
  </si>
  <si>
    <t xml:space="preserve">Clinical value of BP depends on method</t>
  </si>
  <si>
    <t xml:space="preserve">LTE bands cover PT/ES operators (B3, B7, B20)</t>
  </si>
  <si>
    <t xml:space="preserve">Deployability in Iberia (NA for BLE)</t>
  </si>
  <si>
    <t xml:space="preserve">5. Integration criteria weights (dimension C) — statuses on 04</t>
  </si>
  <si>
    <t xml:space="preserve">I1</t>
  </si>
  <si>
    <t xml:space="preserve">Model-specific integration mechanism documented</t>
  </si>
  <si>
    <t xml:space="preserve">Strategic assumption</t>
  </si>
  <si>
    <t xml:space="preserve">I2</t>
  </si>
  <si>
    <t xml:space="preserve">Interface documentation obtainable (public or on request)</t>
  </si>
  <si>
    <t xml:space="preserve">I3</t>
  </si>
  <si>
    <t xml:space="preserve">Safety events (fall / SOS) exposed via integration</t>
  </si>
  <si>
    <t xml:space="preserve">I4</t>
  </si>
  <si>
    <t xml:space="preserve">Physiological data exposed via integration</t>
  </si>
  <si>
    <t xml:space="preserve">I5</t>
  </si>
  <si>
    <t xml:space="preserve">Raw data available (not only processed values)</t>
  </si>
  <si>
    <t xml:space="preserve">I6</t>
  </si>
  <si>
    <t xml:space="preserve">Data path independent of the senior's smartphone</t>
  </si>
  <si>
    <t xml:space="preserve">I7</t>
  </si>
  <si>
    <t xml:space="preserve">Commercial / licensing terms for Revii's use clear</t>
  </si>
  <si>
    <t xml:space="preserve">I8</t>
  </si>
  <si>
    <t xml:space="preserve">Revii can host the data (no mandatory vendor cloud)</t>
  </si>
  <si>
    <t xml:space="preserve">I9</t>
  </si>
  <si>
    <t xml:space="preserve">Near-real-time event delivery</t>
  </si>
  <si>
    <t xml:space="preserve">6. Commercial criteria weights (dimension D) — credits on 07</t>
  </si>
  <si>
    <t xml:space="preserve">36-month TCO competitiveness (selected fleet)</t>
  </si>
  <si>
    <t xml:space="preserve">Price evidence quality</t>
  </si>
  <si>
    <t xml:space="preserve">MOQ fit for a pilot</t>
  </si>
  <si>
    <t xml:space="preserve">OEM / white-label availability</t>
  </si>
  <si>
    <t xml:space="preserve">Warranty</t>
  </si>
  <si>
    <t xml:space="preserve">C6</t>
  </si>
  <si>
    <t xml:space="preserve">EU availability &amp; lead time</t>
  </si>
  <si>
    <t xml:space="preserve">7. Regulatory &amp; supplier criteria weights (dimension E) — inputs on 09</t>
  </si>
  <si>
    <t xml:space="preserve">Medical-claim exposure (lower = better)</t>
  </si>
  <si>
    <t xml:space="preserve">CE / RED conformity evidence for the model</t>
  </si>
  <si>
    <t xml:space="preserve">Data hosting &amp; transfer transparency</t>
  </si>
  <si>
    <t xml:space="preserve">R4</t>
  </si>
  <si>
    <t xml:space="preserve">Security documentation (EN 18031 / testing)</t>
  </si>
  <si>
    <t xml:space="preserve">R5</t>
  </si>
  <si>
    <t xml:space="preserve">Product availability &amp; lifecycle</t>
  </si>
  <si>
    <t xml:space="preserve">8. Research-derived need weights (live from 06 — edit the research parameters there)</t>
  </si>
  <si>
    <t xml:space="preserve">9. Score matrix (0-100), confidence and mandatory gates</t>
  </si>
  <si>
    <t xml:space="preserve">G1 Integration: Verified feasible = Pass · Conditional = Conditional · Not verified = Pending · Not feasible = Fail.   G2 Commercial deployability and G3 Regulatory blocker are inputs on 07 and 09.   Eligibility: any Fail → Ineligible; all Pass → Eligible; any Pending → Pending verification; otherwise Conditionally eligible.</t>
  </si>
  <si>
    <t xml:space="preserve">B Functional</t>
  </si>
  <si>
    <t xml:space="preserve">C Integration</t>
  </si>
  <si>
    <t xml:space="preserve">D Commercial</t>
  </si>
  <si>
    <t xml:space="preserve">E Regulatory &amp; supplier</t>
  </si>
  <si>
    <t xml:space="preserve">Overall score</t>
  </si>
  <si>
    <t xml:space="preserve">Market fit — potential</t>
  </si>
  <si>
    <t xml:space="preserve">Data completeness</t>
  </si>
  <si>
    <t xml:space="preserve">Evidence quality</t>
  </si>
  <si>
    <t xml:space="preserve">Supplier-verified share</t>
  </si>
  <si>
    <t xml:space="preserve">G1 Integration</t>
  </si>
  <si>
    <t xml:space="preserve">G2 Commercial</t>
  </si>
  <si>
    <t xml:space="preserve">G3 Regulatory</t>
  </si>
  <si>
    <t xml:space="preserve">RANKING &amp; SHORTLIST</t>
  </si>
  <si>
    <t xml:space="preserve">Confirmed ranking = Eligible models only (all three gates passed). Provisional ranking = models still awaiting verification. Never read one as the other.</t>
  </si>
  <si>
    <t xml:space="preserve">Merge 'Pending verification' models into the provisional ranking (0 = keep them separate in table 4 — recommended; 1 = merge)</t>
  </si>
  <si>
    <t xml:space="preserve">1. All scored models</t>
  </si>
  <si>
    <t xml:space="preserve">E Regulatory</t>
  </si>
  <si>
    <t xml:space="preserve">TCO 36m / device @ selected fleet (EUR)</t>
  </si>
  <si>
    <t xml:space="preserve">Sort key</t>
  </si>
  <si>
    <t xml:space="preserve">Confirmed pool</t>
  </si>
  <si>
    <t xml:space="preserve">Provisional pool</t>
  </si>
  <si>
    <t xml:space="preserve">Rank (all)</t>
  </si>
  <si>
    <t xml:space="preserve">Rank — confirmed</t>
  </si>
  <si>
    <t xml:space="preserve">Rank — provisional</t>
  </si>
  <si>
    <t xml:space="preserve">Score per EUR 100 of TCO</t>
  </si>
  <si>
    <t xml:space="preserve">Pending pool</t>
  </si>
  <si>
    <t xml:space="preserve">Rank — pending</t>
  </si>
  <si>
    <t xml:space="preserve">2. CONFIRMED RANKING — eligible models only (all mandatory gates passed)</t>
  </si>
  <si>
    <t xml:space="preserve">TCO 36m / device</t>
  </si>
  <si>
    <t xml:space="preserve">3. PROVISIONAL RANKING — conditionally eligible models (integration evidence exists but is not yet verified)</t>
  </si>
  <si>
    <t xml:space="preserve">4. PENDING VERIFICATION — scored for reference only (no model-specific integration evidence yet)</t>
  </si>
  <si>
    <t xml:space="preserve">Reading guide: the overall score weighs five dimensions (10). Market fit uses research-derived weights (06). Eligibility is evidence-based and does not move when weights change. A provisional rank is a shortlist for supplier verification, not a purchase recommendation.</t>
  </si>
  <si>
    <t xml:space="preserve">5. All models by overall score, status in the label (feeds the dashboard chart; not a ranking of eligible models)</t>
  </si>
  <si>
    <t xml:space="preserve">Model · status</t>
  </si>
  <si>
    <t xml:space="preserve">MODEL TRADE-OFF ANALYSIS</t>
  </si>
  <si>
    <t xml:space="preserve">Pick two or three models. 'Unknown — verify' is never counted as a loss. ◆ marks a gain or loss on a feature the research rates highly.</t>
  </si>
  <si>
    <t xml:space="preserve">Model A (reference)</t>
  </si>
  <si>
    <t xml:space="preserve">← choose from the dropdowns</t>
  </si>
  <si>
    <t xml:space="preserve">Highlight threshold — research importance of a feature</t>
  </si>
  <si>
    <t xml:space="preserve">Model B</t>
  </si>
  <si>
    <t xml:space="preserve">Model C (optional)</t>
  </si>
  <si>
    <t xml:space="preserve">1. Scores (0-100)</t>
  </si>
  <si>
    <t xml:space="preserve">B − A</t>
  </si>
  <si>
    <t xml:space="preserve">C − A</t>
  </si>
  <si>
    <t xml:space="preserve">2. Key facts</t>
  </si>
  <si>
    <t xml:space="preserve">Fact</t>
  </si>
  <si>
    <t xml:space="preserve">B vs A</t>
  </si>
  <si>
    <t xml:space="preserve">C vs A</t>
  </si>
  <si>
    <t xml:space="preserve">Battery life — typical, lower bound (days)</t>
  </si>
  <si>
    <t xml:space="preserve">API / SDK route</t>
  </si>
  <si>
    <t xml:space="preserve">3. Customer needs — which needs are better or worse addressed (need score 0-1)</t>
  </si>
  <si>
    <t xml:space="preserve">4. Feature by feature — ordered by baseline research importance (importance column is live)</t>
  </si>
  <si>
    <t xml:space="preserve">Research importance</t>
  </si>
  <si>
    <t xml:space="preserve">High-impact trade-off?</t>
  </si>
  <si>
    <t xml:space="preserve">5. Data Revii can access (04 §3) — Unknown is not a loss</t>
  </si>
  <si>
    <t xml:space="preserve">Data item</t>
  </si>
  <si>
    <t xml:space="preserve">D01</t>
  </si>
  <si>
    <t xml:space="preserve">D02</t>
  </si>
  <si>
    <t xml:space="preserve">D03</t>
  </si>
  <si>
    <t xml:space="preserve">D04</t>
  </si>
  <si>
    <t xml:space="preserve">D05</t>
  </si>
  <si>
    <t xml:space="preserve">D06</t>
  </si>
  <si>
    <t xml:space="preserve">D07</t>
  </si>
  <si>
    <t xml:space="preserve">D08</t>
  </si>
  <si>
    <t xml:space="preserve">D09</t>
  </si>
  <si>
    <t xml:space="preserve">D10</t>
  </si>
  <si>
    <t xml:space="preserve">D11</t>
  </si>
  <si>
    <t xml:space="preserve">D12</t>
  </si>
  <si>
    <t xml:space="preserve">6. Readable summary</t>
  </si>
  <si>
    <t xml:space="preserve">Measure</t>
  </si>
  <si>
    <t xml:space="preserve">Capabilities gained (B vs A)</t>
  </si>
  <si>
    <t xml:space="preserve">Capabilities lost (B vs A)</t>
  </si>
  <si>
    <t xml:space="preserve">Differences resting on unknown evidence — verify</t>
  </si>
  <si>
    <t xml:space="preserve">Research weight gained</t>
  </si>
  <si>
    <t xml:space="preserve">Research weight lost</t>
  </si>
  <si>
    <t xml:space="preserve">7. Mandatory comparisons — VB10 · CT29 · CT34 (fixed, always shown)</t>
  </si>
  <si>
    <t xml:space="preserve">VB10 → CT29</t>
  </si>
  <si>
    <t xml:space="preserve">VB10 → CT34</t>
  </si>
  <si>
    <t xml:space="preserve">CT29 → CT34</t>
  </si>
  <si>
    <t xml:space="preserve">Integration score</t>
  </si>
  <si>
    <t xml:space="preserve">Battery life (days)</t>
  </si>
  <si>
    <t xml:space="preserve">N1 Automatic fall / incident detection (need score)</t>
  </si>
  <si>
    <t xml:space="preserve">N2 Summoning help &amp; being reached (need score)</t>
  </si>
  <si>
    <t xml:space="preserve">N3 Early detection of physical &amp; cognitive decline (need score)</t>
  </si>
  <si>
    <t xml:space="preserve">N4 Ease of use &amp; low burden for the senior (need score)</t>
  </si>
  <si>
    <t xml:space="preserve">N5 Privacy &amp; non-intrusiveness (need score)</t>
  </si>
  <si>
    <t xml:space="preserve">N6 Clinical data for the doctor (need score)</t>
  </si>
  <si>
    <t xml:space="preserve">N7 Activity &amp; sedentary behaviour (need score)</t>
  </si>
  <si>
    <t xml:space="preserve">N8 Medication adherence (need score)</t>
  </si>
  <si>
    <t xml:space="preserve">N9 Location &amp; wandering (need score)</t>
  </si>
  <si>
    <t xml:space="preserve">Revii access: Fall event</t>
  </si>
  <si>
    <t xml:space="preserve">Revii access: SOS event</t>
  </si>
  <si>
    <t xml:space="preserve">Revii access: Location</t>
  </si>
  <si>
    <t xml:space="preserve">Revii access: Heart rate</t>
  </si>
  <si>
    <t xml:space="preserve">Revii access: HRV</t>
  </si>
  <si>
    <t xml:space="preserve">Revii access: ECG raw waveform</t>
  </si>
  <si>
    <t xml:space="preserve">Revii access: SpO2</t>
  </si>
  <si>
    <t xml:space="preserve">What you gain and lose — analyst reading of the mandatory pairs at baseline (27 Oct 2026; static text)</t>
  </si>
  <si>
    <t xml:space="preserve">Likely gain: 4G without a phone and fall detection (both stated only in CT29's product name). Everything else about CT29 is unknown — the supplied URL shows the S10 kids watch. Cannot be decided until the CT29 datasheet arrives.</t>
  </si>
  <si>
    <t xml:space="preserve">Gain: documented automatic fall detection, SOS call, GNSS + Wi-Fi + LBS location, standalone 4G (no phone, no gateway), a TCP integration route and low medical-claim exposure. Lose (or rather: cannot yet confirm): ECG, HRV, SpO2, sleep, temperature and activity — all Unknown on CT34. Battery drops from ~10 to 3-5 days; recurring cost rises (SIM). Choose CT34 for safety, VB10 for wellbeing.</t>
  </si>
  <si>
    <t xml:space="preserve">CT34 documents every safety capability CT29 only claims by name, plus IP67, battery, LTE bands and integration. CT29 would only be preferable if its datasheet shows health sensing that CT34 lacks — that is the question to put to Wonlex.</t>
  </si>
  <si>
    <t xml:space="preserve">SENSITIVITY &amp; SCENARIOS</t>
  </si>
  <si>
    <t xml:space="preserve">Each scenario re-weights needs (multipliers on the research weights) and/or dimensions. Eligibility does not change with weights — it is evidence-based.</t>
  </si>
  <si>
    <t xml:space="preserve">1. Scenario definitions (blue = editable). Need multipliers apply to the research-derived weights; dimension weights default to the baseline on 10.</t>
  </si>
  <si>
    <t xml:space="preserve">Scenario</t>
  </si>
  <si>
    <t xml:space="preserve">Description</t>
  </si>
  <si>
    <t xml:space="preserve">N1 ×</t>
  </si>
  <si>
    <t xml:space="preserve">N2 ×</t>
  </si>
  <si>
    <t xml:space="preserve">N3 ×</t>
  </si>
  <si>
    <t xml:space="preserve">N4 ×</t>
  </si>
  <si>
    <t xml:space="preserve">N5 ×</t>
  </si>
  <si>
    <t xml:space="preserve">N6 ×</t>
  </si>
  <si>
    <t xml:space="preserve">N7 ×</t>
  </si>
  <si>
    <t xml:space="preserve">N8 ×</t>
  </si>
  <si>
    <t xml:space="preserve">N9 ×</t>
  </si>
  <si>
    <t xml:space="preserve">S1</t>
  </si>
  <si>
    <t xml:space="preserve">Market-research baseline</t>
  </si>
  <si>
    <t xml:space="preserve">Research-derived need weights; baseline dimension weights</t>
  </si>
  <si>
    <t xml:space="preserve">S2</t>
  </si>
  <si>
    <t xml:space="preserve">Safety-first</t>
  </si>
  <si>
    <t xml:space="preserve">Fall detection and summoning help doubled; location up</t>
  </si>
  <si>
    <t xml:space="preserve">S3</t>
  </si>
  <si>
    <t xml:space="preserve">Wellbeing monitoring</t>
  </si>
  <si>
    <t xml:space="preserve">Early decline, clinical data and activity emphasised</t>
  </si>
  <si>
    <t xml:space="preserve">S4</t>
  </si>
  <si>
    <t xml:space="preserve">Ease-of-use</t>
  </si>
  <si>
    <t xml:space="preserve">Simplicity and low burden doubled; privacy up</t>
  </si>
  <si>
    <t xml:space="preserve">S5</t>
  </si>
  <si>
    <t xml:space="preserve">Cost-efficiency</t>
  </si>
  <si>
    <t xml:space="preserve">Commercial dimension raised to 30%</t>
  </si>
  <si>
    <t xml:space="preserve">S6</t>
  </si>
  <si>
    <t xml:space="preserve">Segment: independent / stable seniors</t>
  </si>
  <si>
    <t xml:space="preserve">Prevention focus: ease, privacy, activity (qualitative pattern A1-A5, B2, B10)</t>
  </si>
  <si>
    <t xml:space="preserve">S7</t>
  </si>
  <si>
    <t xml:space="preserve">Segment: vulnerable / higher dependency</t>
  </si>
  <si>
    <t xml:space="preserve">Emergency, clinical data, medication (qualitative pattern B11, B12, B14, C5)</t>
  </si>
  <si>
    <t xml:space="preserve">2. Effective need weights per scenario (normalised to 100%)</t>
  </si>
  <si>
    <t xml:space="preserve">Baseline research weight (06) →</t>
  </si>
  <si>
    <t xml:space="preserve">3. Market fit by scenario (0-100)</t>
  </si>
  <si>
    <t xml:space="preserve">4. Overall score by scenario (0-100)</t>
  </si>
  <si>
    <t xml:space="preserve">5. Rank by scenario within the ranking pool (eligible + provisional, as set on 11!J4; 1 = best)</t>
  </si>
  <si>
    <t xml:space="preserve">In pool</t>
  </si>
  <si>
    <t xml:space="preserve">6. Scenario summary — does the preferred model change?</t>
  </si>
  <si>
    <t xml:space="preserve">Top overall</t>
  </si>
  <si>
    <t xml:space="preserve">Top model eligibility</t>
  </si>
  <si>
    <t xml:space="preserve">Baseline #1</t>
  </si>
  <si>
    <t xml:space="preserve">Baseline #1 rank here</t>
  </si>
  <si>
    <t xml:space="preserve">Preferred model changes?</t>
  </si>
  <si>
    <t xml:space="preserve">7. Rank change versus baseline (positive = falls, negative = rises)</t>
  </si>
  <si>
    <t xml:space="preserve">SOURCE REGISTER</t>
  </si>
  <si>
    <t xml:space="preserve">Every source used in the benchmark. Source IDs are referenced throughout the workbook (cell notes on 03/04, evidence table on 03).</t>
  </si>
  <si>
    <t xml:space="preserve">Access method note:</t>
  </si>
  <si>
    <t xml:space="preserve">Direct page retrieval was blocked by the research environment's network policy (HTTP 403 on CONNECT). Web content was obtained through search-engine extraction of indexed pages on 2026-10-27. Consequently no web claim is graded A (verified) — supplier confirmation is required.</t>
  </si>
  <si>
    <t xml:space="preserve">Verified — supplier-confirmed in writing, or official model-specific documentation retrieved, or independent test</t>
  </si>
  <si>
    <t xml:space="preserve">Strongly supported — manufacturer's own model page/spec sheet, official regulatory text, or a provided input file</t>
  </si>
  <si>
    <t xml:space="preserve">Indicative — marketplace/distributor listing, manufacturer blog/category page, product-name-only mention, or inference from documented specs</t>
  </si>
  <si>
    <t xml:space="preserve">Unverified — third-party summary, forum report, or analyst assumption</t>
  </si>
  <si>
    <t xml:space="preserve">Contradicted — sources conflict; the adopted interpretation is stated</t>
  </si>
  <si>
    <t xml:space="preserve">Source ID</t>
  </si>
  <si>
    <t xml:space="preserve">Feature / claim</t>
  </si>
  <si>
    <t xml:space="preserve">URL / location</t>
  </si>
  <si>
    <t xml:space="preserve">Source type</t>
  </si>
  <si>
    <t xml:space="preserve">Access method</t>
  </si>
  <si>
    <t xml:space="preserve">Access date</t>
  </si>
  <si>
    <t xml:space="preserve">Contradictions</t>
  </si>
  <si>
    <t xml:space="preserve">Full spec: nRF54L15, TI4950 AFE, BLE 6.0, 265 mAh, ECG 500 Hz, PPG 50 Hz, 4-ch optical HR/SpO2/stress, skin temp, sleep stages, 6-axis activity, HRV, IP68, magnetic pin dock, Gband Companion App, Android 8+/iOS 13+, developer SDK link to github.com/HBandSDK; non-invasive glucose/lipid/uric-acid claims; aimed at medical platforms, research, enterprise integration</t>
  </si>
  <si>
    <t xml:space="preserve">Manufacturer product page</t>
  </si>
  <si>
    <t xml:space="preserve">Search-index extraction (direct page retrieval blocked)</t>
  </si>
  <si>
    <t xml:space="preserve">2026-10-27</t>
  </si>
  <si>
    <t xml:space="preserve">Spec table dated May 2026. Size &amp; weight section not captured.</t>
  </si>
  <si>
    <t xml:space="preserve">Battery: spec table 'Active up to 10 days / Standby 30+ days' vs intro text '10 days standby'.</t>
  </si>
  <si>
    <t xml:space="preserve">S02</t>
  </si>
  <si>
    <t xml:space="preserve">S10 (URL supplied for CT29)</t>
  </si>
  <si>
    <t xml:space="preserve">Page content is the S10 4G CAT1 KIDS smartwatch: 1.4"/1.47" touch screen, GPS+AGPS+LBS+Wi-Fi, two-way calling, SOS, G-sensor, steps, sleep, 300 mAh, 2-4 days standby, IP67, LTE B1/B2/B3/B5/B7/B8/B20 + TDD B38-41</t>
  </si>
  <si>
    <t xml:space="preserve">URL supplied in the brief for CT29 resolves to the S10 kids watch in the search index. S10 specifications are NOT used for CT29.</t>
  </si>
  <si>
    <t xml:space="preserve">Same page lists two screen sizes (1.4" 240x240 and 1.47" 320x172).</t>
  </si>
  <si>
    <t xml:space="preserve">Screenless 4G Cat1 band; auto fall detection; one-touch/long-press SOS call; GPS+LBS+Wi-Fi (5-15 m outdoor); ASR3603S RTOS; GSM + LTE B1/B2/B3/B5/B7/B8/B20; 530 mAh Li-Po, 3-5 days continuous use; IP67; supports TCP protocol integration with care/backend platforms</t>
  </si>
  <si>
    <t xml:space="preserve">Heart-rate sensor not confirmed (page says only 'health monitoring'). Mic/speaker, geofence, SIM size, weight not captured.</t>
  </si>
  <si>
    <t xml:space="preserve">Site shows USD 17 / 20 figures without clear basis; Alibaba lists USD 27.</t>
  </si>
  <si>
    <t xml:space="preserve">CT29 (name only)</t>
  </si>
  <si>
    <t xml:space="preserve">Senior watch category lists '4G Health Monitoring Bracelet with Fall Detection CT29'; no dedicated spec page found</t>
  </si>
  <si>
    <t xml:space="preserve">https://www.iwonlex.net/whole-products/senior-gps-watch/</t>
  </si>
  <si>
    <t xml:space="preserve">Manufacturer category page</t>
  </si>
  <si>
    <t xml:space="preserve">Only the product name confirms 4G and fall detection. Category text claims 4G senior line offers location, calling, fall detection, SOS — not model-specific.</t>
  </si>
  <si>
    <t xml:space="preserve">S05</t>
  </si>
  <si>
    <t xml:space="preserve">4G senior watch line</t>
  </si>
  <si>
    <t xml:space="preserve">Category-level claims: location tracking, two-way calling, fall detection, SOS, HR/BP/SpO2 across 4G senior watches</t>
  </si>
  <si>
    <t xml:space="preserve">https://www.iwonlex.net/whole-products/senior-gps-watch/4g-gps-senior-watch/</t>
  </si>
  <si>
    <t xml:space="preserve">Not model-specific; used only as context, never as model evidence.</t>
  </si>
  <si>
    <t xml:space="preserve">ASR3603C RTOS; HR, BP, SpO2, body temperature; GPS/Wi-Fi/AGPS/LBS; 4G FDD-LTE; 950 mAh; green one-touch health-check button, red SOS/distress-call button; screenless</t>
  </si>
  <si>
    <t xml:space="preserve">https://www.iwonlex.net/products/ct31-4g-senior-smart-band-with-one-touch-health-check-sos/</t>
  </si>
  <si>
    <t xml:space="preserve">Fall detection not mentioned on the manufacturer page.</t>
  </si>
  <si>
    <t xml:space="preserve">An Alibaba listing title claims fall detection; manufacturer page silent (recorded as Unknown).</t>
  </si>
  <si>
    <t xml:space="preserve">IP67 water &amp; dust; net weight 40 g; 40.5 x 50 x 14.6 mm; 950 mAh magnetic charging; single Micro SIM; positioned for telecare providers, care facilities and healthcare technology integrators</t>
  </si>
  <si>
    <t xml:space="preserve">Typo '950 mHA' on page.</t>
  </si>
  <si>
    <t xml:space="preserve">4G GPS senior band: GPS tracking, HR and BP test, SOS emergency calling, Wi-Fi; steps/distance/calories/sports modes; ASR3603S; Nano SIM; Wi-Fi+GPS+LBS; 700 mAh magnetic USB charging</t>
  </si>
  <si>
    <t xml:space="preserve">URL slug belongs to the legacy S8 kids watch — evidence that Wonlex re-uses slugs for new senior products. Spec list truncated before waterproof line.</t>
  </si>
  <si>
    <t xml:space="preserve">Alibaba CT30 Pro lists 650 mAh (different model).</t>
  </si>
  <si>
    <t xml:space="preserve">4G GPS senior watch; 1.85" IPS 240x280; hard fall triggers automatic SOS with location; HR and body-temperature alerts outside preset ranges; IP67; 680 mAh; magnetic charging</t>
  </si>
  <si>
    <t xml:space="preserve">Wonlex blog gives 650 mAh / up to 4 days standby vs product page 680 mAh.</t>
  </si>
  <si>
    <t xml:space="preserve">1.69" touch screen, ASR3603S, IP67, 680 mAh, SOS, HR, BP, sleep, GPS/LBS/Wi-Fi; no fall detection mentioned</t>
  </si>
  <si>
    <t xml:space="preserve">https://www.iwonlex.net/products/wonlex-4g-senior-smartwatch-ct10t-changable-strap-gps-sos-heart-rate-blood-pressure/</t>
  </si>
  <si>
    <t xml:space="preserve">Screened out (see Model Master List).</t>
  </si>
  <si>
    <t xml:space="preserve">Alibaba lists IP65 and different screen.</t>
  </si>
  <si>
    <t xml:space="preserve">4G LTE, 1.96" AMOLED, Nano SIM, standalone 4G calling (mic+speaker), BT 5.3; GPS/BDS/GLONASS/Wi-Fi/LBS via KSCtracker; dedicated SOS; fall detection = motion + barometric + height-change logic; HR, SpO2, HRV, sleep, estimated BP (wellness reference only); 800 mAh magnetic charging</t>
  </si>
  <si>
    <t xml:space="preserve">No runtime or IP rating captured. Glucose-trend and mood features stated as non-clinical.</t>
  </si>
  <si>
    <t xml:space="preserve">4G watch with oscillometric air-pump BP; continuous HR &amp; SpO2; indicative blood glucose; sleep; GPS+BeiDou+Wi-Fi; one-touch SOS; two-way calling; 1.78" 368x448; BT 5.0; G-sensor; magnetic charging; LTE B1/B3/B7/B8/B20/B28A</t>
  </si>
  <si>
    <t xml:space="preserve">Battery capacity not stated on page. Fall detection only in a promotional blog post.</t>
  </si>
  <si>
    <t xml:space="preserve">Standalone 4G with BLE co-processor for power saving; air-pump BP (airbag in strap); hold-to-call SOS; built-in sensors detect sudden falls and alert family</t>
  </si>
  <si>
    <t xml:space="preserve">BLE 5.3 screenless band; ECG 500 Hz (real waveform + AI interpretation); PPG GH3228T; 24 h HR; HRV; SpO2; sleep; body temp; BP estimation; stress; medication reminder; remote family view; blood component &amp; glucose estimation; 180 mAh, 7-15 days typical / 30+ days standby; IP68; magnetic charging; 42.3 x 27.4 x 8.0 mm</t>
  </si>
  <si>
    <t xml:space="preserve">Weight not captured.</t>
  </si>
  <si>
    <t xml:space="preserve">JL7013A, BLE 5.3, 125 mAh, 7-15 days typical / 30+ days standby, 28 g, 39 x 29 x 10 mm, IP68, magnetic charging, SpO2, HRV, sleep, stress, NFC, 120+ sports modes; 'FOR OFFLINE SALE ONLY - NOT FOR USA'</t>
  </si>
  <si>
    <t xml:space="preserve">Current base-model spec list does not show an ECG sensor.</t>
  </si>
  <si>
    <t xml:space="preserve">CONFLICT: historical screenshot (S39) of the MF91 page lists 'ECG Heart Health Analysis'. ECG recorded as Unknown/X.</t>
  </si>
  <si>
    <t xml:space="preserve">Medical-grade marketed band: Nordic nRF54L15 + TI4950 AFE, BLE 6.0, 265 mAh, 10 days standby, ECG 500 Hz, HRV; glucose/lipid/uric-acid trend claims</t>
  </si>
  <si>
    <t xml:space="preserve">Hardware platform appears identical to VB10.</t>
  </si>
  <si>
    <t xml:space="preserve">Murata piezo air-pump BP; dual ECG (TI4950) + PPG; AMOLED; BT 5.3; IP66; two-year warranty</t>
  </si>
  <si>
    <t xml:space="preserve">Manufacturer blog article</t>
  </si>
  <si>
    <t xml:space="preserve">Battery capacity not found.</t>
  </si>
  <si>
    <t xml:space="preserve">Two Wonlex articles disagree on display size/resolution.</t>
  </si>
  <si>
    <t xml:space="preserve">S18</t>
  </si>
  <si>
    <t xml:space="preserve">KSCtracker (platform)</t>
  </si>
  <si>
    <t xml:space="preserve">Wonlex health &amp; safety tracking platform for its 4G wearables (SOS, fall detection, PPG/ECG); integrate with your own servers or use hosted KSCtracker cloud; hosted on AWS; claims end-to-end encryption of health/location data</t>
  </si>
  <si>
    <t xml:space="preserve">https://www.iwonlex.net/smart-bracelet-solution/ksctracker/</t>
  </si>
  <si>
    <t xml:space="preserve">Manufacturer solution page</t>
  </si>
  <si>
    <t xml:space="preserve">AWS region, DPA availability and API reference not stated.</t>
  </si>
  <si>
    <t xml:space="preserve">S19</t>
  </si>
  <si>
    <t xml:space="preserve">H Band solution (BLE line)</t>
  </si>
  <si>
    <t xml:space="preserve">Bluetooth ECG health watch solution powered by H Band; SDK/API for data integration offered on request</t>
  </si>
  <si>
    <t xml:space="preserve">https://www.iwonlex.net/smart-bracelet-solution/h-band/</t>
  </si>
  <si>
    <t xml:space="preserve">Company/solution-level statement, not model-specific.</t>
  </si>
  <si>
    <t xml:space="preserve">S20</t>
  </si>
  <si>
    <t xml:space="preserve">BT ECG watch line</t>
  </si>
  <si>
    <t xml:space="preserve">Wonlex states its international Bluetooth ECG watches are classified as general wellness products, not medical devices</t>
  </si>
  <si>
    <t xml:space="preserve">https://www.iwonlex.net/whole-products/smart-watches/ecg-watch/</t>
  </si>
  <si>
    <t xml:space="preserve">Applies to the BT ECG watch line, not confirmed per model.</t>
  </si>
  <si>
    <t xml:space="preserve">S21</t>
  </si>
  <si>
    <t xml:space="preserve">Veepoo / HBandSDK</t>
  </si>
  <si>
    <t xml:space="preserve">SDK</t>
  </si>
  <si>
    <t xml:space="preserve">HBandSDK Android BLE SDK (Veepoo protocol AARs vpprotocol / vpbluetooth); listeners for ECG (incl. raw ADC data), HRV raw data, HR, BP, SpO2; iOS framework VeepooBleSDK</t>
  </si>
  <si>
    <t xml:space="preserve">https://github.com/HBandSDK/Android_Ble_SDK</t>
  </si>
  <si>
    <t xml:space="preserve">Public code repository (third-party vendor SDK)</t>
  </si>
  <si>
    <t xml:space="preserve">No supported-device list; licence file not captured.</t>
  </si>
  <si>
    <t xml:space="preserve">S22</t>
  </si>
  <si>
    <t xml:space="preserve">SDK summarised as a proprietary toolkit designed exclusively for authorised cooperative customers; targets Veepoo wearable devices</t>
  </si>
  <si>
    <t xml:space="preserve">https://deepwiki.com/HBandSDK/Android_Ble_SDK/8.2-nordic-and-goodix-implementation</t>
  </si>
  <si>
    <t xml:space="preserve">Third-party code summary</t>
  </si>
  <si>
    <t xml:space="preserve">Secondary summary; verify against repository licence.</t>
  </si>
  <si>
    <t xml:space="preserve">S23</t>
  </si>
  <si>
    <t xml:space="preserve">flespi</t>
  </si>
  <si>
    <t xml:space="preserve">Wonlex protocol</t>
  </si>
  <si>
    <t xml:space="preserve">Commercial decoder for the Wonlex device protocol with REST/MQTT output; changelog shows ongoing maintenance</t>
  </si>
  <si>
    <t xml:space="preserve">https://flespi.com/protocols/wonlex</t>
  </si>
  <si>
    <t xml:space="preserve">Third-party integration platform</t>
  </si>
  <si>
    <t xml:space="preserve">Shows the protocol family is decodable; model coverage not confirmed.</t>
  </si>
  <si>
    <t xml:space="preserve">S24</t>
  </si>
  <si>
    <t xml:space="preserve">Traccar forum</t>
  </si>
  <si>
    <t xml:space="preserve">Users report some Wonlex devices ship encrypted; one reports a vendor charging for a decryption key; another reports no vendor answer to protocol questions</t>
  </si>
  <si>
    <t xml:space="preserve">https://www.traccar.org/forums/topic/watch-gps-device-from-wonlex/</t>
  </si>
  <si>
    <t xml:space="preserve">User forum</t>
  </si>
  <si>
    <t xml:space="preserve">Anecdotal; date/model not established.</t>
  </si>
  <si>
    <t xml:space="preserve">S25</t>
  </si>
  <si>
    <t xml:space="preserve">GitHub (community)</t>
  </si>
  <si>
    <t xml:space="preserve">SeTracker/Wonlex protocol</t>
  </si>
  <si>
    <t xml:space="preserve">Go library parsing SeTracker/Wonlex-compatible TCP protocol (position, heartbeat, limited commands); author notes firmware behaviour varies by model</t>
  </si>
  <si>
    <t xml:space="preserve">https://github.com/faraganiev/yaqin-watch-protocol</t>
  </si>
  <si>
    <t xml:space="preserve">Public code repository (community)</t>
  </si>
  <si>
    <t xml:space="preserve">S26</t>
  </si>
  <si>
    <t xml:space="preserve">Company profile</t>
  </si>
  <si>
    <t xml:space="preserve">OEM/ODM manufacturer since 2013; lists SDK and API with access to Wonlex TCP protocol</t>
  </si>
  <si>
    <t xml:space="preserve">https://www.iwonlex.net/images/PDF/company/Wonlex%20Company%20Profile.pdf</t>
  </si>
  <si>
    <t xml:space="preserve">Manufacturer company profile (PDF)</t>
  </si>
  <si>
    <t xml:space="preserve">Details not captured.</t>
  </si>
  <si>
    <t xml:space="preserve">CT34 / CT31 prices</t>
  </si>
  <si>
    <t xml:space="preserve">Alibaba storefront: CT34 USD 27; CT31 USD 24 with MOQ 2 pieces</t>
  </si>
  <si>
    <t xml:space="preserve">https://wonlex.en.alibaba.com/productlist-2.html?filterSimilar=true&amp;isGallery=Y&amp;filter=null</t>
  </si>
  <si>
    <t xml:space="preserve">Marketplace storefront (manufacturer-operated)</t>
  </si>
  <si>
    <t xml:space="preserve">Indicative public price, not a quotation. Currency USD.</t>
  </si>
  <si>
    <t xml:space="preserve">S28</t>
  </si>
  <si>
    <t xml:space="preserve">Certifications</t>
  </si>
  <si>
    <t xml:space="preserve">Alibaba supplier profile lists CE and FCC certificates tied to specific (mainly kids GPS) watches, a DoC covering smart kids' and senior health smartwatches, RoHS, EN 55032, IEC 62368</t>
  </si>
  <si>
    <t xml:space="preserve">https://wonlexsmart.en.alibaba.com/company_profile.html</t>
  </si>
  <si>
    <t xml:space="preserve">Marketplace supplier profile</t>
  </si>
  <si>
    <t xml:space="preserve">No ISO 13485, no RED-specific DoC and no MDR certification found.</t>
  </si>
  <si>
    <t xml:space="preserve">S29</t>
  </si>
  <si>
    <t xml:space="preserve">Commercial terms</t>
  </si>
  <si>
    <t xml:space="preserve">Supplier profile: MOQ 100 pcs standard packaging, MOQ 500 pcs OEM, 30% deposit</t>
  </si>
  <si>
    <t xml:space="preserve">https://manuals.plus/m/6c48f2c3158afb461e9265c54391d5ab5d2693a2eb3fb79dc4dd815ad72d85f8</t>
  </si>
  <si>
    <t xml:space="preserve">Third-party hosted supplier profile</t>
  </si>
  <si>
    <t xml:space="preserve">About one year old; terms may have changed.</t>
  </si>
  <si>
    <t xml:space="preserve">Alibaba listing: 540 mAh, up to 4 days, IP67, 1.96" AMOLED 368x448</t>
  </si>
  <si>
    <t xml:space="preserve">https://www.alibaba.com/product-detail/WONLEX-Newest-Design-HW20Pro-4G-Android_1601585492019.html</t>
  </si>
  <si>
    <t xml:space="preserve">Marketplace listing</t>
  </si>
  <si>
    <t xml:space="preserve">HW20 page shows 1.78" display.</t>
  </si>
  <si>
    <t xml:space="preserve">S31</t>
  </si>
  <si>
    <t xml:space="preserve">Alibaba/marketplace listings describe MF91 family with ECG and 5-day battery / wireless charging</t>
  </si>
  <si>
    <t xml:space="preserve">https://www.alibaba.com/product-detail/WONLEX-Hot-Selling-Smart-Bracket-MF91_1601735145301.html</t>
  </si>
  <si>
    <t xml:space="preserve">Conflicts with manufacturer page (magnetic charging, 7-15 days).</t>
  </si>
  <si>
    <t xml:space="preserve">S32</t>
  </si>
  <si>
    <t xml:space="preserve">S10 (elderly listing)</t>
  </si>
  <si>
    <t xml:space="preserve">Made-in-China listing markets an 'S10 for Elderly' SOS watch; an Alibaba listing describes a 2024 S10 as non-camera SOS 4G health bracelet with HR/BP</t>
  </si>
  <si>
    <t xml:space="preserve">https://wonlexgps.en.made-in-china.com/product/qOraQHJvAjVF/China-Wonlex-4G-Smart-Watch-S10-for-Elderly-Sos-Watch-GPS-Smartwatch-SIM-Card-WiFi-Elderly-Sos-Bracelet-Disabled-People-Health-Care.html</t>
  </si>
  <si>
    <t xml:space="preserve">Suggests S10 hardware has been repositioned for seniors; does NOT establish that CT29 = S10.</t>
  </si>
  <si>
    <t xml:space="preserve">S33</t>
  </si>
  <si>
    <t xml:space="preserve">Wearables portfolio</t>
  </si>
  <si>
    <t xml:space="preserve">OEM product-development house: health patches (P-CARDIO HP201/HP202), Activ8, T-Sense, QSense IMU, CardiacCare@Home. No wrist-worn product identified.</t>
  </si>
  <si>
    <t xml:space="preserve">https://www.2mel.nl/wearable-sensor-product-development/</t>
  </si>
  <si>
    <t xml:space="preserve">Manufacturer website</t>
  </si>
  <si>
    <t xml:space="preserve">S34</t>
  </si>
  <si>
    <t xml:space="preserve">Health Patch / P-CARDIO</t>
  </si>
  <si>
    <t xml:space="preserve">Patch-style 1-lead (HP201) and 6-lead (HP202) ECG recorders with motion/respiration; CE-compliant platform for OEM</t>
  </si>
  <si>
    <t xml:space="preserve">https://www.2mel.nl/wearable-health-patch/</t>
  </si>
  <si>
    <t xml:space="preserve">Chest-worn patch: outside wrist scope.</t>
  </si>
  <si>
    <t xml:space="preserve">S35</t>
  </si>
  <si>
    <t xml:space="preserve">Activ8</t>
  </si>
  <si>
    <t xml:space="preserve">Physical activity &amp; sleep monitor; recordings up to 10 weeks; developed and produced by 2M Engineering</t>
  </si>
  <si>
    <t xml:space="preserve">https://www.2mel.nl/projects/activ8-physical-activity-monitor/</t>
  </si>
  <si>
    <t xml:space="preserve">S36</t>
  </si>
  <si>
    <t xml:space="preserve">Academic</t>
  </si>
  <si>
    <t xml:space="preserve">Activ8 wear location</t>
  </si>
  <si>
    <t xml:space="preserve">Validation studies: Activ8 prescribed location is the trouser pocket; thigh placement preferred for research; wrist use only in a wheelchair study</t>
  </si>
  <si>
    <t xml:space="preserve">https://pmc.ncbi.nlm.nih.gov/articles/PMC7079304</t>
  </si>
  <si>
    <t xml:space="preserve">Peer-reviewed study</t>
  </si>
  <si>
    <t xml:space="preserve">Confirms Activ8 is not a wrist wearable.</t>
  </si>
  <si>
    <t xml:space="preserve">S37</t>
  </si>
  <si>
    <t xml:space="preserve">Fall detection (general)</t>
  </si>
  <si>
    <t xml:space="preserve">Smartwatch fall-detection app, 22 healthy adults, induced falls: 77% sensitivity, 99% specificity, 1.7% false-positive rate; detection better on the wearing-wrist side</t>
  </si>
  <si>
    <t xml:space="preserve">https://pmc.ncbi.nlm.nih.gov/articles/PMC8981002</t>
  </si>
  <si>
    <t xml:space="preserve">NOT a Wonlex device. Context only — no Wonlex-specific accuracy data was found.</t>
  </si>
  <si>
    <t xml:space="preserve">Revii</t>
  </si>
  <si>
    <t xml:space="preserve">Historical benchmark</t>
  </si>
  <si>
    <t xml:space="preserve">Revii_product_features.xlsx Sheet1: 31 products (Wonlex x4, 2M Engineering x5, Shelly x8, Aeotec x7, OWON x7) with feature ticks and partial cost</t>
  </si>
  <si>
    <t xml:space="preserve">Revii_product_features.xlsx (Sheet1)</t>
  </si>
  <si>
    <t xml:space="preserve">Internal input A</t>
  </si>
  <si>
    <t xml:space="preserve">Provided input file (read directly)</t>
  </si>
  <si>
    <t xml:space="preserve">Provided 2026-10-27</t>
  </si>
  <si>
    <t xml:space="preserve">Cost column has values only for MF91 (23.25) and HW20 (77); currency not stated.</t>
  </si>
  <si>
    <t xml:space="preserve">Revii / Wonlex</t>
  </si>
  <si>
    <t xml:space="preserve">Historical screenshots</t>
  </si>
  <si>
    <t xml:space="preserve">Revii_product_features.xlsx Sheet2: six screenshots of Wonlex pages (MF90, MF40, HW20 x2, MF91 x2) listing featured functions</t>
  </si>
  <si>
    <t xml:space="preserve">Revii_product_features.xlsx (Sheet2 images)</t>
  </si>
  <si>
    <t xml:space="preserve">Internal input A (manufacturer page captures)</t>
  </si>
  <si>
    <t xml:space="preserve">Capture date unknown.</t>
  </si>
  <si>
    <t xml:space="preserve">MF91 capture lists ECG; current MF91 spec page does not.</t>
  </si>
  <si>
    <t xml:space="preserve">Quantitative survey (deck)</t>
  </si>
  <si>
    <t xml:space="preserve">Qualtrics survey, May 2026: 952 started, 615 qualified caregivers, 546 reached value questions (497 caregivers, 49-50 seniors); Q14, Q18-27, Q30, Q33, Q34, Q36, Q37-44, Q45-50, Q51, Q53-54</t>
  </si>
  <si>
    <t xml:space="preserve">Internal input B (quantitative)</t>
  </si>
  <si>
    <t xml:space="preserve">Online, higher-educated, urban, PT-heavy sample.</t>
  </si>
  <si>
    <t xml:space="preserve">Quantitative survey (report)</t>
  </si>
  <si>
    <t xml:space="preserve">Report on the same Qualtrics survey: 938 initiated, 543 completed (494 caregivers, 49 seniors); headline percentages differ from the deck</t>
  </si>
  <si>
    <t xml:space="preserve">Same respondents as S40 — not an independent sample.</t>
  </si>
  <si>
    <t xml:space="preserve">Fall detection important: 73% caregivers / 52% seniors here vs 90.5% / 62% in S40.</t>
  </si>
  <si>
    <t xml:space="preserve">Qualitative interviews</t>
  </si>
  <si>
    <t xml:space="preserve">Interview_Status_and__analysis.xlsx: structured summaries of 24 interviews (5 seniors, 14 informal caregivers, 5 professional caregivers), incl. 1-5 concern ratings from caregivers</t>
  </si>
  <si>
    <t xml:space="preserve">Internal input B (qualitative)</t>
  </si>
  <si>
    <t xml:space="preserve">Personal names in the source are replaced here by interview IDs A1-A5, B1-B14, C1-C5.</t>
  </si>
  <si>
    <t xml:space="preserve">Business plan reports 27 interviews (5/17/5); the analysis file contains 24; status tab tallies 4/9/5.</t>
  </si>
  <si>
    <t xml:space="preserve">S43</t>
  </si>
  <si>
    <t xml:space="preserve">Business plan</t>
  </si>
  <si>
    <t xml:space="preserve">Lisbon MBA Revii business plan (read earlier in this engagement): names Wonlex and 2M Engineering as candidate wearable suppliers; Wearable Care tier</t>
  </si>
  <si>
    <t xml:space="preserve">2607_The_Lisbon_MBA_Revii_BP_CLEAN.docx</t>
  </si>
  <si>
    <t xml:space="preserve">Internal context document</t>
  </si>
  <si>
    <t xml:space="preserve">Context for supplier authorisation only.</t>
  </si>
  <si>
    <t xml:space="preserve">EU</t>
  </si>
  <si>
    <t xml:space="preserve">GDPR</t>
  </si>
  <si>
    <t xml:space="preserve">Regulation (EU) 2016/679 — health data is a special category (Art. 9); international transfers (Ch. V)</t>
  </si>
  <si>
    <t xml:space="preserve">https://eur-lex.europa.eu/eli/reg/2016/679/oj</t>
  </si>
  <si>
    <t xml:space="preserve">Official regulatory source</t>
  </si>
  <si>
    <t xml:space="preserve">Official text — cited, not retrieved in session</t>
  </si>
  <si>
    <t xml:space="preserve">MDR</t>
  </si>
  <si>
    <t xml:space="preserve">Regulation (EU) 2017/745 on medical devices — intended purpose determines qualification (incl. software)</t>
  </si>
  <si>
    <t xml:space="preserve">https://eur-lex.europa.eu/eli/reg/2017/745/oj</t>
  </si>
  <si>
    <t xml:space="preserve">RED + cybersecurity delegated act</t>
  </si>
  <si>
    <t xml:space="preserve">Directive 2014/53/EU (radio equipment); Delegated Regulation (EU) 2022/30 activating Art. 3(3)(d)(e)(f) cybersecurity/privacy requirements (applicable from 1 Aug 2025)</t>
  </si>
  <si>
    <t xml:space="preserve">https://eur-lex.europa.eu/eli/reg_del/2022/30/oj</t>
  </si>
  <si>
    <t xml:space="preserve">AI Act</t>
  </si>
  <si>
    <t xml:space="preserve">Regulation (EU) 2024/1689 — AI that is a safety component of / is an MDR device can be high-risk</t>
  </si>
  <si>
    <t xml:space="preserve">https://eur-lex.europa.eu/eli/reg/2024/1689/oj</t>
  </si>
  <si>
    <t xml:space="preserve">Cyber Resilience Act</t>
  </si>
  <si>
    <t xml:space="preserve">Regulation (EU) 2024/2847 — products with digital elements; reporting obligations from Sep 2026, full application Dec 2027</t>
  </si>
  <si>
    <t xml:space="preserve">https://eur-lex.europa.eu/eli/reg/2024/2847/oj</t>
  </si>
  <si>
    <t xml:space="preserve">Portugal</t>
  </si>
  <si>
    <t xml:space="preserve">Lei n.º 58/2019</t>
  </si>
  <si>
    <t xml:space="preserve">Portuguese law executing the GDPR; supervisory authority CNPD</t>
  </si>
  <si>
    <t xml:space="preserve">https://www.cnpd.pt/</t>
  </si>
  <si>
    <t xml:space="preserve">Consolidated text available via Diário da República.</t>
  </si>
  <si>
    <t xml:space="preserve">S50</t>
  </si>
  <si>
    <t xml:space="preserve">Shelly / Aeotec / OWON</t>
  </si>
  <si>
    <t xml:space="preserve">Product scope check</t>
  </si>
  <si>
    <t xml:space="preserve">Search for wrist-worn / wearable panic devices from these manufacturers returned none; their historical models are ambient IoT</t>
  </si>
  <si>
    <t xml:space="preserve">Search: 'Shelly Aeotec OWON wearable wristband panic button'</t>
  </si>
  <si>
    <t xml:space="preserve">Negative search result</t>
  </si>
  <si>
    <t xml:space="preserve">Absence of evidence; manufacturers retained for the IoT roadmap.</t>
  </si>
  <si>
    <t xml:space="preserve">S51</t>
  </si>
  <si>
    <t xml:space="preserve">OEM ECG wearables</t>
  </si>
  <si>
    <t xml:space="preserve">OEM/ODM ECG health wearables catalogue (VB10, MF91Pro, MF90 family)</t>
  </si>
  <si>
    <t xml:space="preserve">https://www.iwonlex.net/whole-products/ai-wearables-lifestyle/smart-health-wearables/</t>
  </si>
  <si>
    <t xml:space="preserve">VB10 price</t>
  </si>
  <si>
    <t xml:space="preserve">Official Wonlex quotation for VB10: USD 50 per unit</t>
  </si>
  <si>
    <t xml:space="preserve">Wonlex quotation held by Revii (reported by the founder)</t>
  </si>
  <si>
    <t xml:space="preserve">Supplier quotation (written)</t>
  </si>
  <si>
    <t xml:space="preserve">Supplier document reported by Revii</t>
  </si>
  <si>
    <t xml:space="preserve">Recorded on 2026-10-27 from the founder's report; the document itself was not inspected by the analyst. Record quote reference, date, currency, quantity and validity.</t>
  </si>
  <si>
    <t xml:space="preserve">DATA GAPS &amp; SUPPLIER QUESTIONS</t>
  </si>
  <si>
    <t xml:space="preserve">Prioritised: P1 = blocks selection or a mandatory gate. Update 'Verification status' as answers arrive, then update the evidence on 03/04/07/09.</t>
  </si>
  <si>
    <t xml:space="preserve">Manufacturer / model</t>
  </si>
  <si>
    <t xml:space="preserve">Missing data</t>
  </si>
  <si>
    <t xml:space="preserve">Why it matters</t>
  </si>
  <si>
    <t xml:space="preserve">Decision impact</t>
  </si>
  <si>
    <t xml:space="preserve">Priority</t>
  </si>
  <si>
    <t xml:space="preserve">Proposed supplier question</t>
  </si>
  <si>
    <t xml:space="preserve">Verification status</t>
  </si>
  <si>
    <t xml:space="preserve">Owner</t>
  </si>
  <si>
    <t xml:space="preserve">Date requested</t>
  </si>
  <si>
    <t xml:space="preserve">Product identity and specification sheet</t>
  </si>
  <si>
    <t xml:space="preserve">Supplied URL shows the S10 kids watch; no CT29 spec page exists</t>
  </si>
  <si>
    <t xml:space="preserve">P1</t>
  </si>
  <si>
    <t xml:space="preserve">Please send the CT29 datasheet. Is CT29 a renamed S10? List sensors, fall-detection method, battery, LTE bands, SIM size, IP rating and price.</t>
  </si>
  <si>
    <t xml:space="preserve">Open</t>
  </si>
  <si>
    <t xml:space="preserve">Health sensors on CT34</t>
  </si>
  <si>
    <t xml:space="preserve">Determines whether CT34 can serve early-decline needs (N2) or safety only</t>
  </si>
  <si>
    <t xml:space="preserve">Does CT34 measure heart rate, SpO2 or temperature? Continuous or on demand? At what interval?</t>
  </si>
  <si>
    <t xml:space="preserve">TCP protocol document and event list</t>
  </si>
  <si>
    <t xml:space="preserve">Mandatory data-access gate</t>
  </si>
  <si>
    <t xml:space="preserve">Send the CT34 protocol specification incl. fall, SOS, location, battery, wear/removal and heartbeat messages. Is traffic encrypted? Is any key or licence fee charged?</t>
  </si>
  <si>
    <t xml:space="preserve">Two-way calling hardware; SIM size; EU operator testing</t>
  </si>
  <si>
    <t xml:space="preserve">SOS without voice is weaker; SIM logistics</t>
  </si>
  <si>
    <t xml:space="preserve">Does CT34 have microphone and speaker for two-way calls? Nano or micro SIM? Tested with MEO/NOS/Vodafone PT and Movistar/Orange ES?</t>
  </si>
  <si>
    <t xml:space="preserve">SDK support and licence</t>
  </si>
  <si>
    <t xml:space="preserve">Mandatory data-access gate for VB10</t>
  </si>
  <si>
    <t xml:space="preserve">Confirm in writing that VB10 is supported by HBandSDK (Veepoo). Licence terms and fees? iOS SDK? Full field list incl. raw ECG, HRV, SpO2, sleep, steps, temperature?</t>
  </si>
  <si>
    <t xml:space="preserve">Fall detection / button</t>
  </si>
  <si>
    <t xml:space="preserve">Top research need (N1); currently Unknown</t>
  </si>
  <si>
    <t xml:space="preserve">Does VB10 have any fall detection or physical button? If not, confirm absence.</t>
  </si>
  <si>
    <t xml:space="preserve">Medical claims and estimation features</t>
  </si>
  <si>
    <t xml:space="preserve">Regulatory exposure (MDR / AI Act)</t>
  </si>
  <si>
    <t xml:space="preserve">On what basis is VB10 'medical-grade'? Any MDR certificate? Can glucose/lipid/uric-acid estimation be disabled in firmware and SDK?</t>
  </si>
  <si>
    <t xml:space="preserve">KSCtracker API and hosting</t>
  </si>
  <si>
    <t xml:space="preserve">Integration and GDPR transfer assessment</t>
  </si>
  <si>
    <t xml:space="preserve">Send KSCtracker API reference. Can devices point to Revii's own server? AWS region? DPA and sub-processor list? Per-device fee?</t>
  </si>
  <si>
    <t xml:space="preserve">All 4G models</t>
  </si>
  <si>
    <t xml:space="preserve">Model-specific RED Declaration of Conformity incl. EN 18031</t>
  </si>
  <si>
    <t xml:space="preserve">Legal placing on EU market since Aug 2025</t>
  </si>
  <si>
    <t xml:space="preserve">Provide RED DoC and test reports (incl. EN 18031-1 cybersecurity) for each model.</t>
  </si>
  <si>
    <t xml:space="preserve">All models</t>
  </si>
  <si>
    <t xml:space="preserve">Pricing at 100 / 1,000 / 5,000 units; MOQ; OEM branding; lead time; warranty; RMA</t>
  </si>
  <si>
    <t xml:space="preserve">TCO is provisional for every model</t>
  </si>
  <si>
    <t xml:space="preserve">Quote unit price at 100/1,000/5,000; OEM/white-label MOQ and cost; lead time; warranty months; RMA/replacement process.</t>
  </si>
  <si>
    <t xml:space="preserve">Fall detection; LTE bands; integration interface; sampling mode</t>
  </si>
  <si>
    <t xml:space="preserve">Strong candidate positioned for integrators</t>
  </si>
  <si>
    <t xml:space="preserve">Does CT31 have fall detection? LTE bands? Integration interface and data fields? Is monitoring continuous or one-touch only?</t>
  </si>
  <si>
    <t xml:space="preserve">Device-to-server encryption</t>
  </si>
  <si>
    <t xml:space="preserve">Security &amp; GDPR</t>
  </si>
  <si>
    <t xml:space="preserve">Is device-to-server traffic encrypted (TLS)? Can Revii manage keys?</t>
  </si>
  <si>
    <t xml:space="preserve">All models (white-label)</t>
  </si>
  <si>
    <t xml:space="preserve">Manufacturer obligations if Revii brands the device</t>
  </si>
  <si>
    <t xml:space="preserve">Under EU product law the brand owner can assume manufacturer obligations</t>
  </si>
  <si>
    <t xml:space="preserve">Will Wonlex supply full technical documentation and DoC support if Revii places the device on the market under its own brand?</t>
  </si>
  <si>
    <t xml:space="preserve">Battery life under monitoring; weight</t>
  </si>
  <si>
    <t xml:space="preserve">Ease-of-use (N3); conflicting battery statements</t>
  </si>
  <si>
    <t xml:space="preserve">P2</t>
  </si>
  <si>
    <t xml:space="preserve">Battery life with continuous HR + one ECG per day? Weight and dimensions?</t>
  </si>
  <si>
    <t xml:space="preserve">Battery life, IP rating, LTE bands</t>
  </si>
  <si>
    <t xml:space="preserve">Ease-of-use and deployability</t>
  </si>
  <si>
    <t xml:space="preserve">Typical battery life with fall detection on? IP rating? LTE bands?</t>
  </si>
  <si>
    <t xml:space="preserve">Fall-detection performance</t>
  </si>
  <si>
    <t xml:space="preserve">No Wonlex-specific accuracy data found</t>
  </si>
  <si>
    <t xml:space="preserve">Provide fall-detection test results (sensitivity, false-alarm rate), sensitivity settings and confirm/cancel flow.</t>
  </si>
  <si>
    <t xml:space="preserve">Offline storage capacity and store-and-forward</t>
  </si>
  <si>
    <t xml:space="preserve">Data loss during connectivity gaps</t>
  </si>
  <si>
    <t xml:space="preserve">How many hours/days of data are buffered when offline? Are events queued and re-sent?</t>
  </si>
  <si>
    <t xml:space="preserve">Firmware OTA updates and remote configuration</t>
  </si>
  <si>
    <t xml:space="preserve">Fleet management at scale</t>
  </si>
  <si>
    <t xml:space="preserve">Can firmware be updated over the air? Which settings are remotely configurable?</t>
  </si>
  <si>
    <t xml:space="preserve">Wear / removal detection</t>
  </si>
  <si>
    <t xml:space="preserve">Distinguishes 'no data' from 'not worn'</t>
  </si>
  <si>
    <t xml:space="preserve">Does the device report off-wrist / not-worn status to the backend?</t>
  </si>
  <si>
    <t xml:space="preserve">Long-term availability / end-of-life policy</t>
  </si>
  <si>
    <t xml:space="preserve">Hardware-agnostic platform still needs 3-year supply</t>
  </si>
  <si>
    <t xml:space="preserve">Committed production life? Notice period before end-of-life?</t>
  </si>
  <si>
    <t xml:space="preserve">Relationship to VB10</t>
  </si>
  <si>
    <t xml:space="preserve">Possible second source for VB10</t>
  </si>
  <si>
    <t xml:space="preserve">Are MF91Pro and VB10 the same hardware? Which SKU is current?</t>
  </si>
  <si>
    <t xml:space="preserve">ECG present or not</t>
  </si>
  <si>
    <t xml:space="preserve">Conflicting sources</t>
  </si>
  <si>
    <t xml:space="preserve">P3</t>
  </si>
  <si>
    <t xml:space="preserve">Does the current MF91 include ECG?</t>
  </si>
  <si>
    <t xml:space="preserve">Battery; product page; EDA depression-risk feature</t>
  </si>
  <si>
    <t xml:space="preserve">Ease-of-use; mental-health inference risk</t>
  </si>
  <si>
    <t xml:space="preserve">Battery capacity/life? Can EDA mood/depression features be disabled?</t>
  </si>
  <si>
    <t xml:space="preserve">HW20 / HW20Pro</t>
  </si>
  <si>
    <t xml:space="preserve">Battery; fall detection documentation; display</t>
  </si>
  <si>
    <t xml:space="preserve">Missing core specs</t>
  </si>
  <si>
    <t xml:space="preserve">Battery capacity/life for each; documented fall detection for HW20; differences between HW20 and HW20Pro?</t>
  </si>
  <si>
    <t xml:space="preserve">Battery; calling; LTE bands</t>
  </si>
  <si>
    <t xml:space="preserve">Conflicting battery figures</t>
  </si>
  <si>
    <t xml:space="preserve">680 or 650 mAh? Typical battery life? Two-way calling? LTE bands?</t>
  </si>
  <si>
    <t xml:space="preserve">CT30</t>
  </si>
  <si>
    <t xml:space="preserve">Screen or screenless; IP rating; bands</t>
  </si>
  <si>
    <t xml:space="preserve">Usability classification</t>
  </si>
  <si>
    <t xml:space="preserve">Is the CT30 band screenless? IP rating? LTE bands?</t>
  </si>
  <si>
    <t xml:space="preserve">Flight Sense System form factor</t>
  </si>
  <si>
    <t xml:space="preserve">Only to close the historical list</t>
  </si>
  <si>
    <t xml:space="preserve">Is Flight Sense wrist-worn? If not, no action.</t>
  </si>
  <si>
    <t xml:space="preserve">RECOMMENDATION &amp; DECISION SUMMARY</t>
  </si>
  <si>
    <t xml:space="preserve">Part 1 recalculates. Part 2 is the analyst's written assessment of the baseline as researched on 27 Oct 2026 — re-read it if you change evidence or weights.</t>
  </si>
  <si>
    <t xml:space="preserve">1. Live decision summary</t>
  </si>
  <si>
    <t xml:space="preserve">Best eligible model overall</t>
  </si>
  <si>
    <t xml:space="preserve">Leading provisional model</t>
  </si>
  <si>
    <t xml:space="preserve">Provisional runner-up</t>
  </si>
  <si>
    <t xml:space="preserve">Third</t>
  </si>
  <si>
    <t xml:space="preserve">Highest-scoring model still pending verification</t>
  </si>
  <si>
    <t xml:space="preserve">Best for safety-first use</t>
  </si>
  <si>
    <t xml:space="preserve">Best for wellbeing monitoring</t>
  </si>
  <si>
    <t xml:space="preserve">Simplest for older adults (ease-of-use scenario)</t>
  </si>
  <si>
    <t xml:space="preserve">Highest ease-of-use need score (N4) — all models incl. pending</t>
  </si>
  <si>
    <t xml:space="preserve">Best for independent / stable seniors</t>
  </si>
  <si>
    <t xml:space="preserve">Best for vulnerable / higher-dependency seniors</t>
  </si>
  <si>
    <t xml:space="preserve">Best cost-to-value</t>
  </si>
  <si>
    <t xml:space="preserve">Strongest data-access evidence (integration score)</t>
  </si>
  <si>
    <t xml:space="preserve">Does the preferred model change across scenarios?</t>
  </si>
  <si>
    <t xml:space="preserve">Recommendation confidence (leading model)</t>
  </si>
  <si>
    <t xml:space="preserve">2. Analyst assessment at baseline (27 Oct 2026)</t>
  </si>
  <si>
    <t xml:space="preserve">Bottom line</t>
  </si>
  <si>
    <t xml:space="preserve">No wearable can be selected yet. None of the 13 shortlisted Wonlex models has supplier-verified data access, so none passes the mandatory integration gate and no confirmed ranking exists. Three models are conditionally eligible and statistically tied on current evidence — HW19 (55.8), CT34 (55.0) and VB10 (53.2) — and each wins a different use case. The decision is therefore not 'which device' but 'which two or three devices to verify first, and what Revii's first wearable must do'.</t>
  </si>
  <si>
    <t xml:space="preserve">What customers value most</t>
  </si>
  <si>
    <t xml:space="preserve">Combining the survey (n = 497 caregivers, ~50 seniors) with 24 coded interviews: automatic fall detection is the single most important capability (17% of market-fit weight), followed by ease of use for the senior (15%), early detection of decline (14%), summoning help (12%), clinical data for the doctor (12%), privacy (12%) and activity (11%). Medication reminders (7%) and location tracking (&lt;1%) matter much less. Price is a secondary decision driver for both caregivers and seniors.</t>
  </si>
  <si>
    <t xml:space="preserve">The core trade-off</t>
  </si>
  <si>
    <t xml:space="preserve">No captured model documents both strong safety (fall detection + SOS + standalone 4G) and rich physiological sensing (ECG, HRV, SpO2, sleep) together with a credible data-access route. Safety-oriented 4G bands (CT34, CT31, CT29) work without a phone and integrate by TCP protocol, but their health sensing is undocumented. BLE health bands (VB10, MF90, MF91) sense richly but document no fall detection or SOS, need the senior's smartphone or a gateway (~36% of seniors have no smartphone) and depend on a licensed third-party SDK. 4G watches (HW19, HW20) cover more of both but add a screen, unknown battery life and the highest cost.</t>
  </si>
  <si>
    <t xml:space="preserve">HW19 — best balance, provisional leader</t>
  </si>
  <si>
    <t xml:space="preserve">Only model documenting multi-sensor fall detection (motion + barometric + height change), with SOS, standalone 4G calling, multi-GNSS and HR/HRV/SpO2/sleep; Wonlex's KSCtracker platform is named on the model page with an own-server option. Wins the baseline, safety-first and vulnerable-senior scenarios. Weaknesses: AMOLED screen (contrary to the simplicity priority), battery runtime and IP rating not documented, price unknown (TCO uses a proxy — highest cost class), estimated-BP / glucose-trend / mood features must be kept out of the product.</t>
  </si>
  <si>
    <t xml:space="preserve">CT34 — simplest safety device</t>
  </si>
  <si>
    <t xml:space="preserve">Screenless, standalone 4G, automatic fall detection, long-press SOS call, GPS/Wi-Fi/LBS, IP67, TCP integration stated on the model page, low medical-claim exposure and a sourced marketplace price (USD 27). Wins the ease-of-use scenario. Weaknesses: no documented health sensor (heart rate unconfirmed), 3-5 day battery (charging twice a week), two-way voice hardware not confirmed. If Wonlex confirms heart rate and the protocol, CT34 becomes the strongest candidate for a first, safety-led Wearable tier.</t>
  </si>
  <si>
    <t xml:space="preserve">VB10 — best for wellbeing, weakest for safety</t>
  </si>
  <si>
    <t xml:space="preserve">Richest documented sensing (ECG 500 Hz, HRV, SpO2, sleep stages, skin temperature, 6-axis activity), screenless, IP68, longest claimed battery, and the only supplier-quoted price (official Wonlex quotation, USD 50 — S52), giving the lowest TCO of the three leaders (about EUR 93 per device over 36 months at 1,000 units). Wins the wellbeing, cost-efficiency and independent-senior scenarios and the cost-to-value view. But it documents no fall detection, SOS or calling — the top research need — and depends on Veepoo's HBandSDK, licensed only to authorised customers, plus the senior's phone. Its 'medical-grade' and glucose/lipid/uric-acid claims carry the highest regulatory exposure. Treat VB10 as a wellbeing add-on, not a safety device.</t>
  </si>
  <si>
    <t xml:space="preserve">CT29 — cannot be assessed yet</t>
  </si>
  <si>
    <t xml:space="preserve">The URL supplied for CT29 shows the S10 children's smartwatch. CT29 appears only as a product name ('4G Health Monitoring Bracelet with Fall Detection') with no specification sheet, so its data completeness is 14% and it ranks last on documented evidence. Its potential (if every unknown resolved favourably) is among the highest, which is exactly why the CT29 datasheet is a P1 question. Do not attribute S10 specifications to CT29.</t>
  </si>
  <si>
    <t xml:space="preserve">HW20 — highest score, but unevidenced integration</t>
  </si>
  <si>
    <t xml:space="preserve">HW20 scores highest overall (55.9) by combining safety with cuff-type (air-pump) blood pressure and continuous HR/SpO2, but no model-specific integration evidence exists and its fall detection is documented only in a promotional blog. It is held in the 'pending verification' list; add it to the RFQ because it could become the leader if Wonlex confirms the protocol and fall detection.</t>
  </si>
  <si>
    <t xml:space="preserve">Excluded or deprioritised</t>
  </si>
  <si>
    <t xml:space="preserve">2M Engineering (historical): patches, a smart shirt and a thigh/pocket activity monitor — no wrist-worn product. Shelly, Aeotec, OWON (historical): ambient IoT — keep for the IoT Monitor tier. Screened Wonlex models: S10 and other kids' watches, CT10T (no fall detection, dominated by CT20S), KT17S (marginal duplicate), KT43 (full Android — power and complexity), MF19/MF30 (MF40 duplicates), CT30 Pro (watch variant), Marsfit ring (not wrist-worn). No other manufacturer was introduced.</t>
  </si>
  <si>
    <t xml:space="preserve">Recommended next steps (before any supplier selection)</t>
  </si>
  <si>
    <t xml:space="preserve">1) Send ONE consolidated Wonlex RFQ + technical questionnaire covering HW19, CT34, VB10, CT29 (mandatory), HW20 and CT31 — the P1 questions on sheet 15. 2) Obtain the 4G TCP protocol specification and test whether a CT34/HW19 can be re-pointed to a Revii EU server with readable fall, SOS, location and battery events. 3) Obtain written VB10 support and licence terms for HBandSDK, and complete the VB10 quotation terms (MOQ, quantity tier, Incoterms, warranty, validity). 4) Obtain model-specific RED Declarations of Conformity (incl. EN 18031) and confirm that glucose/lipid/mood estimation can be disabled. 5) Pilot 20-30 units of the two best-verified models with real seniors for four weeks, measuring wear compliance, real battery life and fall-alarm false positives. 6) Update the evidence cells on 03/04/07/09 as answers arrive — the workbook recalculates eligibility and rankings automatically.</t>
  </si>
  <si>
    <t xml:space="preserve">Low to medium. No product feature or data-access claim is supplier-verified yet (the only supplier-confirmed fact is VB10's quoted price); data completeness ranges from 14% (CT29) to ~72% (VB10); the top three are separated by 2.6 points, inside the uncertainty created by Unknown evidence; and the leader changes in four of the six alternative scenarios. Web evidence was obtained through search-index extraction because direct page access was blocked in the research environment, so every web claim is graded B at best. TCO is provisional: VB10 has a supplier quotation (USD 50), CT34 and CT31 have marketplace prices, MF91 and HW20 historical figures; all other prices are analyst proxies, and every other cost input is an assumption.</t>
  </si>
</sst>
</file>

<file path=xl/styles.xml><?xml version="1.0" encoding="utf-8"?>
<styleSheet xmlns="http://schemas.openxmlformats.org/spreadsheetml/2006/main">
  <numFmts count="14">
    <numFmt numFmtId="164" formatCode="General"/>
    <numFmt numFmtId="165" formatCode="0"/>
    <numFmt numFmtId="166" formatCode="#,##0;\(#,##0\);\-"/>
    <numFmt numFmtId="167" formatCode="0.0"/>
    <numFmt numFmtId="168" formatCode="#,##0.00;\(#,##0.00\);\-"/>
    <numFmt numFmtId="169" formatCode="0.00"/>
    <numFmt numFmtId="170" formatCode="0%"/>
    <numFmt numFmtId="171" formatCode="General"/>
    <numFmt numFmtId="172" formatCode="0.0%;\(0.0%\);\-"/>
    <numFmt numFmtId="173" formatCode="0.000000"/>
    <numFmt numFmtId="174" formatCode="\+0.0;\-0.0;0.0"/>
    <numFmt numFmtId="175" formatCode="\+0%;\-0%;0%"/>
    <numFmt numFmtId="176" formatCode="\+0.00;\-0.00;0.00"/>
    <numFmt numFmtId="177" formatCode="\+0;\-0;0"/>
  </numFmts>
  <fonts count="4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C00000"/>
      <name val="Arial"/>
      <family val="0"/>
      <charset val="1"/>
    </font>
    <font>
      <b val="true"/>
      <sz val="8"/>
      <color rgb="FF595959"/>
      <name val="Arial"/>
      <family val="0"/>
      <charset val="1"/>
    </font>
    <font>
      <b val="true"/>
      <sz val="18"/>
      <color rgb="FF1F3864"/>
      <name val="Arial"/>
      <family val="0"/>
      <charset val="1"/>
    </font>
    <font>
      <b val="true"/>
      <sz val="10"/>
      <color rgb="FF1F3864"/>
      <name val="Arial"/>
      <family val="0"/>
      <charset val="1"/>
    </font>
    <font>
      <b val="true"/>
      <sz val="9"/>
      <color rgb="FFFFFFFF"/>
      <name val="Arial"/>
      <family val="0"/>
      <charset val="1"/>
    </font>
    <font>
      <b val="true"/>
      <sz val="10"/>
      <color rgb="FF000000"/>
      <name val="Arial"/>
      <family val="0"/>
      <charset val="1"/>
    </font>
    <font>
      <b val="true"/>
      <sz val="10"/>
      <color rgb="FF008000"/>
      <name val="Arial"/>
      <family val="0"/>
      <charset val="1"/>
    </font>
    <font>
      <sz val="9"/>
      <color rgb="FF404040"/>
      <name val="Arial"/>
      <family val="0"/>
      <charset val="1"/>
    </font>
    <font>
      <sz val="9"/>
      <color rgb="FF008000"/>
      <name val="Arial"/>
      <family val="0"/>
      <charset val="1"/>
    </font>
    <font>
      <sz val="9"/>
      <color rgb="FF000000"/>
      <name val="Arial"/>
      <family val="0"/>
      <charset val="1"/>
    </font>
    <font>
      <b val="true"/>
      <sz val="9"/>
      <color rgb="FF008000"/>
      <name val="Arial"/>
      <family val="0"/>
      <charset val="1"/>
    </font>
    <font>
      <b val="true"/>
      <sz val="9"/>
      <color rgb="FFC00000"/>
      <name val="Arial"/>
      <family val="0"/>
      <charset val="1"/>
    </font>
    <font>
      <b val="true"/>
      <sz val="9"/>
      <color rgb="FF404040"/>
      <name val="Arial"/>
      <family val="0"/>
      <charset val="1"/>
    </font>
    <font>
      <b val="true"/>
      <sz val="8"/>
      <color rgb="FF008000"/>
      <name val="Arial"/>
      <family val="0"/>
      <charset val="1"/>
    </font>
    <font>
      <sz val="8"/>
      <color rgb="FF008000"/>
      <name val="Arial"/>
      <family val="0"/>
      <charset val="1"/>
    </font>
    <font>
      <i val="true"/>
      <sz val="8"/>
      <color rgb="FF595959"/>
      <name val="Arial"/>
      <family val="0"/>
      <charset val="1"/>
    </font>
    <font>
      <b val="true"/>
      <sz val="18"/>
      <color rgb="FF000000"/>
      <name val="Calibri"/>
      <family val="2"/>
    </font>
    <font>
      <sz val="10"/>
      <color rgb="FF000000"/>
      <name val="Calibri"/>
      <family val="2"/>
    </font>
    <font>
      <b val="true"/>
      <sz val="14"/>
      <color rgb="FF1F3864"/>
      <name val="Arial"/>
      <family val="0"/>
      <charset val="1"/>
    </font>
    <font>
      <sz val="8"/>
      <color rgb="FF000000"/>
      <name val="Arial"/>
      <family val="0"/>
      <charset val="1"/>
    </font>
    <font>
      <b val="true"/>
      <sz val="8"/>
      <color rgb="FF000000"/>
      <name val="Arial"/>
      <family val="0"/>
      <charset val="1"/>
    </font>
    <font>
      <u val="single"/>
      <sz val="8"/>
      <color rgb="FF0563C1"/>
      <name val="Arial"/>
      <family val="0"/>
      <charset val="1"/>
    </font>
    <font>
      <sz val="8"/>
      <color rgb="FF595959"/>
      <name val="Arial"/>
      <family val="0"/>
      <charset val="1"/>
    </font>
    <font>
      <sz val="7"/>
      <color rgb="FF595959"/>
      <name val="Arial"/>
      <family val="0"/>
      <charset val="1"/>
    </font>
    <font>
      <b val="true"/>
      <sz val="8"/>
      <color rgb="FF1F3864"/>
      <name val="Arial"/>
      <family val="0"/>
      <charset val="1"/>
    </font>
    <font>
      <b val="true"/>
      <sz val="9"/>
      <color rgb="FF000000"/>
      <name val="Arial"/>
      <family val="0"/>
      <charset val="1"/>
    </font>
    <font>
      <sz val="8"/>
      <color rgb="FF0000FF"/>
      <name val="Arial"/>
      <family val="0"/>
      <charset val="1"/>
    </font>
    <font>
      <sz val="10"/>
      <name val="Arial"/>
      <family val="2"/>
    </font>
    <font>
      <sz val="8"/>
      <color rgb="FF404040"/>
      <name val="Arial"/>
      <family val="0"/>
      <charset val="1"/>
    </font>
    <font>
      <b val="true"/>
      <sz val="9"/>
      <color rgb="FF1F3864"/>
      <name val="Arial"/>
      <family val="0"/>
      <charset val="1"/>
    </font>
    <font>
      <sz val="9"/>
      <color rgb="FF0000FF"/>
      <name val="Arial"/>
      <family val="0"/>
      <charset val="1"/>
    </font>
    <font>
      <b val="true"/>
      <sz val="8"/>
      <color rgb="FF404040"/>
      <name val="Arial"/>
      <family val="0"/>
      <charset val="1"/>
    </font>
    <font>
      <b val="true"/>
      <sz val="10"/>
      <color rgb="FF404040"/>
      <name val="Arial"/>
      <family val="0"/>
      <charset val="1"/>
    </font>
    <font>
      <b val="true"/>
      <sz val="10"/>
      <color rgb="FF0000FF"/>
      <name val="Arial"/>
      <family val="0"/>
      <charset val="1"/>
    </font>
    <font>
      <b val="true"/>
      <sz val="10"/>
      <color rgb="FFC00000"/>
      <name val="Arial"/>
      <family val="0"/>
      <charset val="1"/>
    </font>
    <font>
      <b val="true"/>
      <sz val="11"/>
      <color rgb="FF0000FF"/>
      <name val="Arial"/>
      <family val="0"/>
      <charset val="1"/>
    </font>
    <font>
      <b val="true"/>
      <sz val="8"/>
      <color rgb="FFC00000"/>
      <name val="Arial"/>
      <family val="0"/>
      <charset val="1"/>
    </font>
    <font>
      <sz val="9"/>
      <color rgb="FF595959"/>
      <name val="Arial"/>
      <family val="0"/>
      <charset val="1"/>
    </font>
    <font>
      <sz val="10"/>
      <color rgb="FF404040"/>
      <name val="Arial"/>
      <family val="0"/>
      <charset val="1"/>
    </font>
  </fonts>
  <fills count="10">
    <fill>
      <patternFill patternType="none"/>
    </fill>
    <fill>
      <patternFill patternType="gray125"/>
    </fill>
    <fill>
      <patternFill patternType="solid">
        <fgColor rgb="FFEDF3FA"/>
        <bgColor rgb="FFF2F2F2"/>
      </patternFill>
    </fill>
    <fill>
      <patternFill patternType="solid">
        <fgColor rgb="FFD9E2F3"/>
        <bgColor rgb="FFE8E8E4"/>
      </patternFill>
    </fill>
    <fill>
      <patternFill patternType="solid">
        <fgColor rgb="FF1F3864"/>
        <bgColor rgb="FF333399"/>
      </patternFill>
    </fill>
    <fill>
      <patternFill patternType="solid">
        <fgColor rgb="FFC6EFCE"/>
        <bgColor rgb="FFD9E2F3"/>
      </patternFill>
    </fill>
    <fill>
      <patternFill patternType="solid">
        <fgColor rgb="FFFFEB9C"/>
        <bgColor rgb="FFFFF2CC"/>
      </patternFill>
    </fill>
    <fill>
      <patternFill patternType="solid">
        <fgColor rgb="FFEDEDED"/>
        <bgColor rgb="FFF2F2F2"/>
      </patternFill>
    </fill>
    <fill>
      <patternFill patternType="solid">
        <fgColor rgb="FFFFC7CE"/>
        <bgColor rgb="FFD9D9D9"/>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true" applyProtection="false">
      <alignment horizontal="center" vertical="center" textRotation="0" wrapText="false" indent="0" shrinkToFit="false"/>
      <protection locked="true" hidden="false"/>
    </xf>
    <xf numFmtId="166" fontId="8" fillId="2" borderId="1"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7"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7" fontId="14" fillId="0" borderId="1" xfId="0" applyFont="true" applyBorder="true" applyAlignment="true" applyProtection="false">
      <alignment horizontal="center" vertical="center" textRotation="0" wrapText="false" indent="0" shrinkToFit="false"/>
      <protection locked="true" hidden="false"/>
    </xf>
    <xf numFmtId="168" fontId="14"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7" fontId="16" fillId="0"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9" fontId="13"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general" vertical="center" textRotation="0" wrapText="fals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25" fillId="0" borderId="1" xfId="0" applyFont="true" applyBorder="true" applyAlignment="true" applyProtection="false">
      <alignment horizontal="center"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center" vertical="top" textRotation="0" wrapText="true" indent="0" shrinkToFit="false"/>
      <protection locked="true" hidden="false"/>
    </xf>
    <xf numFmtId="170" fontId="20" fillId="0" borderId="1" xfId="0" applyFont="true" applyBorder="true" applyAlignment="true" applyProtection="false">
      <alignment horizontal="center" vertical="top" textRotation="0" wrapText="true" indent="0" shrinkToFit="false"/>
      <protection locked="true" hidden="false"/>
    </xf>
    <xf numFmtId="164" fontId="28" fillId="0" borderId="1" xfId="0" applyFont="true" applyBorder="true" applyAlignment="true" applyProtection="false">
      <alignment horizontal="center" vertical="top" textRotation="0" wrapText="tru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5" fillId="5" borderId="1" xfId="0" applyFont="true" applyBorder="true" applyAlignment="true" applyProtection="false">
      <alignment horizontal="center" vertical="center" textRotation="0" wrapText="false" indent="0" shrinkToFit="false"/>
      <protection locked="true" hidden="false"/>
    </xf>
    <xf numFmtId="164" fontId="25" fillId="6" borderId="1" xfId="0" applyFont="true" applyBorder="true" applyAlignment="true" applyProtection="false">
      <alignment horizontal="center" vertical="center" textRotation="0" wrapText="false" indent="0" shrinkToFit="false"/>
      <protection locked="true" hidden="false"/>
    </xf>
    <xf numFmtId="164" fontId="25" fillId="7" borderId="1" xfId="0" applyFont="true" applyBorder="true" applyAlignment="true" applyProtection="false">
      <alignment horizontal="center" vertical="center" textRotation="0" wrapText="false" indent="0" shrinkToFit="false"/>
      <protection locked="true" hidden="false"/>
    </xf>
    <xf numFmtId="164" fontId="25" fillId="8"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1" fillId="0" borderId="1" xfId="0" applyFont="true" applyBorder="true" applyAlignment="true" applyProtection="false">
      <alignment horizontal="general" vertical="center" textRotation="0" wrapText="false" indent="0" shrinkToFit="false"/>
      <protection locked="true" hidden="false"/>
    </xf>
    <xf numFmtId="164" fontId="32"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general" vertical="center" textRotation="0" wrapText="true" indent="0" shrinkToFit="false"/>
      <protection locked="true" hidden="false"/>
    </xf>
    <xf numFmtId="166"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right" vertical="center" textRotation="0" wrapText="false" indent="0" shrinkToFit="false"/>
      <protection locked="true" hidden="false"/>
    </xf>
    <xf numFmtId="171" fontId="20" fillId="2"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general" vertical="center" textRotation="0" wrapText="fals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4" fontId="32" fillId="0" borderId="1" xfId="0" applyFont="true" applyBorder="true" applyAlignment="true" applyProtection="false">
      <alignment horizontal="center" vertical="top" textRotation="0" wrapText="true" indent="0" shrinkToFit="false"/>
      <protection locked="true" hidden="false"/>
    </xf>
    <xf numFmtId="167" fontId="16" fillId="2" borderId="1" xfId="0" applyFont="true" applyBorder="true" applyAlignment="true" applyProtection="false">
      <alignment horizontal="center" vertical="center" textRotation="0" wrapText="false" indent="0" shrinkToFit="false"/>
      <protection locked="true" hidden="false"/>
    </xf>
    <xf numFmtId="171" fontId="34" fillId="0" borderId="1"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72" fontId="15" fillId="0" borderId="1" xfId="0" applyFont="true" applyBorder="true" applyAlignment="true" applyProtection="false">
      <alignment horizontal="center" vertical="center" textRotation="0" wrapText="false" indent="0" shrinkToFit="false"/>
      <protection locked="true" hidden="false"/>
    </xf>
    <xf numFmtId="164" fontId="36" fillId="9" borderId="1"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general" vertical="center" textRotation="0" wrapText="true" indent="0" shrinkToFit="false"/>
      <protection locked="true" hidden="false"/>
    </xf>
    <xf numFmtId="171" fontId="37" fillId="0" borderId="1" xfId="0" applyFont="true" applyBorder="true" applyAlignment="true" applyProtection="false">
      <alignment horizontal="center" vertical="center" textRotation="0" wrapText="false" indent="0" shrinkToFit="false"/>
      <protection locked="true" hidden="false"/>
    </xf>
    <xf numFmtId="170" fontId="34" fillId="0" borderId="1" xfId="0" applyFont="true" applyBorder="true" applyAlignment="true" applyProtection="false">
      <alignment horizontal="center" vertical="center" textRotation="0" wrapText="false" indent="0" shrinkToFit="false"/>
      <protection locked="true" hidden="false"/>
    </xf>
    <xf numFmtId="169" fontId="37" fillId="0" borderId="1"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general" vertical="center" textRotation="0" wrapText="false" indent="0" shrinkToFit="false"/>
      <protection locked="true" hidden="false"/>
    </xf>
    <xf numFmtId="170" fontId="36" fillId="9" borderId="1" xfId="0" applyFont="true" applyBorder="true" applyAlignment="true" applyProtection="false">
      <alignment horizontal="center" vertical="center" textRotation="0" wrapText="false" indent="0" shrinkToFit="false"/>
      <protection locked="true" hidden="false"/>
    </xf>
    <xf numFmtId="170" fontId="13" fillId="0" borderId="1" xfId="0" applyFont="true" applyBorder="true" applyAlignment="true" applyProtection="false">
      <alignment horizontal="center" vertical="center" textRotation="0" wrapText="false" indent="0" shrinkToFit="false"/>
      <protection locked="true" hidden="false"/>
    </xf>
    <xf numFmtId="164" fontId="31"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72" fontId="18" fillId="2" borderId="1"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right" vertical="center" textRotation="0" wrapText="false" indent="0" shrinkToFit="false"/>
      <protection locked="true" hidden="false"/>
    </xf>
    <xf numFmtId="172" fontId="18" fillId="0" borderId="0" xfId="0" applyFont="true" applyBorder="false" applyAlignment="true" applyProtection="false">
      <alignment horizontal="center" vertical="center" textRotation="0" wrapText="false" indent="0" shrinkToFit="false"/>
      <protection locked="true" hidden="false"/>
    </xf>
    <xf numFmtId="172" fontId="19" fillId="2" borderId="1" xfId="0" applyFont="true" applyBorder="true" applyAlignment="true" applyProtection="false">
      <alignment horizontal="center" vertical="center" textRotation="0" wrapText="false" indent="0" shrinkToFit="false"/>
      <protection locked="true" hidden="false"/>
    </xf>
    <xf numFmtId="170" fontId="32" fillId="0" borderId="1" xfId="0" applyFont="true" applyBorder="true" applyAlignment="true" applyProtection="false">
      <alignment horizontal="center" vertical="center" textRotation="0" wrapText="false" indent="0" shrinkToFit="false"/>
      <protection locked="true" hidden="false"/>
    </xf>
    <xf numFmtId="172" fontId="34" fillId="0" borderId="1" xfId="0" applyFont="true" applyBorder="true" applyAlignment="true" applyProtection="false">
      <alignment horizontal="center" vertical="center" textRotation="0" wrapText="false" indent="0" shrinkToFit="false"/>
      <protection locked="true" hidden="false"/>
    </xf>
    <xf numFmtId="170" fontId="37" fillId="0" borderId="1" xfId="0" applyFont="true" applyBorder="true" applyAlignment="true" applyProtection="false">
      <alignment horizontal="center" vertical="center" textRotation="0" wrapText="false" indent="0" shrinkToFit="false"/>
      <protection locked="true" hidden="false"/>
    </xf>
    <xf numFmtId="169" fontId="34"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7" fontId="18" fillId="2" borderId="1" xfId="0" applyFont="true" applyBorder="true" applyAlignment="true" applyProtection="false">
      <alignment horizontal="center" vertical="center" textRotation="0" wrapText="false" indent="0" shrinkToFit="false"/>
      <protection locked="true" hidden="false"/>
    </xf>
    <xf numFmtId="167" fontId="34" fillId="0" borderId="1" xfId="0" applyFont="true" applyBorder="true" applyAlignment="true" applyProtection="false">
      <alignment horizontal="center" vertical="center" textRotation="0" wrapText="false" indent="0" shrinkToFit="false"/>
      <protection locked="true" hidden="false"/>
    </xf>
    <xf numFmtId="172" fontId="20" fillId="0" borderId="1" xfId="0" applyFont="true" applyBorder="true" applyAlignment="true" applyProtection="false">
      <alignment horizontal="center" vertical="center" textRotation="0" wrapText="false" indent="0" shrinkToFit="false"/>
      <protection locked="true" hidden="false"/>
    </xf>
    <xf numFmtId="164" fontId="37" fillId="0" borderId="1" xfId="0" applyFont="true" applyBorder="true" applyAlignment="true" applyProtection="false">
      <alignment horizontal="general" vertical="center" textRotation="0" wrapText="false" indent="0" shrinkToFit="false"/>
      <protection locked="true" hidden="false"/>
    </xf>
    <xf numFmtId="168" fontId="32" fillId="0" borderId="1" xfId="0" applyFont="true" applyBorder="true" applyAlignment="true" applyProtection="false">
      <alignment horizontal="center"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general" vertical="center" textRotation="0" wrapText="false" indent="0" shrinkToFit="false"/>
      <protection locked="true" hidden="false"/>
    </xf>
    <xf numFmtId="169" fontId="32" fillId="0" borderId="1" xfId="0" applyFont="true" applyBorder="true" applyAlignment="true" applyProtection="false">
      <alignment horizontal="center" vertical="center" textRotation="0" wrapText="false" indent="0" shrinkToFit="false"/>
      <protection locked="true" hidden="false"/>
    </xf>
    <xf numFmtId="168" fontId="36" fillId="9" borderId="1" xfId="0" applyFont="true" applyBorder="true" applyAlignment="true" applyProtection="false">
      <alignment horizontal="center" vertical="center" textRotation="0" wrapText="false" indent="0" shrinkToFit="false"/>
      <protection locked="true" hidden="false"/>
    </xf>
    <xf numFmtId="165" fontId="36" fillId="9" borderId="1" xfId="0" applyFont="true" applyBorder="true" applyAlignment="true" applyProtection="false">
      <alignment horizontal="center" vertical="center" textRotation="0" wrapText="false" indent="0" shrinkToFit="false"/>
      <protection locked="true" hidden="false"/>
    </xf>
    <xf numFmtId="166" fontId="36" fillId="9" borderId="1" xfId="0" applyFont="true" applyBorder="true" applyAlignment="true" applyProtection="false">
      <alignment horizontal="center" vertical="center" textRotation="0" wrapText="false" indent="0" shrinkToFit="false"/>
      <protection locked="true" hidden="false"/>
    </xf>
    <xf numFmtId="166" fontId="36" fillId="0" borderId="1" xfId="0" applyFont="true" applyBorder="true" applyAlignment="true" applyProtection="false">
      <alignment horizontal="center" vertical="center" textRotation="0" wrapText="false" indent="0" shrinkToFit="false"/>
      <protection locked="true" hidden="false"/>
    </xf>
    <xf numFmtId="170" fontId="36" fillId="0" borderId="1" xfId="0" applyFont="true" applyBorder="true" applyAlignment="true" applyProtection="false">
      <alignment horizontal="center" vertical="center" textRotation="0" wrapText="false" indent="0" shrinkToFit="false"/>
      <protection locked="true" hidden="false"/>
    </xf>
    <xf numFmtId="168" fontId="20" fillId="0" borderId="1" xfId="0" applyFont="true" applyBorder="true" applyAlignment="true" applyProtection="false">
      <alignment horizontal="center" vertical="center" textRotation="0" wrapText="false" indent="0" shrinkToFit="false"/>
      <protection locked="true" hidden="false"/>
    </xf>
    <xf numFmtId="168" fontId="34"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general" vertical="center" textRotation="0" wrapText="false" indent="0" shrinkToFit="false"/>
      <protection locked="true" hidden="false"/>
    </xf>
    <xf numFmtId="165" fontId="34" fillId="0" borderId="1" xfId="0" applyFont="true" applyBorder="true" applyAlignment="true" applyProtection="false">
      <alignment horizontal="center" vertical="center" textRotation="0" wrapText="false" indent="0" shrinkToFit="false"/>
      <protection locked="true" hidden="false"/>
    </xf>
    <xf numFmtId="166" fontId="34" fillId="0" borderId="1" xfId="0" applyFont="true" applyBorder="true" applyAlignment="true" applyProtection="false">
      <alignment horizontal="center" vertical="center" textRotation="0" wrapText="false" indent="0" shrinkToFit="false"/>
      <protection locked="true" hidden="false"/>
    </xf>
    <xf numFmtId="168" fontId="18" fillId="2"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general" vertical="center" textRotation="0" wrapText="true" indent="0" shrinkToFit="false"/>
      <protection locked="true" hidden="false"/>
    </xf>
    <xf numFmtId="164" fontId="25" fillId="0" borderId="0" xfId="0" applyFont="true" applyBorder="true" applyAlignment="true" applyProtection="false">
      <alignment horizontal="general" vertical="center" textRotation="0" wrapText="true" indent="0" shrinkToFit="false"/>
      <protection locked="true" hidden="false"/>
    </xf>
    <xf numFmtId="169" fontId="36" fillId="0" borderId="1" xfId="0" applyFont="true" applyBorder="true" applyAlignment="true" applyProtection="false">
      <alignment horizontal="center" vertical="center" textRotation="0" wrapText="false" indent="0" shrinkToFit="false"/>
      <protection locked="true" hidden="false"/>
    </xf>
    <xf numFmtId="169" fontId="36" fillId="9" borderId="1" xfId="0" applyFont="true" applyBorder="true" applyAlignment="true" applyProtection="false">
      <alignment horizontal="center" vertical="center" textRotation="0" wrapText="false" indent="0" shrinkToFit="false"/>
      <protection locked="true" hidden="false"/>
    </xf>
    <xf numFmtId="169" fontId="21"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71" fontId="18" fillId="0" borderId="0" xfId="0" applyFont="true" applyBorder="false" applyAlignment="true" applyProtection="false">
      <alignment horizontal="center" vertical="center" textRotation="0" wrapText="false" indent="0" shrinkToFit="false"/>
      <protection locked="true" hidden="false"/>
    </xf>
    <xf numFmtId="172" fontId="14" fillId="0" borderId="1" xfId="0" applyFont="true" applyBorder="true" applyAlignment="true" applyProtection="false">
      <alignment horizontal="center" vertical="center" textRotation="0" wrapText="false" indent="0" shrinkToFit="false"/>
      <protection locked="true" hidden="false"/>
    </xf>
    <xf numFmtId="167" fontId="38" fillId="2"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39" fillId="9" borderId="1" xfId="0" applyFont="true" applyBorder="true" applyAlignment="true" applyProtection="false">
      <alignment horizontal="center" vertical="center" textRotation="0" wrapText="false" indent="0" shrinkToFit="false"/>
      <protection locked="true" hidden="false"/>
    </xf>
    <xf numFmtId="173" fontId="29" fillId="0" borderId="1" xfId="0" applyFont="true" applyBorder="true" applyAlignment="true" applyProtection="false">
      <alignment horizontal="center" vertical="center" textRotation="0" wrapText="false" indent="0" shrinkToFit="false"/>
      <protection locked="true" hidden="false"/>
    </xf>
    <xf numFmtId="164" fontId="40" fillId="0" borderId="0" xfId="0" applyFont="true" applyBorder="false" applyAlignment="true" applyProtection="false">
      <alignment horizontal="general" vertical="center" textRotation="0" wrapText="false" indent="0" shrinkToFit="false"/>
      <protection locked="true" hidden="false"/>
    </xf>
    <xf numFmtId="164" fontId="18" fillId="0" borderId="1" xfId="0" applyFont="true" applyBorder="true" applyAlignment="true" applyProtection="false">
      <alignment horizontal="general" vertical="center" textRotation="0" wrapText="false" indent="0" shrinkToFit="false"/>
      <protection locked="true" hidden="false"/>
    </xf>
    <xf numFmtId="167" fontId="18" fillId="0" borderId="1" xfId="0" applyFont="true" applyBorder="true" applyAlignment="true" applyProtection="false">
      <alignment horizontal="center" vertical="center" textRotation="0" wrapText="false" indent="0" shrinkToFit="false"/>
      <protection locked="true" hidden="false"/>
    </xf>
    <xf numFmtId="168"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41" fillId="9" borderId="1" xfId="0" applyFont="true" applyBorder="true" applyAlignment="true" applyProtection="false">
      <alignment horizontal="center" vertical="center" textRotation="0" wrapText="false" indent="0" shrinkToFit="false"/>
      <protection locked="true" hidden="false"/>
    </xf>
    <xf numFmtId="171" fontId="28" fillId="0"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right" vertical="center" textRotation="0" wrapText="false" indent="0" shrinkToFit="false"/>
      <protection locked="true" hidden="false"/>
    </xf>
    <xf numFmtId="174" fontId="13"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center" vertical="center" textRotation="0" wrapText="true" indent="0" shrinkToFit="false"/>
      <protection locked="true" hidden="false"/>
    </xf>
    <xf numFmtId="170" fontId="34" fillId="0" borderId="1" xfId="0" applyFont="true" applyBorder="true" applyAlignment="true" applyProtection="false">
      <alignment horizontal="center" vertical="center" textRotation="0" wrapText="true" indent="0" shrinkToFit="false"/>
      <protection locked="true" hidden="false"/>
    </xf>
    <xf numFmtId="174" fontId="34" fillId="0" borderId="1" xfId="0" applyFont="true" applyBorder="true" applyAlignment="true" applyProtection="false">
      <alignment horizontal="center" vertical="center" textRotation="0" wrapText="false" indent="0" shrinkToFit="false"/>
      <protection locked="true" hidden="false"/>
    </xf>
    <xf numFmtId="167" fontId="34" fillId="0" borderId="1" xfId="0" applyFont="true" applyBorder="true" applyAlignment="true" applyProtection="false">
      <alignment horizontal="center" vertical="center" textRotation="0" wrapText="true" indent="0" shrinkToFit="false"/>
      <protection locked="true" hidden="false"/>
    </xf>
    <xf numFmtId="164" fontId="34" fillId="0" borderId="1" xfId="0" applyFont="true" applyBorder="true" applyAlignment="true" applyProtection="false">
      <alignment horizontal="center" vertical="center" textRotation="0" wrapText="false" indent="0" shrinkToFit="false"/>
      <protection locked="true" hidden="false"/>
    </xf>
    <xf numFmtId="164" fontId="42" fillId="0" borderId="1" xfId="0" applyFont="true" applyBorder="true" applyAlignment="true" applyProtection="false">
      <alignment horizontal="general"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72" fontId="13" fillId="0" borderId="1"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true" applyAlignment="true" applyProtection="false">
      <alignment horizontal="general" vertical="center" textRotation="0" wrapText="true" indent="0" shrinkToFit="false"/>
      <protection locked="true" hidden="false"/>
    </xf>
    <xf numFmtId="175" fontId="34" fillId="0" borderId="1" xfId="0" applyFont="true" applyBorder="true" applyAlignment="true" applyProtection="false">
      <alignment horizontal="center" vertical="center" textRotation="0" wrapText="false" indent="0" shrinkToFit="false"/>
      <protection locked="true" hidden="false"/>
    </xf>
    <xf numFmtId="176" fontId="34" fillId="0" borderId="1" xfId="0" applyFont="true" applyBorder="true" applyAlignment="true" applyProtection="false">
      <alignment horizontal="center" vertical="center" textRotation="0" wrapText="false" indent="0" shrinkToFit="false"/>
      <protection locked="true" hidden="false"/>
    </xf>
    <xf numFmtId="164" fontId="31" fillId="0"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center" textRotation="0" wrapText="true" indent="0" shrinkToFit="false"/>
      <protection locked="true" hidden="false"/>
    </xf>
    <xf numFmtId="167" fontId="36" fillId="0" borderId="1" xfId="0" applyFont="true" applyBorder="true" applyAlignment="true" applyProtection="false">
      <alignment horizontal="center" vertical="center" textRotation="0" wrapText="false" indent="0" shrinkToFit="false"/>
      <protection locked="true" hidden="false"/>
    </xf>
    <xf numFmtId="167" fontId="36" fillId="9" borderId="1" xfId="0" applyFont="true" applyBorder="true" applyAlignment="true" applyProtection="false">
      <alignment horizontal="center" vertical="center" textRotation="0" wrapText="false" indent="0" shrinkToFit="false"/>
      <protection locked="true" hidden="false"/>
    </xf>
    <xf numFmtId="172" fontId="20" fillId="2"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77" fontId="13" fillId="0" borderId="1" xfId="0" applyFont="true" applyBorder="true" applyAlignment="true" applyProtection="false">
      <alignment horizontal="center" vertical="center" textRotation="0" wrapText="false" indent="0" shrinkToFit="false"/>
      <protection locked="true" hidden="false"/>
    </xf>
    <xf numFmtId="164" fontId="43" fillId="0" borderId="0" xfId="0" applyFont="true" applyBorder="true" applyAlignment="true" applyProtection="false">
      <alignment horizontal="general" vertical="center" textRotation="0" wrapText="true" indent="0" shrinkToFit="false"/>
      <protection locked="true" hidden="false"/>
    </xf>
    <xf numFmtId="164" fontId="31" fillId="2"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44" fillId="0"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FFC7CE"/>
        </patternFill>
      </fill>
    </dxf>
    <dxf>
      <fill>
        <patternFill>
          <bgColor rgb="FFC6EFCE"/>
        </patternFill>
      </fill>
    </dxf>
    <dxf>
      <fill>
        <patternFill>
          <bgColor rgb="FFFFEB9C"/>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
      <fill>
        <patternFill patternType="solid">
          <fgColor rgb="FFFFEB9C"/>
          <bgColor rgb="FF000000"/>
        </patternFill>
      </fill>
    </dxf>
    <dxf>
      <fill>
        <patternFill patternType="solid">
          <fgColor rgb="FF008000"/>
          <bgColor rgb="FF000000"/>
        </patternFill>
      </fill>
    </dxf>
    <dxf>
      <fill>
        <patternFill patternType="solid">
          <fgColor rgb="FFEDEDED"/>
          <bgColor rgb="FF000000"/>
        </patternFill>
      </fill>
    </dxf>
    <dxf>
      <fill>
        <patternFill>
          <bgColor rgb="FFFFF2CC"/>
        </patternFill>
      </fill>
    </dxf>
    <dxf>
      <fill>
        <patternFill>
          <bgColor rgb="FFEDEDED"/>
        </patternFill>
      </fill>
    </dxf>
    <dxf>
      <fill>
        <patternFill patternType="solid">
          <fgColor rgb="FFC6EFCE"/>
          <bgColor rgb="FF000000"/>
        </patternFill>
      </fill>
    </dxf>
    <dxf>
      <fill>
        <patternFill patternType="solid">
          <fgColor rgb="FF0000FF"/>
          <bgColor rgb="FF000000"/>
        </patternFill>
      </fill>
    </dxf>
    <dxf>
      <fill>
        <patternFill patternType="solid">
          <fgColor rgb="FFFFC7CE"/>
          <bgColor rgb="FF000000"/>
        </patternFill>
      </fill>
    </dxf>
    <dxf>
      <fill>
        <patternFill patternType="solid">
          <fgColor rgb="FF404040"/>
          <bgColor rgb="FF000000"/>
        </patternFill>
      </fill>
    </dxf>
    <dxf>
      <fill>
        <patternFill>
          <bgColor rgb="FFF2F2F2"/>
        </patternFill>
      </fill>
    </dxf>
  </dxfs>
  <colors>
    <indexedColors>
      <rgbColor rgb="FF000000"/>
      <rgbColor rgb="FFFFFFFF"/>
      <rgbColor rgb="FFC00000"/>
      <rgbColor rgb="FF00FF00"/>
      <rgbColor rgb="FF0000FF"/>
      <rgbColor rgb="FFFCFCFB"/>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F3F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2F3"/>
      <rgbColor rgb="FFE8E8E4"/>
      <rgbColor rgb="FFEDEDED"/>
      <rgbColor rgb="FFFFC7CE"/>
      <rgbColor rgb="FF2A78D6"/>
      <rgbColor rgb="FF33CCCC"/>
      <rgbColor rgb="FF99CC00"/>
      <rgbColor rgb="FFFFCC00"/>
      <rgbColor rgb="FFFF9900"/>
      <rgbColor rgb="FFEB6834"/>
      <rgbColor rgb="FF595959"/>
      <rgbColor rgb="FF878787"/>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Overall score, all 13 models (0-100) — status in label; none is eligible yet</a:t>
            </a:r>
          </a:p>
        </c:rich>
      </c:tx>
      <c:overlay val="0"/>
      <c:spPr>
        <a:noFill/>
        <a:ln w="0">
          <a:noFill/>
        </a:ln>
      </c:spPr>
    </c:title>
    <c:autoTitleDeleted val="0"/>
    <c:plotArea>
      <c:barChart>
        <c:barDir val="bar"/>
        <c:grouping val="clustered"/>
        <c:varyColors val="0"/>
        <c:ser>
          <c:idx val="0"/>
          <c:order val="0"/>
          <c:tx>
            <c:strRef>
              <c:f>"Overall"</c:f>
              <c:strCache>
                <c:ptCount val="1"/>
                <c:pt idx="0">
                  <c:v>Overall</c:v>
                </c:pt>
              </c:strCache>
            </c:strRef>
          </c:tx>
          <c:spPr>
            <a:solidFill>
              <a:srgbClr val="2a78d6"/>
            </a:solidFill>
            <a:ln w="12600">
              <a:solidFill>
                <a:srgbClr val="fcfcf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 Ranking &amp; Shortlist'!$C$79:$C$91</c:f>
              <c:strCache>
                <c:ptCount val="13"/>
                <c:pt idx="0">
                  <c:v>HW20 · pending</c:v>
                </c:pt>
                <c:pt idx="1">
                  <c:v>HW19 · conditional</c:v>
                </c:pt>
                <c:pt idx="2">
                  <c:v>CT34 · conditional</c:v>
                </c:pt>
                <c:pt idx="3">
                  <c:v>VB10 · conditional</c:v>
                </c:pt>
                <c:pt idx="4">
                  <c:v>MF90 · pending</c:v>
                </c:pt>
                <c:pt idx="5">
                  <c:v>CT31 · pending</c:v>
                </c:pt>
                <c:pt idx="6">
                  <c:v>CT20S · pending</c:v>
                </c:pt>
                <c:pt idx="7">
                  <c:v>MF91 · pending</c:v>
                </c:pt>
                <c:pt idx="8">
                  <c:v>CT30 (band) · pending</c:v>
                </c:pt>
                <c:pt idx="9">
                  <c:v>HW20Pro · pending</c:v>
                </c:pt>
                <c:pt idx="10">
                  <c:v>MF40 · pending</c:v>
                </c:pt>
                <c:pt idx="11">
                  <c:v>MF91Pro · pending</c:v>
                </c:pt>
                <c:pt idx="12">
                  <c:v>CT29 · pending</c:v>
                </c:pt>
              </c:strCache>
            </c:strRef>
          </c:cat>
          <c:val>
            <c:numRef>
              <c:f>'11 Ranking &amp; Shortlist'!$D$79:$D$91</c:f>
              <c:numCache>
                <c:formatCode>0.0</c:formatCode>
                <c:ptCount val="13"/>
                <c:pt idx="0">
                  <c:v>55.8880392437771</c:v>
                </c:pt>
                <c:pt idx="1">
                  <c:v>55.7674538131497</c:v>
                </c:pt>
                <c:pt idx="2">
                  <c:v>55.0341491326068</c:v>
                </c:pt>
                <c:pt idx="3">
                  <c:v>53.207128006923</c:v>
                </c:pt>
                <c:pt idx="4">
                  <c:v>50.8965129568391</c:v>
                </c:pt>
                <c:pt idx="5">
                  <c:v>50.0757913840304</c:v>
                </c:pt>
                <c:pt idx="6">
                  <c:v>49.6444062366618</c:v>
                </c:pt>
                <c:pt idx="7">
                  <c:v>49.3195453865045</c:v>
                </c:pt>
                <c:pt idx="8">
                  <c:v>46.2308714958103</c:v>
                </c:pt>
                <c:pt idx="9">
                  <c:v>45.5153306850866</c:v>
                </c:pt>
                <c:pt idx="10">
                  <c:v>44.3063455559131</c:v>
                </c:pt>
                <c:pt idx="11">
                  <c:v>37.366723856637</c:v>
                </c:pt>
                <c:pt idx="12">
                  <c:v>33.3518129426167</c:v>
                </c:pt>
              </c:numCache>
            </c:numRef>
          </c:val>
        </c:ser>
        <c:gapWidth val="60"/>
        <c:overlap val="0"/>
        <c:axId val="47550050"/>
        <c:axId val="33029457"/>
      </c:barChart>
      <c:catAx>
        <c:axId val="4755005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029457"/>
        <c:crosses val="autoZero"/>
        <c:auto val="1"/>
        <c:lblAlgn val="ctr"/>
        <c:lblOffset val="100"/>
        <c:noMultiLvlLbl val="0"/>
      </c:catAx>
      <c:valAx>
        <c:axId val="33029457"/>
        <c:scaling>
          <c:orientation val="minMax"/>
        </c:scaling>
        <c:delete val="0"/>
        <c:axPos val="l"/>
        <c:majorGridlines>
          <c:spPr>
            <a:ln w="6480">
              <a:solidFill>
                <a:srgbClr val="e8e8e4"/>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5500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Market fit — confirmed evidence only vs if all Unknowns were Yes</a:t>
            </a:r>
          </a:p>
        </c:rich>
      </c:tx>
      <c:overlay val="0"/>
      <c:spPr>
        <a:noFill/>
        <a:ln w="0">
          <a:noFill/>
        </a:ln>
      </c:spPr>
    </c:title>
    <c:autoTitleDeleted val="0"/>
    <c:plotArea>
      <c:barChart>
        <c:barDir val="bar"/>
        <c:grouping val="clustered"/>
        <c:varyColors val="0"/>
        <c:ser>
          <c:idx val="0"/>
          <c:order val="0"/>
          <c:tx>
            <c:strRef>
              <c:f>"Confirmed only"</c:f>
              <c:strCache>
                <c:ptCount val="1"/>
                <c:pt idx="0">
                  <c:v>Confirmed only</c:v>
                </c:pt>
              </c:strCache>
            </c:strRef>
          </c:tx>
          <c:spPr>
            <a:solidFill>
              <a:srgbClr val="2a78d6"/>
            </a:solidFill>
            <a:ln w="12600">
              <a:solidFill>
                <a:srgbClr val="fcfcf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 Scoring &amp; Weights'!$C$87:$C$99</c:f>
              <c:strCache>
                <c:ptCount val="13"/>
                <c:pt idx="0">
                  <c:v>VB10</c:v>
                </c:pt>
                <c:pt idx="1">
                  <c:v>CT29</c:v>
                </c:pt>
                <c:pt idx="2">
                  <c:v>CT34</c:v>
                </c:pt>
                <c:pt idx="3">
                  <c:v>MF90</c:v>
                </c:pt>
                <c:pt idx="4">
                  <c:v>MF91</c:v>
                </c:pt>
                <c:pt idx="5">
                  <c:v>MF40</c:v>
                </c:pt>
                <c:pt idx="6">
                  <c:v>HW20</c:v>
                </c:pt>
                <c:pt idx="7">
                  <c:v>MF91Pro</c:v>
                </c:pt>
                <c:pt idx="8">
                  <c:v>HW20Pro</c:v>
                </c:pt>
                <c:pt idx="9">
                  <c:v>HW19</c:v>
                </c:pt>
                <c:pt idx="10">
                  <c:v>CT20S</c:v>
                </c:pt>
                <c:pt idx="11">
                  <c:v>CT30 (band)</c:v>
                </c:pt>
                <c:pt idx="12">
                  <c:v>CT31</c:v>
                </c:pt>
              </c:strCache>
            </c:strRef>
          </c:cat>
          <c:val>
            <c:numRef>
              <c:f>'10 Scoring &amp; Weights'!$J$87:$J$99</c:f>
              <c:numCache>
                <c:formatCode>0.0</c:formatCode>
                <c:ptCount val="13"/>
                <c:pt idx="0">
                  <c:v>52.5362598897993</c:v>
                </c:pt>
                <c:pt idx="1">
                  <c:v>19.0896423630201</c:v>
                </c:pt>
                <c:pt idx="2">
                  <c:v>49.7885190975235</c:v>
                </c:pt>
                <c:pt idx="3">
                  <c:v>63.2223093864655</c:v>
                </c:pt>
                <c:pt idx="4">
                  <c:v>62.5481472137623</c:v>
                </c:pt>
                <c:pt idx="5">
                  <c:v>44.1853610639993</c:v>
                </c:pt>
                <c:pt idx="6">
                  <c:v>70.3416938754833</c:v>
                </c:pt>
                <c:pt idx="7">
                  <c:v>24.5670618230757</c:v>
                </c:pt>
                <c:pt idx="8">
                  <c:v>51.5609471686943</c:v>
                </c:pt>
                <c:pt idx="9">
                  <c:v>57.3447210039675</c:v>
                </c:pt>
                <c:pt idx="10">
                  <c:v>50.2843941580111</c:v>
                </c:pt>
                <c:pt idx="11">
                  <c:v>44.9889057979357</c:v>
                </c:pt>
                <c:pt idx="12">
                  <c:v>45.3605292733618</c:v>
                </c:pt>
              </c:numCache>
            </c:numRef>
          </c:val>
        </c:ser>
        <c:ser>
          <c:idx val="1"/>
          <c:order val="1"/>
          <c:tx>
            <c:strRef>
              <c:f>"Potential"</c:f>
              <c:strCache>
                <c:ptCount val="1"/>
                <c:pt idx="0">
                  <c:v>Potential</c:v>
                </c:pt>
              </c:strCache>
            </c:strRef>
          </c:tx>
          <c:spPr>
            <a:solidFill>
              <a:srgbClr val="eb6834"/>
            </a:solidFill>
            <a:ln w="12600">
              <a:solidFill>
                <a:srgbClr val="fcfcf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 Scoring &amp; Weights'!$C$87:$C$99</c:f>
              <c:strCache>
                <c:ptCount val="13"/>
                <c:pt idx="0">
                  <c:v>VB10</c:v>
                </c:pt>
                <c:pt idx="1">
                  <c:v>CT29</c:v>
                </c:pt>
                <c:pt idx="2">
                  <c:v>CT34</c:v>
                </c:pt>
                <c:pt idx="3">
                  <c:v>MF90</c:v>
                </c:pt>
                <c:pt idx="4">
                  <c:v>MF91</c:v>
                </c:pt>
                <c:pt idx="5">
                  <c:v>MF40</c:v>
                </c:pt>
                <c:pt idx="6">
                  <c:v>HW20</c:v>
                </c:pt>
                <c:pt idx="7">
                  <c:v>MF91Pro</c:v>
                </c:pt>
                <c:pt idx="8">
                  <c:v>HW20Pro</c:v>
                </c:pt>
                <c:pt idx="9">
                  <c:v>HW19</c:v>
                </c:pt>
                <c:pt idx="10">
                  <c:v>CT20S</c:v>
                </c:pt>
                <c:pt idx="11">
                  <c:v>CT30 (band)</c:v>
                </c:pt>
                <c:pt idx="12">
                  <c:v>CT31</c:v>
                </c:pt>
              </c:strCache>
            </c:strRef>
          </c:cat>
          <c:val>
            <c:numRef>
              <c:f>'10 Scoring &amp; Weights'!$K$87:$K$99</c:f>
              <c:numCache>
                <c:formatCode>0.0</c:formatCode>
                <c:ptCount val="13"/>
                <c:pt idx="0">
                  <c:v>91.4147650615044</c:v>
                </c:pt>
                <c:pt idx="1">
                  <c:v>97.9721761159243</c:v>
                </c:pt>
                <c:pt idx="2">
                  <c:v>96.3879595123012</c:v>
                </c:pt>
                <c:pt idx="3">
                  <c:v>91.8170294425737</c:v>
                </c:pt>
                <c:pt idx="4">
                  <c:v>91.8170294425737</c:v>
                </c:pt>
                <c:pt idx="5">
                  <c:v>88.4573831918207</c:v>
                </c:pt>
                <c:pt idx="6">
                  <c:v>96.3032726628954</c:v>
                </c:pt>
                <c:pt idx="7">
                  <c:v>93.6328014637672</c:v>
                </c:pt>
                <c:pt idx="8">
                  <c:v>94.5288435410851</c:v>
                </c:pt>
                <c:pt idx="9">
                  <c:v>94.4875006417019</c:v>
                </c:pt>
                <c:pt idx="10">
                  <c:v>96.3032726628954</c:v>
                </c:pt>
                <c:pt idx="11">
                  <c:v>98.1842279788065</c:v>
                </c:pt>
                <c:pt idx="12">
                  <c:v>97.2970134179014</c:v>
                </c:pt>
              </c:numCache>
            </c:numRef>
          </c:val>
        </c:ser>
        <c:gapWidth val="60"/>
        <c:overlap val="0"/>
        <c:axId val="37846177"/>
        <c:axId val="42455655"/>
      </c:barChart>
      <c:catAx>
        <c:axId val="37846177"/>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455655"/>
        <c:crosses val="autoZero"/>
        <c:auto val="1"/>
        <c:lblAlgn val="ctr"/>
        <c:lblOffset val="100"/>
        <c:noMultiLvlLbl val="0"/>
      </c:catAx>
      <c:valAx>
        <c:axId val="42455655"/>
        <c:scaling>
          <c:orientation val="minMax"/>
        </c:scaling>
        <c:delete val="0"/>
        <c:axPos val="l"/>
        <c:majorGridlines>
          <c:spPr>
            <a:ln w="6480">
              <a:solidFill>
                <a:srgbClr val="e8e8e4"/>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84617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TCO over 36 months per device @ selected fleet (EUR, provisional)</a:t>
            </a:r>
          </a:p>
        </c:rich>
      </c:tx>
      <c:overlay val="0"/>
      <c:spPr>
        <a:noFill/>
        <a:ln w="0">
          <a:noFill/>
        </a:ln>
      </c:spPr>
    </c:title>
    <c:autoTitleDeleted val="0"/>
    <c:plotArea>
      <c:barChart>
        <c:barDir val="bar"/>
        <c:grouping val="clustered"/>
        <c:varyColors val="0"/>
        <c:ser>
          <c:idx val="0"/>
          <c:order val="0"/>
          <c:tx>
            <c:strRef>
              <c:f>"TCO 36m"</c:f>
              <c:strCache>
                <c:ptCount val="1"/>
                <c:pt idx="0">
                  <c:v>TCO 36m</c:v>
                </c:pt>
              </c:strCache>
            </c:strRef>
          </c:tx>
          <c:spPr>
            <a:solidFill>
              <a:srgbClr val="2a78d6"/>
            </a:solidFill>
            <a:ln w="12600">
              <a:solidFill>
                <a:srgbClr val="fcfcfb"/>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'08 TCO Model'!$B$32:$B$44</c:f>
              <c:strCache>
                <c:ptCount val="13"/>
                <c:pt idx="0">
                  <c:v>VB10</c:v>
                </c:pt>
                <c:pt idx="1">
                  <c:v>CT29</c:v>
                </c:pt>
                <c:pt idx="2">
                  <c:v>CT34</c:v>
                </c:pt>
                <c:pt idx="3">
                  <c:v>MF90</c:v>
                </c:pt>
                <c:pt idx="4">
                  <c:v>MF91</c:v>
                </c:pt>
                <c:pt idx="5">
                  <c:v>MF40</c:v>
                </c:pt>
                <c:pt idx="6">
                  <c:v>HW20</c:v>
                </c:pt>
                <c:pt idx="7">
                  <c:v>MF91Pro</c:v>
                </c:pt>
                <c:pt idx="8">
                  <c:v>HW20Pro</c:v>
                </c:pt>
                <c:pt idx="9">
                  <c:v>HW19</c:v>
                </c:pt>
                <c:pt idx="10">
                  <c:v>CT20S</c:v>
                </c:pt>
                <c:pt idx="11">
                  <c:v>CT30 (band)</c:v>
                </c:pt>
                <c:pt idx="12">
                  <c:v>CT31</c:v>
                </c:pt>
              </c:strCache>
            </c:strRef>
          </c:cat>
          <c:val>
            <c:numRef>
              <c:f>'08 TCO Model'!$Y$32:$Y$44</c:f>
              <c:numCache>
                <c:formatCode>#,##0.00;\(#,##0.00\);\-</c:formatCode>
                <c:ptCount val="13"/>
                <c:pt idx="0">
                  <c:v>93.23</c:v>
                </c:pt>
                <c:pt idx="1">
                  <c:v>140.1386</c:v>
                </c:pt>
                <c:pt idx="2">
                  <c:v>140.1386</c:v>
                </c:pt>
                <c:pt idx="3">
                  <c:v>66.69935</c:v>
                </c:pt>
                <c:pt idx="4">
                  <c:v>66.69935</c:v>
                </c:pt>
                <c:pt idx="5">
                  <c:v>114.5818</c:v>
                </c:pt>
                <c:pt idx="6">
                  <c:v>189.7286</c:v>
                </c:pt>
                <c:pt idx="7">
                  <c:v>66.69935</c:v>
                </c:pt>
                <c:pt idx="8">
                  <c:v>189.7286</c:v>
                </c:pt>
                <c:pt idx="9">
                  <c:v>189.7286</c:v>
                </c:pt>
                <c:pt idx="10">
                  <c:v>140.1386</c:v>
                </c:pt>
                <c:pt idx="11">
                  <c:v>137.1632</c:v>
                </c:pt>
                <c:pt idx="12">
                  <c:v>137.1632</c:v>
                </c:pt>
              </c:numCache>
            </c:numRef>
          </c:val>
        </c:ser>
        <c:gapWidth val="60"/>
        <c:overlap val="0"/>
        <c:axId val="80795770"/>
        <c:axId val="37112906"/>
      </c:barChart>
      <c:catAx>
        <c:axId val="8079577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112906"/>
        <c:crosses val="autoZero"/>
        <c:auto val="1"/>
        <c:lblAlgn val="ctr"/>
        <c:lblOffset val="100"/>
        <c:noMultiLvlLbl val="0"/>
      </c:catAx>
      <c:valAx>
        <c:axId val="37112906"/>
        <c:scaling>
          <c:orientation val="minMax"/>
        </c:scaling>
        <c:delete val="0"/>
        <c:axPos val="l"/>
        <c:majorGridlines>
          <c:spPr>
            <a:ln w="6480">
              <a:solidFill>
                <a:srgbClr val="e8e8e4"/>
              </a:solidFill>
              <a:round/>
            </a:ln>
          </c:spPr>
        </c:majorGridlines>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7957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44</xdr:row>
      <xdr:rowOff>37440</xdr:rowOff>
    </xdr:from>
    <xdr:to>
      <xdr:col>6</xdr:col>
      <xdr:colOff>480960</xdr:colOff>
      <xdr:row>58</xdr:row>
      <xdr:rowOff>70200</xdr:rowOff>
    </xdr:to>
    <xdr:graphicFrame>
      <xdr:nvGraphicFramePr>
        <xdr:cNvPr id="0" name="Chart 1"/>
        <xdr:cNvGraphicFramePr/>
      </xdr:nvGraphicFramePr>
      <xdr:xfrm>
        <a:off x="141120" y="1041084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44</xdr:row>
      <xdr:rowOff>37440</xdr:rowOff>
    </xdr:from>
    <xdr:to>
      <xdr:col>14</xdr:col>
      <xdr:colOff>315360</xdr:colOff>
      <xdr:row>58</xdr:row>
      <xdr:rowOff>70200</xdr:rowOff>
    </xdr:to>
    <xdr:graphicFrame>
      <xdr:nvGraphicFramePr>
        <xdr:cNvPr id="1" name="Chart 2"/>
        <xdr:cNvGraphicFramePr/>
      </xdr:nvGraphicFramePr>
      <xdr:xfrm>
        <a:off x="6555240" y="1041084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60</xdr:row>
      <xdr:rowOff>37440</xdr:rowOff>
    </xdr:from>
    <xdr:to>
      <xdr:col>6</xdr:col>
      <xdr:colOff>480960</xdr:colOff>
      <xdr:row>74</xdr:row>
      <xdr:rowOff>70200</xdr:rowOff>
    </xdr:to>
    <xdr:graphicFrame>
      <xdr:nvGraphicFramePr>
        <xdr:cNvPr id="2" name="Chart 3"/>
        <xdr:cNvGraphicFramePr/>
      </xdr:nvGraphicFramePr>
      <xdr:xfrm>
        <a:off x="141120" y="13458960"/>
        <a:ext cx="611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iwonlex.net/products/vb10-medical-grade-screenless-health-band-with-ecg-and-hrv-monitoring/" TargetMode="External"/><Relationship Id="rId2" Type="http://schemas.openxmlformats.org/officeDocument/2006/relationships/hyperlink" Target="https://www.iwonlex.net/products/wonlex-4g-cheap-gps-wifi-calling-cat1-kids-smart-watch-s10/" TargetMode="External"/><Relationship Id="rId3" Type="http://schemas.openxmlformats.org/officeDocument/2006/relationships/hyperlink" Target="https://www.iwonlex.net/products/wonlex-ct34-4g-gps-screenless-sos-smart-band-for-seniors/" TargetMode="External"/><Relationship Id="rId4" Type="http://schemas.openxmlformats.org/officeDocument/2006/relationships/hyperlink" Target="https://www.iwonlex.net/products/mf90-bluetooth-screenless-ecg---health-monitoring-band/" TargetMode="External"/><Relationship Id="rId5" Type="http://schemas.openxmlformats.org/officeDocument/2006/relationships/hyperlink" Target="https://www.iwonlex.net/products/mf91-screenless-health-fitness-bracelet-for-gym-and-sports-monitoring-band/" TargetMode="External"/><Relationship Id="rId6" Type="http://schemas.openxmlformats.org/officeDocument/2006/relationships/hyperlink" Target="https://www.iwonlex.net/top-5-smart-health-watches-for-seniors-aging-in-place/" TargetMode="External"/><Relationship Id="rId7" Type="http://schemas.openxmlformats.org/officeDocument/2006/relationships/hyperlink" Target="https://www.iwonlex.net/products/wonlex-hw20-4g-gps-senior-health-smartwatch-with-air-pump-blood-pressure-monitor/" TargetMode="External"/><Relationship Id="rId8" Type="http://schemas.openxmlformats.org/officeDocument/2006/relationships/hyperlink" Target="https://www.iwonlex.net/products/mf91pro-medical-grade-screenless-health-band-with-ecg-and-hrv-monitoring/" TargetMode="External"/><Relationship Id="rId9" Type="http://schemas.openxmlformats.org/officeDocument/2006/relationships/hyperlink" Target="https://www.iwonlex.net/products/wonlex-4g-ble-medical-air-pump-smartwatch-hw20pro--precision-bp---senior-health-monitoring/" TargetMode="External"/><Relationship Id="rId10" Type="http://schemas.openxmlformats.org/officeDocument/2006/relationships/hyperlink" Target="https://www.iwonlex.net/products/hw19-4g-senior-health-smartwatch-with-sos-and-gps/" TargetMode="External"/><Relationship Id="rId11" Type="http://schemas.openxmlformats.org/officeDocument/2006/relationships/hyperlink" Target="https://www.iwonlex.net/products/wonlex-ct20s-4g-smart-watch-for-elderly-with-large-screen-and-fall-detection/" TargetMode="External"/><Relationship Id="rId12" Type="http://schemas.openxmlformats.org/officeDocument/2006/relationships/hyperlink" Target="https://www.iwonlex.net/products/wonlex-4g-cat1-hr-br-monitoring-gps-kids-watch-s8-with-wifi-sos/" TargetMode="External"/><Relationship Id="rId13" Type="http://schemas.openxmlformats.org/officeDocument/2006/relationships/hyperlink" Target="https://www.iwonlex.net/products/4g-ct31-screenless-senior-band-with-dual-big-button-and-big-battery/" TargetMode="External"/><Relationship Id="rId14"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base.xlsx" TargetMode="External"/><Relationship Id="rId3" Type="http://schemas.openxmlformats.org/officeDocument/2006/relationships/hyperlink" Target="base.xlsx" TargetMode="External"/><Relationship Id="rId4" Type="http://schemas.openxmlformats.org/officeDocument/2006/relationships/hyperlink" Target="base.xlsx" TargetMode="External"/><Relationship Id="rId5" Type="http://schemas.openxmlformats.org/officeDocument/2006/relationships/hyperlink" Target="base.xlsx" TargetMode="External"/><Relationship Id="rId6" Type="http://schemas.openxmlformats.org/officeDocument/2006/relationships/hyperlink" Target="base.xlsx" TargetMode="External"/><Relationship Id="rId7" Type="http://schemas.openxmlformats.org/officeDocument/2006/relationships/hyperlink" Target="base.xlsx" TargetMode="External"/><Relationship Id="rId8" Type="http://schemas.openxmlformats.org/officeDocument/2006/relationships/hyperlink" Target="base.xlsx" TargetMode="External"/><Relationship Id="rId9" Type="http://schemas.openxmlformats.org/officeDocument/2006/relationships/hyperlink" Target="base.xlsx" TargetMode="External"/><Relationship Id="rId10" Type="http://schemas.openxmlformats.org/officeDocument/2006/relationships/hyperlink" Target="base.xlsx" TargetMode="External"/><Relationship Id="rId11" Type="http://schemas.openxmlformats.org/officeDocument/2006/relationships/hyperlink" Target="base.xlsx" TargetMode="External"/><Relationship Id="rId12" Type="http://schemas.openxmlformats.org/officeDocument/2006/relationships/hyperlink" Target="base.xlsx" TargetMode="External"/><Relationship Id="rId13" Type="http://schemas.openxmlformats.org/officeDocument/2006/relationships/hyperlink" Target="base.xlsx" TargetMode="External"/><Relationship Id="rId14" Type="http://schemas.openxmlformats.org/officeDocument/2006/relationships/hyperlink" Target="base.xlsx" TargetMode="External"/><Relationship Id="rId15" Type="http://schemas.openxmlformats.org/officeDocument/2006/relationships/hyperlink" Target="base.xlsx" TargetMode="External"/><Relationship Id="rId16" Type="http://schemas.openxmlformats.org/officeDocument/2006/relationships/hyperlink" Target="base.xlsx" TargetMode="External"/><Relationship Id="rId17" Type="http://schemas.openxmlformats.org/officeDocument/2006/relationships/hyperlink" Target="base.xlsx" TargetMode="External"/><Relationship Id="rId18" Type="http://schemas.openxmlformats.org/officeDocument/2006/relationships/hyperlink" Target="base.xlsx" TargetMode="External"/><Relationship Id="rId19" Type="http://schemas.openxmlformats.org/officeDocument/2006/relationships/hyperlink" Target="base.xlsx" TargetMode="External"/><Relationship Id="rId20" Type="http://schemas.openxmlformats.org/officeDocument/2006/relationships/hyperlink" Target="base.xlsx" TargetMode="External"/><Relationship Id="rId21" Type="http://schemas.openxmlformats.org/officeDocument/2006/relationships/hyperlink" Target="base.xlsx" TargetMode="External"/><Relationship Id="rId22" Type="http://schemas.openxmlformats.org/officeDocument/2006/relationships/hyperlink" Target="base.xlsx" TargetMode="External"/><Relationship Id="rId23" Type="http://schemas.openxmlformats.org/officeDocument/2006/relationships/hyperlink" Target="base.xlsx" TargetMode="External"/><Relationship Id="rId24" Type="http://schemas.openxmlformats.org/officeDocument/2006/relationships/hyperlink" Target="base.xlsx" TargetMode="External"/><Relationship Id="rId25" Type="http://schemas.openxmlformats.org/officeDocument/2006/relationships/hyperlink" Target="base.xlsx" TargetMode="External"/><Relationship Id="rId26" Type="http://schemas.openxmlformats.org/officeDocument/2006/relationships/hyperlink" Target="base.xlsx" TargetMode="External"/><Relationship Id="rId27" Type="http://schemas.openxmlformats.org/officeDocument/2006/relationships/hyperlink" Target="base.xlsx" TargetMode="External"/><Relationship Id="rId28" Type="http://schemas.openxmlformats.org/officeDocument/2006/relationships/hyperlink" Target="base.xlsx" TargetMode="External"/><Relationship Id="rId29" Type="http://schemas.openxmlformats.org/officeDocument/2006/relationships/hyperlink" Target="base.xlsx" TargetMode="External"/><Relationship Id="rId30" Type="http://schemas.openxmlformats.org/officeDocument/2006/relationships/hyperlink" Target="base.xlsx" TargetMode="External"/><Relationship Id="rId31" Type="http://schemas.openxmlformats.org/officeDocument/2006/relationships/hyperlink" Target="base.xlsx" TargetMode="External"/><Relationship Id="rId32" Type="http://schemas.openxmlformats.org/officeDocument/2006/relationships/hyperlink" Target="base.xlsx" TargetMode="External"/><Relationship Id="rId33" Type="http://schemas.openxmlformats.org/officeDocument/2006/relationships/hyperlink" Target="base.xlsx" TargetMode="External"/><Relationship Id="rId34" Type="http://schemas.openxmlformats.org/officeDocument/2006/relationships/hyperlink" Target="base.xlsx" TargetMode="External"/><Relationship Id="rId35" Type="http://schemas.openxmlformats.org/officeDocument/2006/relationships/hyperlink" Target="base.xlsx" TargetMode="External"/><Relationship Id="rId36" Type="http://schemas.openxmlformats.org/officeDocument/2006/relationships/hyperlink" Target="base.xlsx" TargetMode="External"/><Relationship Id="rId37" Type="http://schemas.openxmlformats.org/officeDocument/2006/relationships/hyperlink" Target="base.xlsx" TargetMode="External"/><Relationship Id="rId38" Type="http://schemas.openxmlformats.org/officeDocument/2006/relationships/hyperlink" Target="base.xlsx" TargetMode="External"/><Relationship Id="rId39" Type="http://schemas.openxmlformats.org/officeDocument/2006/relationships/hyperlink" Target="base.xlsx" TargetMode="External"/><Relationship Id="rId40" Type="http://schemas.openxmlformats.org/officeDocument/2006/relationships/hyperlink" Target="base.xlsx" TargetMode="External"/><Relationship Id="rId41" Type="http://schemas.openxmlformats.org/officeDocument/2006/relationships/hyperlink" Target="base.xlsx" TargetMode="External"/><Relationship Id="rId42" Type="http://schemas.openxmlformats.org/officeDocument/2006/relationships/hyperlink" Target="base.xlsx" TargetMode="External"/><Relationship Id="rId43" Type="http://schemas.openxmlformats.org/officeDocument/2006/relationships/hyperlink" Target="base.xlsx" TargetMode="External"/><Relationship Id="rId44" Type="http://schemas.openxmlformats.org/officeDocument/2006/relationships/hyperlink" Target="base.xlsx" TargetMode="External"/><Relationship Id="rId45" Type="http://schemas.openxmlformats.org/officeDocument/2006/relationships/hyperlink" Target="base.xlsx" TargetMode="External"/><Relationship Id="rId46" Type="http://schemas.openxmlformats.org/officeDocument/2006/relationships/hyperlink" Target="base.xlsx" TargetMode="External"/><Relationship Id="rId47" Type="http://schemas.openxmlformats.org/officeDocument/2006/relationships/hyperlink" Target="base.xlsx" TargetMode="External"/><Relationship Id="rId48" Type="http://schemas.openxmlformats.org/officeDocument/2006/relationships/hyperlink" Target="base.xlsx" TargetMode="External"/><Relationship Id="rId49" Type="http://schemas.openxmlformats.org/officeDocument/2006/relationships/hyperlink" Target="base.xlsx" TargetMode="External"/><Relationship Id="rId50" Type="http://schemas.openxmlformats.org/officeDocument/2006/relationships/hyperlink" Target="base.xlsx" TargetMode="External"/><Relationship Id="rId51" Type="http://schemas.openxmlformats.org/officeDocument/2006/relationships/hyperlink" Target="base.xlsx" TargetMode="External"/><Relationship Id="rId52" Type="http://schemas.openxmlformats.org/officeDocument/2006/relationships/hyperlink" Target="base.xlsx" TargetMode="External"/><Relationship Id="rId53" Type="http://schemas.openxmlformats.org/officeDocument/2006/relationships/hyperlink" Target="base.xlsx" TargetMode="External"/><Relationship Id="rId54" Type="http://schemas.openxmlformats.org/officeDocument/2006/relationships/hyperlink" Target="base.xlsx" TargetMode="External"/><Relationship Id="rId55" Type="http://schemas.openxmlformats.org/officeDocument/2006/relationships/hyperlink" Target="base.xlsx" TargetMode="External"/><Relationship Id="rId56" Type="http://schemas.openxmlformats.org/officeDocument/2006/relationships/hyperlink" Target="base.xlsx" TargetMode="External"/><Relationship Id="rId57" Type="http://schemas.openxmlformats.org/officeDocument/2006/relationships/hyperlink" Target="base.xlsx" TargetMode="External"/><Relationship Id="rId58" Type="http://schemas.openxmlformats.org/officeDocument/2006/relationships/hyperlink" Target="base.xlsx" TargetMode="External"/><Relationship Id="rId59" Type="http://schemas.openxmlformats.org/officeDocument/2006/relationships/hyperlink" Target="base.xlsx" TargetMode="External"/><Relationship Id="rId60" Type="http://schemas.openxmlformats.org/officeDocument/2006/relationships/hyperlink" Target="base.xlsx" TargetMode="External"/><Relationship Id="rId61" Type="http://schemas.openxmlformats.org/officeDocument/2006/relationships/hyperlink" Target="base.xlsx" TargetMode="External"/><Relationship Id="rId62" Type="http://schemas.openxmlformats.org/officeDocument/2006/relationships/hyperlink" Target="base.xlsx" TargetMode="External"/><Relationship Id="rId63" Type="http://schemas.openxmlformats.org/officeDocument/2006/relationships/hyperlink" Target="base.xlsx" TargetMode="External"/><Relationship Id="rId64" Type="http://schemas.openxmlformats.org/officeDocument/2006/relationships/hyperlink" Target="base.xlsx" TargetMode="External"/><Relationship Id="rId65" Type="http://schemas.openxmlformats.org/officeDocument/2006/relationships/hyperlink" Target="base.xlsx" TargetMode="External"/><Relationship Id="rId66" Type="http://schemas.openxmlformats.org/officeDocument/2006/relationships/hyperlink" Target="base.xlsx" TargetMode="External"/><Relationship Id="rId67" Type="http://schemas.openxmlformats.org/officeDocument/2006/relationships/hyperlink" Target="base.xlsx" TargetMode="External"/><Relationship Id="rId68" Type="http://schemas.openxmlformats.org/officeDocument/2006/relationships/hyperlink" Target="base.xlsx" TargetMode="External"/><Relationship Id="rId69" Type="http://schemas.openxmlformats.org/officeDocument/2006/relationships/hyperlink" Target="base.xlsx" TargetMode="External"/><Relationship Id="rId70" Type="http://schemas.openxmlformats.org/officeDocument/2006/relationships/hyperlink" Target="base.xlsx" TargetMode="External"/><Relationship Id="rId71" Type="http://schemas.openxmlformats.org/officeDocument/2006/relationships/hyperlink" Target="base.xlsx" TargetMode="External"/><Relationship Id="rId72" Type="http://schemas.openxmlformats.org/officeDocument/2006/relationships/hyperlink" Target="base.xlsx" TargetMode="External"/><Relationship Id="rId73" Type="http://schemas.openxmlformats.org/officeDocument/2006/relationships/hyperlink" Target="base.xlsx" TargetMode="External"/><Relationship Id="rId74" Type="http://schemas.openxmlformats.org/officeDocument/2006/relationships/hyperlink" Target="base.xlsx" TargetMode="External"/><Relationship Id="rId75" Type="http://schemas.openxmlformats.org/officeDocument/2006/relationships/hyperlink" Target="base.xlsx" TargetMode="External"/><Relationship Id="rId76" Type="http://schemas.openxmlformats.org/officeDocument/2006/relationships/hyperlink" Target="base.xlsx" TargetMode="External"/><Relationship Id="rId77" Type="http://schemas.openxmlformats.org/officeDocument/2006/relationships/hyperlink" Target="base.xlsx" TargetMode="External"/><Relationship Id="rId78" Type="http://schemas.openxmlformats.org/officeDocument/2006/relationships/hyperlink" Target="base.xlsx" TargetMode="External"/><Relationship Id="rId79" Type="http://schemas.openxmlformats.org/officeDocument/2006/relationships/hyperlink" Target="base.xlsx" TargetMode="External"/><Relationship Id="rId80" Type="http://schemas.openxmlformats.org/officeDocument/2006/relationships/hyperlink" Target="base.xlsx" TargetMode="External"/><Relationship Id="rId81" Type="http://schemas.openxmlformats.org/officeDocument/2006/relationships/hyperlink" Target="base.xlsx" TargetMode="External"/><Relationship Id="rId82" Type="http://schemas.openxmlformats.org/officeDocument/2006/relationships/hyperlink" Target="base.xlsx" TargetMode="External"/><Relationship Id="rId83" Type="http://schemas.openxmlformats.org/officeDocument/2006/relationships/hyperlink" Target="base.xlsx" TargetMode="External"/><Relationship Id="rId84" Type="http://schemas.openxmlformats.org/officeDocument/2006/relationships/hyperlink" Target="base.xlsx" TargetMode="External"/><Relationship Id="rId85" Type="http://schemas.openxmlformats.org/officeDocument/2006/relationships/hyperlink" Target="base.xlsx" TargetMode="External"/><Relationship Id="rId86" Type="http://schemas.openxmlformats.org/officeDocument/2006/relationships/hyperlink" Target="base.xlsx" TargetMode="External"/><Relationship Id="rId87" Type="http://schemas.openxmlformats.org/officeDocument/2006/relationships/hyperlink" Target="base.xlsx" TargetMode="External"/><Relationship Id="rId88" Type="http://schemas.openxmlformats.org/officeDocument/2006/relationships/hyperlink" Target="base.xlsx" TargetMode="External"/><Relationship Id="rId89" Type="http://schemas.openxmlformats.org/officeDocument/2006/relationships/hyperlink" Target="base.xlsx" TargetMode="External"/><Relationship Id="rId90" Type="http://schemas.openxmlformats.org/officeDocument/2006/relationships/hyperlink" Target="base.xlsx" TargetMode="External"/><Relationship Id="rId91" Type="http://schemas.openxmlformats.org/officeDocument/2006/relationships/hyperlink" Target="base.xlsx" TargetMode="External"/><Relationship Id="rId92" Type="http://schemas.openxmlformats.org/officeDocument/2006/relationships/hyperlink" Target="base.xlsx" TargetMode="External"/><Relationship Id="rId93" Type="http://schemas.openxmlformats.org/officeDocument/2006/relationships/hyperlink" Target="base.xlsx" TargetMode="External"/><Relationship Id="rId94" Type="http://schemas.openxmlformats.org/officeDocument/2006/relationships/hyperlink" Target="base.xlsx" TargetMode="External"/><Relationship Id="rId95" Type="http://schemas.openxmlformats.org/officeDocument/2006/relationships/hyperlink" Target="base.xlsx" TargetMode="External"/><Relationship Id="rId96" Type="http://schemas.openxmlformats.org/officeDocument/2006/relationships/hyperlink" Target="base.xlsx" TargetMode="External"/><Relationship Id="rId97" Type="http://schemas.openxmlformats.org/officeDocument/2006/relationships/hyperlink" Target="base.xlsx" TargetMode="External"/><Relationship Id="rId98" Type="http://schemas.openxmlformats.org/officeDocument/2006/relationships/hyperlink" Target="base.xlsx" TargetMode="External"/><Relationship Id="rId99" Type="http://schemas.openxmlformats.org/officeDocument/2006/relationships/hyperlink" Target="base.xlsx" TargetMode="External"/><Relationship Id="rId100" Type="http://schemas.openxmlformats.org/officeDocument/2006/relationships/hyperlink" Target="base.xlsx" TargetMode="External"/><Relationship Id="rId101" Type="http://schemas.openxmlformats.org/officeDocument/2006/relationships/hyperlink" Target="base.xlsx" TargetMode="External"/><Relationship Id="rId102" Type="http://schemas.openxmlformats.org/officeDocument/2006/relationships/hyperlink" Target="base.xlsx" TargetMode="External"/><Relationship Id="rId103" Type="http://schemas.openxmlformats.org/officeDocument/2006/relationships/hyperlink" Target="base.xlsx" TargetMode="External"/><Relationship Id="rId104" Type="http://schemas.openxmlformats.org/officeDocument/2006/relationships/hyperlink" Target="base.xlsx" TargetMode="External"/><Relationship Id="rId105" Type="http://schemas.openxmlformats.org/officeDocument/2006/relationships/hyperlink" Target="base.xlsx" TargetMode="External"/><Relationship Id="rId106" Type="http://schemas.openxmlformats.org/officeDocument/2006/relationships/hyperlink" Target="base.xlsx" TargetMode="External"/><Relationship Id="rId107" Type="http://schemas.openxmlformats.org/officeDocument/2006/relationships/hyperlink" Target="base.xlsx" TargetMode="External"/><Relationship Id="rId108" Type="http://schemas.openxmlformats.org/officeDocument/2006/relationships/hyperlink" Target="base.xlsx" TargetMode="External"/><Relationship Id="rId109" Type="http://schemas.openxmlformats.org/officeDocument/2006/relationships/hyperlink" Target="base.xlsx" TargetMode="External"/><Relationship Id="rId110" Type="http://schemas.openxmlformats.org/officeDocument/2006/relationships/hyperlink" Target="base.xlsx" TargetMode="External"/><Relationship Id="rId111" Type="http://schemas.openxmlformats.org/officeDocument/2006/relationships/hyperlink" Target="base.xlsx" TargetMode="External"/><Relationship Id="rId112" Type="http://schemas.openxmlformats.org/officeDocument/2006/relationships/hyperlink" Target="base.xlsx" TargetMode="External"/><Relationship Id="rId113" Type="http://schemas.openxmlformats.org/officeDocument/2006/relationships/hyperlink" Target="base.xlsx" TargetMode="External"/><Relationship Id="rId114" Type="http://schemas.openxmlformats.org/officeDocument/2006/relationships/hyperlink" Target="base.xlsx" TargetMode="External"/><Relationship Id="rId115" Type="http://schemas.openxmlformats.org/officeDocument/2006/relationships/hyperlink" Target="base.xlsx" TargetMode="External"/><Relationship Id="rId116" Type="http://schemas.openxmlformats.org/officeDocument/2006/relationships/hyperlink" Target="base.xlsx" TargetMode="External"/><Relationship Id="rId117" Type="http://schemas.openxmlformats.org/officeDocument/2006/relationships/hyperlink" Target="base.xlsx" TargetMode="External"/><Relationship Id="rId118" Type="http://schemas.openxmlformats.org/officeDocument/2006/relationships/hyperlink" Target="base.xlsx" TargetMode="External"/><Relationship Id="rId119" Type="http://schemas.openxmlformats.org/officeDocument/2006/relationships/hyperlink" Target="base.xlsx" TargetMode="External"/><Relationship Id="rId120" Type="http://schemas.openxmlformats.org/officeDocument/2006/relationships/hyperlink" Target="base.xlsx" TargetMode="External"/><Relationship Id="rId121" Type="http://schemas.openxmlformats.org/officeDocument/2006/relationships/hyperlink" Target="base.xlsx" TargetMode="External"/><Relationship Id="rId122" Type="http://schemas.openxmlformats.org/officeDocument/2006/relationships/hyperlink" Target="base.xlsx" TargetMode="External"/><Relationship Id="rId123" Type="http://schemas.openxmlformats.org/officeDocument/2006/relationships/hyperlink" Target="base.xlsx" TargetMode="External"/><Relationship Id="rId124" Type="http://schemas.openxmlformats.org/officeDocument/2006/relationships/hyperlink" Target="base.xlsx" TargetMode="External"/><Relationship Id="rId125" Type="http://schemas.openxmlformats.org/officeDocument/2006/relationships/hyperlink" Target="base.xlsx" TargetMode="External"/><Relationship Id="rId126" Type="http://schemas.openxmlformats.org/officeDocument/2006/relationships/hyperlink" Target="base.xlsx" TargetMode="External"/><Relationship Id="rId127" Type="http://schemas.openxmlformats.org/officeDocument/2006/relationships/hyperlink" Target="base.xlsx" TargetMode="External"/><Relationship Id="rId128" Type="http://schemas.openxmlformats.org/officeDocument/2006/relationships/hyperlink" Target="base.xlsx" TargetMode="External"/><Relationship Id="rId129" Type="http://schemas.openxmlformats.org/officeDocument/2006/relationships/hyperlink" Target="base.xlsx" TargetMode="External"/><Relationship Id="rId130" Type="http://schemas.openxmlformats.org/officeDocument/2006/relationships/hyperlink" Target="base.xlsx" TargetMode="External"/><Relationship Id="rId131" Type="http://schemas.openxmlformats.org/officeDocument/2006/relationships/hyperlink" Target="base.xlsx" TargetMode="External"/><Relationship Id="rId132" Type="http://schemas.openxmlformats.org/officeDocument/2006/relationships/hyperlink" Target="base.xlsx" TargetMode="External"/><Relationship Id="rId133" Type="http://schemas.openxmlformats.org/officeDocument/2006/relationships/hyperlink" Target="base.xlsx" TargetMode="External"/><Relationship Id="rId134" Type="http://schemas.openxmlformats.org/officeDocument/2006/relationships/hyperlink" Target="base.xlsx" TargetMode="External"/><Relationship Id="rId135" Type="http://schemas.openxmlformats.org/officeDocument/2006/relationships/hyperlink" Target="base.xlsx" TargetMode="External"/><Relationship Id="rId136" Type="http://schemas.openxmlformats.org/officeDocument/2006/relationships/hyperlink" Target="base.xlsx" TargetMode="External"/><Relationship Id="rId137" Type="http://schemas.openxmlformats.org/officeDocument/2006/relationships/hyperlink" Target="base.xlsx" TargetMode="External"/><Relationship Id="rId138" Type="http://schemas.openxmlformats.org/officeDocument/2006/relationships/hyperlink" Target="base.xlsx" TargetMode="External"/><Relationship Id="rId139" Type="http://schemas.openxmlformats.org/officeDocument/2006/relationships/hyperlink" Target="base.xlsx" TargetMode="External"/><Relationship Id="rId140" Type="http://schemas.openxmlformats.org/officeDocument/2006/relationships/hyperlink" Target="base.xlsx" TargetMode="External"/><Relationship Id="rId141" Type="http://schemas.openxmlformats.org/officeDocument/2006/relationships/hyperlink" Target="base.xlsx" TargetMode="External"/><Relationship Id="rId142" Type="http://schemas.openxmlformats.org/officeDocument/2006/relationships/hyperlink" Target="base.xlsx" TargetMode="External"/><Relationship Id="rId143" Type="http://schemas.openxmlformats.org/officeDocument/2006/relationships/hyperlink" Target="base.xlsx" TargetMode="External"/><Relationship Id="rId144" Type="http://schemas.openxmlformats.org/officeDocument/2006/relationships/hyperlink" Target="base.xlsx" TargetMode="External"/><Relationship Id="rId145" Type="http://schemas.openxmlformats.org/officeDocument/2006/relationships/hyperlink" Target="base.xlsx" TargetMode="External"/><Relationship Id="rId146" Type="http://schemas.openxmlformats.org/officeDocument/2006/relationships/hyperlink" Target="base.xlsx" TargetMode="External"/><Relationship Id="rId147" Type="http://schemas.openxmlformats.org/officeDocument/2006/relationships/hyperlink" Target="base.xlsx" TargetMode="External"/><Relationship Id="rId148" Type="http://schemas.openxmlformats.org/officeDocument/2006/relationships/hyperlink" Target="base.xlsx" TargetMode="External"/><Relationship Id="rId149" Type="http://schemas.openxmlformats.org/officeDocument/2006/relationships/hyperlink" Target="base.xlsx" TargetMode="External"/><Relationship Id="rId150" Type="http://schemas.openxmlformats.org/officeDocument/2006/relationships/hyperlink" Target="base.xlsx" TargetMode="External"/><Relationship Id="rId151" Type="http://schemas.openxmlformats.org/officeDocument/2006/relationships/hyperlink" Target="base.xlsx" TargetMode="External"/><Relationship Id="rId152" Type="http://schemas.openxmlformats.org/officeDocument/2006/relationships/hyperlink" Target="base.xlsx" TargetMode="External"/><Relationship Id="rId153" Type="http://schemas.openxmlformats.org/officeDocument/2006/relationships/hyperlink" Target="base.xlsx" TargetMode="External"/><Relationship Id="rId154" Type="http://schemas.openxmlformats.org/officeDocument/2006/relationships/hyperlink" Target="base.xlsx" TargetMode="External"/><Relationship Id="rId155" Type="http://schemas.openxmlformats.org/officeDocument/2006/relationships/hyperlink" Target="base.xlsx" TargetMode="External"/><Relationship Id="rId156" Type="http://schemas.openxmlformats.org/officeDocument/2006/relationships/hyperlink" Target="base.xlsx" TargetMode="External"/><Relationship Id="rId157" Type="http://schemas.openxmlformats.org/officeDocument/2006/relationships/hyperlink" Target="base.xlsx" TargetMode="External"/><Relationship Id="rId158" Type="http://schemas.openxmlformats.org/officeDocument/2006/relationships/hyperlink" Target="base.xlsx" TargetMode="External"/><Relationship Id="rId159" Type="http://schemas.openxmlformats.org/officeDocument/2006/relationships/hyperlink" Target="base.xlsx" TargetMode="External"/><Relationship Id="rId160" Type="http://schemas.openxmlformats.org/officeDocument/2006/relationships/hyperlink" Target="base.xlsx" TargetMode="External"/><Relationship Id="rId161" Type="http://schemas.openxmlformats.org/officeDocument/2006/relationships/hyperlink" Target="base.xlsx" TargetMode="External"/><Relationship Id="rId162" Type="http://schemas.openxmlformats.org/officeDocument/2006/relationships/hyperlink" Target="base.xlsx" TargetMode="External"/><Relationship Id="rId163" Type="http://schemas.openxmlformats.org/officeDocument/2006/relationships/drawing" Target="../drawings/drawing3.xml"/><Relationship Id="rId16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hyperlink" Target="base.xlsx" TargetMode="External"/><Relationship Id="rId2" Type="http://schemas.openxmlformats.org/officeDocument/2006/relationships/hyperlink" Target="base.xlsx" TargetMode="External"/><Relationship Id="rId3" Type="http://schemas.openxmlformats.org/officeDocument/2006/relationships/hyperlink" Target="base.xlsx" TargetMode="External"/><Relationship Id="rId4" Type="http://schemas.openxmlformats.org/officeDocument/2006/relationships/hyperlink" Target="base.xlsx" TargetMode="External"/><Relationship Id="rId5" Type="http://schemas.openxmlformats.org/officeDocument/2006/relationships/hyperlink" Target="base.xlsx" TargetMode="External"/><Relationship Id="rId6" Type="http://schemas.openxmlformats.org/officeDocument/2006/relationships/hyperlink" Target="base.xlsx" TargetMode="External"/><Relationship Id="rId7" Type="http://schemas.openxmlformats.org/officeDocument/2006/relationships/hyperlink" Target="base.xlsx" TargetMode="External"/><Relationship Id="rId8" Type="http://schemas.openxmlformats.org/officeDocument/2006/relationships/hyperlink" Target="base.xlsx" TargetMode="External"/><Relationship Id="rId9" Type="http://schemas.openxmlformats.org/officeDocument/2006/relationships/hyperlink" Target="base.xlsx" TargetMode="External"/><Relationship Id="rId10" Type="http://schemas.openxmlformats.org/officeDocument/2006/relationships/hyperlink" Target="base.xlsx" TargetMode="External"/><Relationship Id="rId11" Type="http://schemas.openxmlformats.org/officeDocument/2006/relationships/hyperlink" Target="base.xlsx" TargetMode="External"/><Relationship Id="rId12" Type="http://schemas.openxmlformats.org/officeDocument/2006/relationships/hyperlink" Target="base.xlsx" TargetMode="External"/><Relationship Id="rId13" Type="http://schemas.openxmlformats.org/officeDocument/2006/relationships/hyperlink" Target="base.xlsx" TargetMode="External"/>
</Relationships>
</file>

<file path=xl/worksheets/_rels/sheet7.xml.rels><?xml version="1.0" encoding="UTF-8"?>
<Relationships xmlns="http://schemas.openxmlformats.org/package/2006/relationships"><Relationship Id="rId1" Type="http://schemas.openxmlformats.org/officeDocument/2006/relationships/hyperlink" Target="base.xlsx" TargetMode="External"/><Relationship Id="rId2" Type="http://schemas.openxmlformats.org/officeDocument/2006/relationships/hyperlink" Target="base.xlsx" TargetMode="External"/><Relationship Id="rId3" Type="http://schemas.openxmlformats.org/officeDocument/2006/relationships/hyperlink" Target="base.xlsx" TargetMode="External"/><Relationship Id="rId4" Type="http://schemas.openxmlformats.org/officeDocument/2006/relationships/hyperlink" Target="base.xlsx" TargetMode="External"/><Relationship Id="rId5" Type="http://schemas.openxmlformats.org/officeDocument/2006/relationships/hyperlink" Target="base.xlsx" TargetMode="External"/><Relationship Id="rId6" Type="http://schemas.openxmlformats.org/officeDocument/2006/relationships/hyperlink" Target="base.xlsx" TargetMode="External"/><Relationship Id="rId7" Type="http://schemas.openxmlformats.org/officeDocument/2006/relationships/hyperlink" Target="base.xlsx" TargetMode="External"/>
</Relationships>
</file>

<file path=xl/worksheets/_rels/sheet9.xml.rels><?xml version="1.0" encoding="UTF-8"?>
<Relationships xmlns="http://schemas.openxmlformats.org/package/2006/relationships"><Relationship Id="rId1" Type="http://schemas.openxmlformats.org/officeDocument/2006/relationships/hyperlink" Target="base.xlsx" TargetMode="External"/><Relationship Id="rId2" Type="http://schemas.openxmlformats.org/officeDocument/2006/relationships/hyperlink" Target="base.xlsx" TargetMode="External"/><Relationship Id="rId3" Type="http://schemas.openxmlformats.org/officeDocument/2006/relationships/hyperlink" Target="base.xlsx" TargetMode="External"/><Relationship Id="rId4" Type="http://schemas.openxmlformats.org/officeDocument/2006/relationships/hyperlink" Target="base.xlsx" TargetMode="External"/><Relationship Id="rId5" Type="http://schemas.openxmlformats.org/officeDocument/2006/relationships/hyperlink" Target="base.xlsx" TargetMode="External"/><Relationship Id="rId6" Type="http://schemas.openxmlformats.org/officeDocument/2006/relationships/hyperlink" Target="base.xlsx" TargetMode="External"/><Relationship Id="rId7" Type="http://schemas.openxmlformats.org/officeDocument/2006/relationships/hyperlink" Target="base.xlsx" TargetMode="Externa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4.xml.rels><?xml version="1.0" encoding="UTF-8"?>
<Relationships xmlns="http://schemas.openxmlformats.org/package/2006/relationships"><Relationship Id="rId1" Type="http://schemas.openxmlformats.org/officeDocument/2006/relationships/hyperlink" Target="https://www.iwonlex.net/products/vb10-medical-grade-screenless-health-band-with-ecg-and-hrv-monitoring/" TargetMode="External"/><Relationship Id="rId2" Type="http://schemas.openxmlformats.org/officeDocument/2006/relationships/hyperlink" Target="https://www.iwonlex.net/products/wonlex-4g-cheap-gps-wifi-calling-cat1-kids-smart-watch-s10/" TargetMode="External"/><Relationship Id="rId3" Type="http://schemas.openxmlformats.org/officeDocument/2006/relationships/hyperlink" Target="https://www.iwonlex.net/products/wonlex-ct34-4g-gps-screenless-sos-smart-band-for-seniors/" TargetMode="External"/><Relationship Id="rId4" Type="http://schemas.openxmlformats.org/officeDocument/2006/relationships/hyperlink" Target="https://www.iwonlex.net/whole-products/senior-gps-watch/" TargetMode="External"/><Relationship Id="rId5" Type="http://schemas.openxmlformats.org/officeDocument/2006/relationships/hyperlink" Target="https://www.iwonlex.net/whole-products/senior-gps-watch/4g-gps-senior-watch/" TargetMode="External"/><Relationship Id="rId6" Type="http://schemas.openxmlformats.org/officeDocument/2006/relationships/hyperlink" Target="https://www.iwonlex.net/products/ct31-4g-senior-smart-band-with-one-touch-health-check-sos/" TargetMode="External"/><Relationship Id="rId7" Type="http://schemas.openxmlformats.org/officeDocument/2006/relationships/hyperlink" Target="https://www.iwonlex.net/products/4g-ct31-screenless-senior-band-with-dual-big-button-and-big-battery/" TargetMode="External"/><Relationship Id="rId8" Type="http://schemas.openxmlformats.org/officeDocument/2006/relationships/hyperlink" Target="https://www.iwonlex.net/products/wonlex-4g-cat1-hr-br-monitoring-gps-kids-watch-s8-with-wifi-sos/" TargetMode="External"/><Relationship Id="rId9" Type="http://schemas.openxmlformats.org/officeDocument/2006/relationships/hyperlink" Target="https://www.iwonlex.net/products/wonlex-ct20s-4g-smart-watch-for-elderly-with-large-screen-and-fall-detection/" TargetMode="External"/><Relationship Id="rId10" Type="http://schemas.openxmlformats.org/officeDocument/2006/relationships/hyperlink" Target="https://www.iwonlex.net/products/wonlex-4g-senior-smartwatch-ct10t-changable-strap-gps-sos-heart-rate-blood-pressure/" TargetMode="External"/><Relationship Id="rId11" Type="http://schemas.openxmlformats.org/officeDocument/2006/relationships/hyperlink" Target="https://www.iwonlex.net/products/hw19-4g-senior-health-smartwatch-with-sos-and-gps/" TargetMode="External"/><Relationship Id="rId12" Type="http://schemas.openxmlformats.org/officeDocument/2006/relationships/hyperlink" Target="https://www.iwonlex.net/products/wonlex-hw20-4g-gps-senior-health-smartwatch-with-air-pump-blood-pressure-monitor/" TargetMode="External"/><Relationship Id="rId13" Type="http://schemas.openxmlformats.org/officeDocument/2006/relationships/hyperlink" Target="https://www.iwonlex.net/products/wonlex-4g-ble-medical-air-pump-smartwatch-hw20pro--precision-bp---senior-health-monitoring/" TargetMode="External"/><Relationship Id="rId14" Type="http://schemas.openxmlformats.org/officeDocument/2006/relationships/hyperlink" Target="https://www.iwonlex.net/products/mf90-bluetooth-screenless-ecg---health-monitoring-band/" TargetMode="External"/><Relationship Id="rId15" Type="http://schemas.openxmlformats.org/officeDocument/2006/relationships/hyperlink" Target="https://www.iwonlex.net/products/mf91-screenless-health-fitness-bracelet-for-gym-and-sports-monitoring-band/" TargetMode="External"/><Relationship Id="rId16" Type="http://schemas.openxmlformats.org/officeDocument/2006/relationships/hyperlink" Target="https://www.iwonlex.net/products/mf91pro-medical-grade-screenless-health-band-with-ecg-and-hrv-monitoring/" TargetMode="External"/><Relationship Id="rId17" Type="http://schemas.openxmlformats.org/officeDocument/2006/relationships/hyperlink" Target="https://www.iwonlex.net/top-5-smart-health-watches-for-seniors-aging-in-place/" TargetMode="External"/><Relationship Id="rId18" Type="http://schemas.openxmlformats.org/officeDocument/2006/relationships/hyperlink" Target="https://www.iwonlex.net/smart-bracelet-solution/ksctracker/" TargetMode="External"/><Relationship Id="rId19" Type="http://schemas.openxmlformats.org/officeDocument/2006/relationships/hyperlink" Target="https://www.iwonlex.net/smart-bracelet-solution/h-band/" TargetMode="External"/><Relationship Id="rId20" Type="http://schemas.openxmlformats.org/officeDocument/2006/relationships/hyperlink" Target="https://www.iwonlex.net/whole-products/smart-watches/ecg-watch/" TargetMode="External"/><Relationship Id="rId21" Type="http://schemas.openxmlformats.org/officeDocument/2006/relationships/hyperlink" Target="https://github.com/HBandSDK/Android_Ble_SDK" TargetMode="External"/><Relationship Id="rId22" Type="http://schemas.openxmlformats.org/officeDocument/2006/relationships/hyperlink" Target="https://deepwiki.com/HBandSDK/Android_Ble_SDK/8.2-nordic-and-goodix-implementation" TargetMode="External"/><Relationship Id="rId23" Type="http://schemas.openxmlformats.org/officeDocument/2006/relationships/hyperlink" Target="https://flespi.com/protocols/wonlex" TargetMode="External"/><Relationship Id="rId24" Type="http://schemas.openxmlformats.org/officeDocument/2006/relationships/hyperlink" Target="https://www.traccar.org/forums/topic/watch-gps-device-from-wonlex/" TargetMode="External"/><Relationship Id="rId25" Type="http://schemas.openxmlformats.org/officeDocument/2006/relationships/hyperlink" Target="https://github.com/faraganiev/yaqin-watch-protocol" TargetMode="External"/><Relationship Id="rId26" Type="http://schemas.openxmlformats.org/officeDocument/2006/relationships/hyperlink" Target="https://www.iwonlex.net/images/PDF/company/Wonlex%20Company%20Profile.pdf" TargetMode="External"/><Relationship Id="rId27" Type="http://schemas.openxmlformats.org/officeDocument/2006/relationships/hyperlink" Target="https://wonlex.en.alibaba.com/productlist-2.html?filterSimilar=true&amp;isGallery=Y&amp;filter=null" TargetMode="External"/><Relationship Id="rId28" Type="http://schemas.openxmlformats.org/officeDocument/2006/relationships/hyperlink" Target="https://wonlexsmart.en.alibaba.com/company_profile.html" TargetMode="External"/><Relationship Id="rId29" Type="http://schemas.openxmlformats.org/officeDocument/2006/relationships/hyperlink" Target="https://manuals.plus/m/6c48f2c3158afb461e9265c54391d5ab5d2693a2eb3fb79dc4dd815ad72d85f8" TargetMode="External"/><Relationship Id="rId30" Type="http://schemas.openxmlformats.org/officeDocument/2006/relationships/hyperlink" Target="https://www.alibaba.com/product-detail/WONLEX-Newest-Design-HW20Pro-4G-Android_1601585492019.html" TargetMode="External"/><Relationship Id="rId31" Type="http://schemas.openxmlformats.org/officeDocument/2006/relationships/hyperlink" Target="https://www.alibaba.com/product-detail/WONLEX-Hot-Selling-Smart-Bracket-MF91_1601735145301.html" TargetMode="External"/><Relationship Id="rId32" Type="http://schemas.openxmlformats.org/officeDocument/2006/relationships/hyperlink" Target="https://wonlexgps.en.made-in-china.com/product/qOraQHJvAjVF/China-Wonlex-4G-Smart-Watch-S10-for-Elderly-Sos-Watch-GPS-Smartwatch-SIM-Card-WiFi-Elderly-Sos-Bracelet-Disabled-People-Health-Care.html" TargetMode="External"/><Relationship Id="rId33" Type="http://schemas.openxmlformats.org/officeDocument/2006/relationships/hyperlink" Target="https://www.2mel.nl/wearable-sensor-product-development/" TargetMode="External"/><Relationship Id="rId34" Type="http://schemas.openxmlformats.org/officeDocument/2006/relationships/hyperlink" Target="https://www.2mel.nl/wearable-health-patch/" TargetMode="External"/><Relationship Id="rId35" Type="http://schemas.openxmlformats.org/officeDocument/2006/relationships/hyperlink" Target="https://www.2mel.nl/projects/activ8-physical-activity-monitor/" TargetMode="External"/><Relationship Id="rId36" Type="http://schemas.openxmlformats.org/officeDocument/2006/relationships/hyperlink" Target="https://pmc.ncbi.nlm.nih.gov/articles/PMC7079304" TargetMode="External"/><Relationship Id="rId37" Type="http://schemas.openxmlformats.org/officeDocument/2006/relationships/hyperlink" Target="https://pmc.ncbi.nlm.nih.gov/articles/PMC8981002" TargetMode="External"/><Relationship Id="rId38" Type="http://schemas.openxmlformats.org/officeDocument/2006/relationships/hyperlink" Target="https://eur-lex.europa.eu/eli/reg/2016/679/oj" TargetMode="External"/><Relationship Id="rId39" Type="http://schemas.openxmlformats.org/officeDocument/2006/relationships/hyperlink" Target="https://eur-lex.europa.eu/eli/reg/2017/745/oj" TargetMode="External"/><Relationship Id="rId40" Type="http://schemas.openxmlformats.org/officeDocument/2006/relationships/hyperlink" Target="https://eur-lex.europa.eu/eli/reg_del/2022/30/oj" TargetMode="External"/><Relationship Id="rId41" Type="http://schemas.openxmlformats.org/officeDocument/2006/relationships/hyperlink" Target="https://eur-lex.europa.eu/eli/reg/2024/1689/oj" TargetMode="External"/><Relationship Id="rId42" Type="http://schemas.openxmlformats.org/officeDocument/2006/relationships/hyperlink" Target="https://eur-lex.europa.eu/eli/reg/2024/2847/oj" TargetMode="External"/><Relationship Id="rId43" Type="http://schemas.openxmlformats.org/officeDocument/2006/relationships/hyperlink" Target="https://www.cnpd.pt/" TargetMode="External"/><Relationship Id="rId44" Type="http://schemas.openxmlformats.org/officeDocument/2006/relationships/hyperlink" Target="https://www.iwonlex.net/whole-products/ai-wearables-lifestyle/smart-health-wearables/" TargetMode="External"/><Relationship Id="rId45"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L6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3"/>
    <col collapsed="false" customWidth="true" hidden="false" outlineLevel="0" max="4" min="4" style="0" width="11"/>
    <col collapsed="false" customWidth="true" hidden="false" outlineLevel="0" max="5" min="5" style="0" width="15"/>
    <col collapsed="false" customWidth="true" hidden="false" outlineLevel="0" max="7" min="6" style="0" width="11"/>
    <col collapsed="false" customWidth="true" hidden="false" outlineLevel="0" max="8" min="8" style="0" width="12"/>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2" min="12" style="0" width="13"/>
  </cols>
  <sheetData>
    <row r="1" customFormat="false" ht="19.7" hidden="false" customHeight="false" outlineLevel="0" collapsed="false">
      <c r="B1" s="1" t="s">
        <v>0</v>
      </c>
    </row>
    <row r="2" customFormat="false" ht="15" hidden="false" customHeight="false" outlineLevel="0" collapsed="false">
      <c r="B2" s="2" t="s">
        <v>1</v>
      </c>
    </row>
    <row r="4" customFormat="false" ht="33.75" hidden="false" customHeight="true" outlineLevel="0" collapsed="false">
      <c r="B4" s="3" t="str">
        <f aca="false">IF(COUNTIF('10 Scoring &amp; Weights'!$S$87:$S$99,"Eligible")=0,"No wearable is confirmed eligible yet — none has supplier-verified data access. "&amp;IF('11 Ranking &amp; Shortlist'!C41="","No model is conditionally eligible either — see the pending-verification list.","Provisional leader: "&amp;'11 Ranking &amp; Shortlist'!C41&amp;" ("&amp;TEXT('11 Ranking &amp; Shortlist'!D41,"0.0")&amp;"/100)"&amp;IF('11 Ranking &amp; Shortlist'!C42="","",", then "&amp;'11 Ranking &amp; Shortlist'!C42&amp;IF('11 Ranking &amp; Shortlist'!C43="",""," and "&amp;'11 Ranking &amp; Shortlist'!C43)&amp;", all within "&amp;TEXT('11 Ranking &amp; Shortlist'!D41-MIN('11 Ranking &amp; Shortlist'!D41:D43),"0.0")&amp;" points — a tie on current evidence")&amp;". Treat these as the models to verify, not a purchase decision."),COUNTIF('10 Scoring &amp; Weights'!$S$87:$S$99,"Eligible")&amp;" model(s) eligible. Confirmed leader: "&amp;'11 Ranking &amp; Shortlist'!C24&amp;".")</f>
        <v>No wearable is confirmed eligible yet — none has supplier-verified data access. Provisional leader: HW19 (55.8/100), then CT34 and VB10, all within 2.6 points — a tie on current evidence. Treat these as the models to verify, not a purchase decision.</v>
      </c>
      <c r="C4" s="3"/>
      <c r="D4" s="3"/>
      <c r="E4" s="3"/>
      <c r="F4" s="3"/>
      <c r="G4" s="3"/>
      <c r="H4" s="3"/>
      <c r="I4" s="3"/>
      <c r="J4" s="3"/>
      <c r="K4" s="3"/>
      <c r="L4" s="3"/>
    </row>
    <row r="6" customFormat="false" ht="25.5" hidden="false" customHeight="true" outlineLevel="0" collapsed="false">
      <c r="B6" s="4" t="s">
        <v>2</v>
      </c>
      <c r="C6" s="4" t="s">
        <v>3</v>
      </c>
      <c r="D6" s="4" t="s">
        <v>4</v>
      </c>
      <c r="E6" s="4" t="s">
        <v>5</v>
      </c>
      <c r="F6" s="4" t="s">
        <v>6</v>
      </c>
      <c r="G6" s="4" t="s">
        <v>7</v>
      </c>
      <c r="H6" s="4" t="s">
        <v>8</v>
      </c>
      <c r="I6" s="4" t="s">
        <v>9</v>
      </c>
    </row>
    <row r="7" customFormat="false" ht="31.5" hidden="false" customHeight="true" outlineLevel="0" collapsed="false">
      <c r="B7" s="5" t="n">
        <f aca="false">SUMPRODUCT(1/COUNTIF('02 Model Master List'!$B$6:$B$53,'02 Model Master List'!$B$6:$B$53))</f>
        <v>5</v>
      </c>
      <c r="C7" s="5" t="n">
        <f aca="false">COUNTA('02 Model Master List'!$C$6:$C$53)</f>
        <v>48</v>
      </c>
      <c r="D7" s="5" t="n">
        <f aca="false">COUNTA('03 Feature Comparison'!$C$6:$C$18)</f>
        <v>13</v>
      </c>
      <c r="E7" s="5" t="n">
        <f aca="false">COUNTIF('10 Scoring &amp; Weights'!$S$87:$S$99,"Eligible")</f>
        <v>0</v>
      </c>
      <c r="F7" s="5" t="n">
        <f aca="false">COUNTIF('10 Scoring &amp; Weights'!$S$87:$S$99,"Conditionally eligible")</f>
        <v>3</v>
      </c>
      <c r="G7" s="5" t="n">
        <f aca="false">COUNTIF('10 Scoring &amp; Weights'!$S$87:$S$99,"Pending verification")</f>
        <v>10</v>
      </c>
      <c r="H7" s="5" t="n">
        <f aca="false">COUNTIFS('15 Data Gaps &amp; Questions'!$F$5:$F$60,"P1",'15 Data Gaps &amp; Questions'!$H$5:$H$60,"&lt;&gt;Verified")</f>
        <v>13</v>
      </c>
      <c r="I7" s="6" t="n">
        <f aca="false">'08 TCO Model'!$C$22</f>
        <v>1000</v>
      </c>
    </row>
    <row r="9" customFormat="false" ht="15" hidden="false" customHeight="false" outlineLevel="0" collapsed="false">
      <c r="B9" s="7" t="s">
        <v>10</v>
      </c>
      <c r="C9" s="7"/>
      <c r="D9" s="7"/>
      <c r="E9" s="7"/>
      <c r="F9" s="7"/>
      <c r="G9" s="7"/>
      <c r="H9" s="7"/>
      <c r="I9" s="7"/>
      <c r="J9" s="7"/>
      <c r="K9" s="7"/>
      <c r="L9" s="7"/>
    </row>
    <row r="10" customFormat="false" ht="30" hidden="false" customHeight="true" outlineLevel="0" collapsed="false">
      <c r="B10" s="8" t="s">
        <v>11</v>
      </c>
      <c r="C10" s="8" t="s">
        <v>12</v>
      </c>
      <c r="D10" s="8" t="s">
        <v>13</v>
      </c>
      <c r="E10" s="8" t="s">
        <v>14</v>
      </c>
      <c r="F10" s="8" t="s">
        <v>15</v>
      </c>
      <c r="G10" s="8" t="s">
        <v>16</v>
      </c>
      <c r="H10" s="8" t="s">
        <v>17</v>
      </c>
      <c r="I10" s="8" t="s">
        <v>18</v>
      </c>
      <c r="J10" s="8" t="s">
        <v>19</v>
      </c>
      <c r="K10" s="8" t="s">
        <v>20</v>
      </c>
      <c r="L10" s="8" t="s">
        <v>21</v>
      </c>
    </row>
    <row r="11" customFormat="false" ht="15" hidden="false" customHeight="false" outlineLevel="0" collapsed="false">
      <c r="B11" s="9" t="n">
        <v>1</v>
      </c>
      <c r="C11" s="10" t="str">
        <f aca="false">'11 Ranking &amp; Shortlist'!C41</f>
        <v>HW19</v>
      </c>
      <c r="D11" s="11" t="n">
        <f aca="false">'11 Ranking &amp; Shortlist'!D41</f>
        <v>55.7674538131497</v>
      </c>
      <c r="E11" s="12" t="str">
        <f aca="false">IF(C11="","",ROUND(INDEX('10 Scoring &amp; Weights'!$J$87:$J$99,MATCH(C11,'10 Scoring &amp; Weights'!$C$87:$C$99,0)),0)&amp;" – "&amp;ROUND(INDEX('10 Scoring &amp; Weights'!$K$87:$K$99,MATCH(C11,'10 Scoring &amp; Weights'!$C$87:$C$99,0)),0))</f>
        <v>57 – 94</v>
      </c>
      <c r="F11" s="13" t="n">
        <f aca="false">'11 Ranking &amp; Shortlist'!F41</f>
        <v>53.75</v>
      </c>
      <c r="G11" s="13" t="n">
        <f aca="false">'11 Ranking &amp; Shortlist'!G41</f>
        <v>30.5620549563956</v>
      </c>
      <c r="H11" s="14" t="n">
        <f aca="false">'11 Ranking &amp; Shortlist'!H41</f>
        <v>189.7286</v>
      </c>
      <c r="I11" s="15" t="str">
        <f aca="false">'11 Ranking &amp; Shortlist'!K41</f>
        <v>Conditional</v>
      </c>
      <c r="J11" s="15" t="str">
        <f aca="false">'11 Ranking &amp; Shortlist'!I41</f>
        <v>Conditionally eligible</v>
      </c>
      <c r="K11" s="15" t="str">
        <f aca="false">'11 Ranking &amp; Shortlist'!J41</f>
        <v>Medium</v>
      </c>
      <c r="L11" s="12" t="str">
        <f aca="false">IF(C11="","",INDEX('06 Needs-Feature Map'!$Q$113:$Q$125,MATCH(C11,'06 Needs-Feature Map'!$C$113:$C$125,0)))</f>
        <v>N1</v>
      </c>
    </row>
    <row r="12" customFormat="false" ht="15" hidden="false" customHeight="false" outlineLevel="0" collapsed="false">
      <c r="B12" s="9" t="n">
        <v>2</v>
      </c>
      <c r="C12" s="10" t="str">
        <f aca="false">'11 Ranking &amp; Shortlist'!C42</f>
        <v>CT34</v>
      </c>
      <c r="D12" s="11" t="n">
        <f aca="false">'11 Ranking &amp; Shortlist'!D42</f>
        <v>55.0341491326068</v>
      </c>
      <c r="E12" s="12" t="str">
        <f aca="false">IF(C12="","",ROUND(INDEX('10 Scoring &amp; Weights'!$J$87:$J$99,MATCH(C12,'10 Scoring &amp; Weights'!$C$87:$C$99,0)),0)&amp;" – "&amp;ROUND(INDEX('10 Scoring &amp; Weights'!$K$87:$K$99,MATCH(C12,'10 Scoring &amp; Weights'!$C$87:$C$99,0)),0))</f>
        <v>50 – 96</v>
      </c>
      <c r="F12" s="13" t="n">
        <f aca="false">'11 Ranking &amp; Shortlist'!F42</f>
        <v>50</v>
      </c>
      <c r="G12" s="13" t="n">
        <f aca="false">'11 Ranking &amp; Shortlist'!G42</f>
        <v>43.5381094145368</v>
      </c>
      <c r="H12" s="14" t="n">
        <f aca="false">'11 Ranking &amp; Shortlist'!H42</f>
        <v>140.1386</v>
      </c>
      <c r="I12" s="15" t="str">
        <f aca="false">'11 Ranking &amp; Shortlist'!K42</f>
        <v>Conditional</v>
      </c>
      <c r="J12" s="15" t="str">
        <f aca="false">'11 Ranking &amp; Shortlist'!I42</f>
        <v>Conditionally eligible</v>
      </c>
      <c r="K12" s="15" t="str">
        <f aca="false">'11 Ranking &amp; Shortlist'!J42</f>
        <v>Low</v>
      </c>
      <c r="L12" s="12" t="str">
        <f aca="false">IF(C12="","",INDEX('06 Needs-Feature Map'!$Q$113:$Q$125,MATCH(C12,'06 Needs-Feature Map'!$C$113:$C$125,0)))</f>
        <v>N1</v>
      </c>
    </row>
    <row r="13" customFormat="false" ht="15" hidden="false" customHeight="false" outlineLevel="0" collapsed="false">
      <c r="B13" s="9" t="n">
        <v>3</v>
      </c>
      <c r="C13" s="10" t="str">
        <f aca="false">'11 Ranking &amp; Shortlist'!C43</f>
        <v>VB10</v>
      </c>
      <c r="D13" s="11" t="n">
        <f aca="false">'11 Ranking &amp; Shortlist'!D43</f>
        <v>53.207128006923</v>
      </c>
      <c r="E13" s="12" t="str">
        <f aca="false">IF(C13="","",ROUND(INDEX('10 Scoring &amp; Weights'!$J$87:$J$99,MATCH(C13,'10 Scoring &amp; Weights'!$C$87:$C$99,0)),0)&amp;" – "&amp;ROUND(INDEX('10 Scoring &amp; Weights'!$K$87:$K$99,MATCH(C13,'10 Scoring &amp; Weights'!$C$87:$C$99,0)),0))</f>
        <v>53 – 91</v>
      </c>
      <c r="F13" s="13" t="n">
        <f aca="false">'11 Ranking &amp; Shortlist'!F43</f>
        <v>40</v>
      </c>
      <c r="G13" s="13" t="n">
        <f aca="false">'11 Ranking &amp; Shortlist'!G43</f>
        <v>61.1171189531267</v>
      </c>
      <c r="H13" s="14" t="n">
        <f aca="false">'11 Ranking &amp; Shortlist'!H43</f>
        <v>93.23</v>
      </c>
      <c r="I13" s="15" t="str">
        <f aca="false">'11 Ranking &amp; Shortlist'!K43</f>
        <v>Conditional</v>
      </c>
      <c r="J13" s="15" t="str">
        <f aca="false">'11 Ranking &amp; Shortlist'!I43</f>
        <v>Conditionally eligible</v>
      </c>
      <c r="K13" s="15" t="str">
        <f aca="false">'11 Ranking &amp; Shortlist'!J43</f>
        <v>Medium</v>
      </c>
      <c r="L13" s="12" t="str">
        <f aca="false">IF(C13="","",INDEX('06 Needs-Feature Map'!$Q$113:$Q$125,MATCH(C13,'06 Needs-Feature Map'!$C$113:$C$125,0)))</f>
        <v>N3</v>
      </c>
    </row>
    <row r="14" customFormat="false" ht="15" hidden="false" customHeight="false" outlineLevel="0" collapsed="false">
      <c r="B14" s="9" t="n">
        <v>4</v>
      </c>
      <c r="C14" s="10" t="str">
        <f aca="false">'11 Ranking &amp; Shortlist'!C44</f>
        <v/>
      </c>
      <c r="D14" s="11" t="str">
        <f aca="false">'11 Ranking &amp; Shortlist'!D44</f>
        <v/>
      </c>
      <c r="E14" s="12" t="str">
        <f aca="false">IF(C14="","",ROUND(INDEX('10 Scoring &amp; Weights'!$J$87:$J$99,MATCH(C14,'10 Scoring &amp; Weights'!$C$87:$C$99,0)),0)&amp;" – "&amp;ROUND(INDEX('10 Scoring &amp; Weights'!$K$87:$K$99,MATCH(C14,'10 Scoring &amp; Weights'!$C$87:$C$99,0)),0))</f>
        <v/>
      </c>
      <c r="F14" s="13" t="str">
        <f aca="false">'11 Ranking &amp; Shortlist'!F44</f>
        <v/>
      </c>
      <c r="G14" s="13" t="str">
        <f aca="false">'11 Ranking &amp; Shortlist'!G44</f>
        <v/>
      </c>
      <c r="H14" s="14" t="str">
        <f aca="false">'11 Ranking &amp; Shortlist'!H44</f>
        <v/>
      </c>
      <c r="I14" s="15" t="str">
        <f aca="false">'11 Ranking &amp; Shortlist'!K44</f>
        <v/>
      </c>
      <c r="J14" s="15" t="str">
        <f aca="false">'11 Ranking &amp; Shortlist'!I44</f>
        <v/>
      </c>
      <c r="K14" s="15" t="str">
        <f aca="false">'11 Ranking &amp; Shortlist'!J44</f>
        <v/>
      </c>
      <c r="L14" s="12" t="str">
        <f aca="false">IF(C14="","",INDEX('06 Needs-Feature Map'!$Q$113:$Q$125,MATCH(C14,'06 Needs-Feature Map'!$C$113:$C$125,0)))</f>
        <v/>
      </c>
    </row>
    <row r="15" customFormat="false" ht="15" hidden="false" customHeight="false" outlineLevel="0" collapsed="false">
      <c r="B15" s="9" t="n">
        <v>5</v>
      </c>
      <c r="C15" s="10" t="str">
        <f aca="false">'11 Ranking &amp; Shortlist'!C45</f>
        <v/>
      </c>
      <c r="D15" s="11" t="str">
        <f aca="false">'11 Ranking &amp; Shortlist'!D45</f>
        <v/>
      </c>
      <c r="E15" s="12" t="str">
        <f aca="false">IF(C15="","",ROUND(INDEX('10 Scoring &amp; Weights'!$J$87:$J$99,MATCH(C15,'10 Scoring &amp; Weights'!$C$87:$C$99,0)),0)&amp;" – "&amp;ROUND(INDEX('10 Scoring &amp; Weights'!$K$87:$K$99,MATCH(C15,'10 Scoring &amp; Weights'!$C$87:$C$99,0)),0))</f>
        <v/>
      </c>
      <c r="F15" s="13" t="str">
        <f aca="false">'11 Ranking &amp; Shortlist'!F45</f>
        <v/>
      </c>
      <c r="G15" s="13" t="str">
        <f aca="false">'11 Ranking &amp; Shortlist'!G45</f>
        <v/>
      </c>
      <c r="H15" s="14" t="str">
        <f aca="false">'11 Ranking &amp; Shortlist'!H45</f>
        <v/>
      </c>
      <c r="I15" s="15" t="str">
        <f aca="false">'11 Ranking &amp; Shortlist'!K45</f>
        <v/>
      </c>
      <c r="J15" s="15" t="str">
        <f aca="false">'11 Ranking &amp; Shortlist'!I45</f>
        <v/>
      </c>
      <c r="K15" s="15" t="str">
        <f aca="false">'11 Ranking &amp; Shortlist'!J45</f>
        <v/>
      </c>
      <c r="L15" s="12" t="str">
        <f aca="false">IF(C15="","",INDEX('06 Needs-Feature Map'!$Q$113:$Q$125,MATCH(C15,'06 Needs-Feature Map'!$C$113:$C$125,0)))</f>
        <v/>
      </c>
    </row>
    <row r="17" customFormat="false" ht="15" hidden="false" customHeight="false" outlineLevel="0" collapsed="false">
      <c r="B17" s="7" t="s">
        <v>22</v>
      </c>
      <c r="C17" s="7"/>
      <c r="D17" s="7"/>
      <c r="E17" s="7"/>
      <c r="F17" s="7"/>
      <c r="G17" s="7"/>
      <c r="H17" s="7"/>
      <c r="I17" s="7"/>
      <c r="J17" s="7"/>
      <c r="K17" s="7"/>
      <c r="L17" s="7"/>
    </row>
    <row r="18" customFormat="false" ht="22.35" hidden="false" customHeight="false" outlineLevel="0" collapsed="false">
      <c r="B18" s="8" t="s">
        <v>11</v>
      </c>
      <c r="C18" s="8" t="s">
        <v>12</v>
      </c>
      <c r="D18" s="8" t="s">
        <v>13</v>
      </c>
      <c r="E18" s="8" t="s">
        <v>23</v>
      </c>
      <c r="F18" s="8" t="s">
        <v>15</v>
      </c>
      <c r="G18" s="8" t="s">
        <v>16</v>
      </c>
      <c r="H18" s="8" t="s">
        <v>17</v>
      </c>
      <c r="I18" s="8" t="s">
        <v>18</v>
      </c>
      <c r="J18" s="8" t="s">
        <v>19</v>
      </c>
      <c r="K18" s="8" t="s">
        <v>20</v>
      </c>
    </row>
    <row r="19" customFormat="false" ht="15" hidden="false" customHeight="false" outlineLevel="0" collapsed="false">
      <c r="B19" s="16" t="n">
        <v>1</v>
      </c>
      <c r="C19" s="17" t="str">
        <f aca="false">'11 Ranking &amp; Shortlist'!C58</f>
        <v>HW20</v>
      </c>
      <c r="D19" s="18" t="n">
        <f aca="false">'11 Ranking &amp; Shortlist'!D58</f>
        <v>55.8880392437771</v>
      </c>
      <c r="E19" s="13" t="n">
        <f aca="false">'11 Ranking &amp; Shortlist'!E58</f>
        <v>76.8320885723364</v>
      </c>
      <c r="F19" s="13" t="n">
        <f aca="false">'11 Ranking &amp; Shortlist'!F58</f>
        <v>32.5</v>
      </c>
      <c r="G19" s="13" t="n">
        <f aca="false">'11 Ranking &amp; Shortlist'!G58</f>
        <v>34.5620549563956</v>
      </c>
      <c r="H19" s="14" t="n">
        <f aca="false">'11 Ranking &amp; Shortlist'!H58</f>
        <v>189.7286</v>
      </c>
      <c r="I19" s="15" t="str">
        <f aca="false">'11 Ranking &amp; Shortlist'!K58</f>
        <v>Not verified</v>
      </c>
      <c r="J19" s="15" t="str">
        <f aca="false">'11 Ranking &amp; Shortlist'!I58</f>
        <v>Pending verification</v>
      </c>
      <c r="K19" s="15" t="str">
        <f aca="false">'11 Ranking &amp; Shortlist'!J58</f>
        <v>Low</v>
      </c>
    </row>
    <row r="20" customFormat="false" ht="15" hidden="false" customHeight="false" outlineLevel="0" collapsed="false">
      <c r="B20" s="16" t="n">
        <v>2</v>
      </c>
      <c r="C20" s="17" t="str">
        <f aca="false">'11 Ranking &amp; Shortlist'!C59</f>
        <v>MF90</v>
      </c>
      <c r="D20" s="18" t="n">
        <f aca="false">'11 Ranking &amp; Shortlist'!D59</f>
        <v>50.8965129568391</v>
      </c>
      <c r="E20" s="13" t="n">
        <f aca="false">'11 Ranking &amp; Shortlist'!E59</f>
        <v>70.3709894004925</v>
      </c>
      <c r="F20" s="13" t="n">
        <f aca="false">'11 Ranking &amp; Shortlist'!F59</f>
        <v>22.5</v>
      </c>
      <c r="G20" s="13" t="n">
        <f aca="false">'11 Ranking &amp; Shortlist'!G59</f>
        <v>56.5</v>
      </c>
      <c r="H20" s="14" t="n">
        <f aca="false">'11 Ranking &amp; Shortlist'!H59</f>
        <v>66.69935</v>
      </c>
      <c r="I20" s="15" t="str">
        <f aca="false">'11 Ranking &amp; Shortlist'!K59</f>
        <v>Not verified</v>
      </c>
      <c r="J20" s="15" t="str">
        <f aca="false">'11 Ranking &amp; Shortlist'!I59</f>
        <v>Pending verification</v>
      </c>
      <c r="K20" s="15" t="str">
        <f aca="false">'11 Ranking &amp; Shortlist'!J59</f>
        <v>Medium</v>
      </c>
    </row>
    <row r="21" customFormat="false" ht="15" hidden="false" customHeight="false" outlineLevel="0" collapsed="false">
      <c r="B21" s="16" t="n">
        <v>3</v>
      </c>
      <c r="C21" s="17" t="str">
        <f aca="false">'11 Ranking &amp; Shortlist'!C60</f>
        <v>CT31</v>
      </c>
      <c r="D21" s="18" t="n">
        <f aca="false">'11 Ranking &amp; Shortlist'!D60</f>
        <v>50.0757913840304</v>
      </c>
      <c r="E21" s="13" t="n">
        <f aca="false">'11 Ranking &amp; Shortlist'!E60</f>
        <v>58.3446503094967</v>
      </c>
      <c r="F21" s="13" t="n">
        <f aca="false">'11 Ranking &amp; Shortlist'!F60</f>
        <v>32.5</v>
      </c>
      <c r="G21" s="13" t="n">
        <f aca="false">'11 Ranking &amp; Shortlist'!G60</f>
        <v>55.201091838044</v>
      </c>
      <c r="H21" s="14" t="n">
        <f aca="false">'11 Ranking &amp; Shortlist'!H60</f>
        <v>137.1632</v>
      </c>
      <c r="I21" s="15" t="str">
        <f aca="false">'11 Ranking &amp; Shortlist'!K60</f>
        <v>Not verified</v>
      </c>
      <c r="J21" s="15" t="str">
        <f aca="false">'11 Ranking &amp; Shortlist'!I60</f>
        <v>Pending verification</v>
      </c>
      <c r="K21" s="15" t="str">
        <f aca="false">'11 Ranking &amp; Shortlist'!J60</f>
        <v>Low</v>
      </c>
    </row>
    <row r="22" customFormat="false" ht="15" hidden="false" customHeight="false" outlineLevel="0" collapsed="false">
      <c r="B22" s="19" t="str">
        <f aca="false">"Confirmed ranking: "&amp;'11 Ranking &amp; Shortlist'!B22</f>
        <v>Confirmed ranking: No model currently passes all three mandatory gates — no confirmed ranking can be issued. See the provisional ranking.</v>
      </c>
    </row>
    <row r="24" customFormat="false" ht="15" hidden="false" customHeight="false" outlineLevel="0" collapsed="false">
      <c r="B24" s="7" t="s">
        <v>24</v>
      </c>
      <c r="C24" s="7"/>
      <c r="D24" s="7"/>
      <c r="E24" s="7"/>
      <c r="F24" s="7"/>
      <c r="G24" s="7"/>
      <c r="H24" s="7"/>
      <c r="I24" s="7"/>
      <c r="J24" s="7"/>
      <c r="K24" s="7"/>
      <c r="L24" s="7"/>
    </row>
    <row r="25" customFormat="false" ht="15" hidden="false" customHeight="false" outlineLevel="0" collapsed="false">
      <c r="B25" s="8" t="s">
        <v>25</v>
      </c>
      <c r="C25" s="8" t="s">
        <v>26</v>
      </c>
      <c r="D25" s="8" t="s">
        <v>27</v>
      </c>
      <c r="E25" s="8" t="s">
        <v>19</v>
      </c>
      <c r="F25" s="8" t="s">
        <v>28</v>
      </c>
    </row>
    <row r="26" customFormat="false" ht="15" hidden="false" customHeight="false" outlineLevel="0" collapsed="false">
      <c r="B26" s="20" t="str">
        <f aca="false">'13 Sensitivity &amp; Scenarios'!C75</f>
        <v>Market-research baseline</v>
      </c>
      <c r="C26" s="21" t="str">
        <f aca="false">'13 Sensitivity &amp; Scenarios'!D75</f>
        <v>HW19</v>
      </c>
      <c r="D26" s="13" t="n">
        <f aca="false">'13 Sensitivity &amp; Scenarios'!E75</f>
        <v>55.7674538131497</v>
      </c>
      <c r="E26" s="15" t="str">
        <f aca="false">'13 Sensitivity &amp; Scenarios'!F75</f>
        <v>Conditionally eligible</v>
      </c>
      <c r="F26" s="15" t="str">
        <f aca="false">'13 Sensitivity &amp; Scenarios'!G75</f>
        <v>CT34</v>
      </c>
    </row>
    <row r="27" customFormat="false" ht="15" hidden="false" customHeight="false" outlineLevel="0" collapsed="false">
      <c r="B27" s="20" t="str">
        <f aca="false">'13 Sensitivity &amp; Scenarios'!C76</f>
        <v>Safety-first</v>
      </c>
      <c r="C27" s="21" t="str">
        <f aca="false">'13 Sensitivity &amp; Scenarios'!D76</f>
        <v>HW19</v>
      </c>
      <c r="D27" s="13" t="n">
        <f aca="false">'13 Sensitivity &amp; Scenarios'!E76</f>
        <v>58.4122434766294</v>
      </c>
      <c r="E27" s="15" t="str">
        <f aca="false">'13 Sensitivity &amp; Scenarios'!F76</f>
        <v>Conditionally eligible</v>
      </c>
      <c r="F27" s="15" t="str">
        <f aca="false">'13 Sensitivity &amp; Scenarios'!G76</f>
        <v>CT34</v>
      </c>
    </row>
    <row r="28" customFormat="false" ht="15" hidden="false" customHeight="false" outlineLevel="0" collapsed="false">
      <c r="B28" s="20" t="str">
        <f aca="false">'13 Sensitivity &amp; Scenarios'!C77</f>
        <v>Wellbeing monitoring</v>
      </c>
      <c r="C28" s="21" t="str">
        <f aca="false">'13 Sensitivity &amp; Scenarios'!D77</f>
        <v>VB10</v>
      </c>
      <c r="D28" s="13" t="n">
        <f aca="false">'13 Sensitivity &amp; Scenarios'!E77</f>
        <v>56.0533256398172</v>
      </c>
      <c r="E28" s="15" t="str">
        <f aca="false">'13 Sensitivity &amp; Scenarios'!F77</f>
        <v>Conditionally eligible</v>
      </c>
      <c r="F28" s="15" t="str">
        <f aca="false">'13 Sensitivity &amp; Scenarios'!G77</f>
        <v>HW19</v>
      </c>
    </row>
    <row r="29" customFormat="false" ht="15" hidden="false" customHeight="false" outlineLevel="0" collapsed="false">
      <c r="B29" s="20" t="str">
        <f aca="false">'13 Sensitivity &amp; Scenarios'!C78</f>
        <v>Ease-of-use</v>
      </c>
      <c r="C29" s="21" t="str">
        <f aca="false">'13 Sensitivity &amp; Scenarios'!D78</f>
        <v>CT34</v>
      </c>
      <c r="D29" s="13" t="n">
        <f aca="false">'13 Sensitivity &amp; Scenarios'!E78</f>
        <v>55.9491669853807</v>
      </c>
      <c r="E29" s="15" t="str">
        <f aca="false">'13 Sensitivity &amp; Scenarios'!F78</f>
        <v>Conditionally eligible</v>
      </c>
      <c r="F29" s="15" t="str">
        <f aca="false">'13 Sensitivity &amp; Scenarios'!G78</f>
        <v>HW19</v>
      </c>
    </row>
    <row r="30" customFormat="false" ht="15" hidden="false" customHeight="false" outlineLevel="0" collapsed="false">
      <c r="B30" s="20" t="str">
        <f aca="false">'13 Sensitivity &amp; Scenarios'!C79</f>
        <v>Cost-efficiency</v>
      </c>
      <c r="C30" s="21" t="str">
        <f aca="false">'13 Sensitivity &amp; Scenarios'!D79</f>
        <v>VB10</v>
      </c>
      <c r="D30" s="13" t="n">
        <f aca="false">'13 Sensitivity &amp; Scenarios'!E79</f>
        <v>54.7619015407557</v>
      </c>
      <c r="E30" s="15" t="str">
        <f aca="false">'13 Sensitivity &amp; Scenarios'!F79</f>
        <v>Conditionally eligible</v>
      </c>
      <c r="F30" s="15" t="str">
        <f aca="false">'13 Sensitivity &amp; Scenarios'!G79</f>
        <v>CT34</v>
      </c>
    </row>
    <row r="31" customFormat="false" ht="15" hidden="false" customHeight="false" outlineLevel="0" collapsed="false">
      <c r="B31" s="20" t="str">
        <f aca="false">'13 Sensitivity &amp; Scenarios'!C80</f>
        <v>Segment: independent / stable seniors</v>
      </c>
      <c r="C31" s="21" t="str">
        <f aca="false">'13 Sensitivity &amp; Scenarios'!D80</f>
        <v>VB10</v>
      </c>
      <c r="D31" s="13" t="n">
        <f aca="false">'13 Sensitivity &amp; Scenarios'!E80</f>
        <v>55.5664673675682</v>
      </c>
      <c r="E31" s="15" t="str">
        <f aca="false">'13 Sensitivity &amp; Scenarios'!F80</f>
        <v>Conditionally eligible</v>
      </c>
      <c r="F31" s="15" t="str">
        <f aca="false">'13 Sensitivity &amp; Scenarios'!G80</f>
        <v>CT34</v>
      </c>
    </row>
    <row r="32" customFormat="false" ht="15" hidden="false" customHeight="false" outlineLevel="0" collapsed="false">
      <c r="B32" s="20" t="str">
        <f aca="false">'13 Sensitivity &amp; Scenarios'!C81</f>
        <v>Segment: vulnerable / higher dependency</v>
      </c>
      <c r="C32" s="21" t="str">
        <f aca="false">'13 Sensitivity &amp; Scenarios'!D81</f>
        <v>HW19</v>
      </c>
      <c r="D32" s="13" t="n">
        <f aca="false">'13 Sensitivity &amp; Scenarios'!E81</f>
        <v>56.7076157380853</v>
      </c>
      <c r="E32" s="15" t="str">
        <f aca="false">'13 Sensitivity &amp; Scenarios'!F81</f>
        <v>Conditionally eligible</v>
      </c>
      <c r="F32" s="15" t="str">
        <f aca="false">'13 Sensitivity &amp; Scenarios'!G81</f>
        <v>CT34</v>
      </c>
    </row>
    <row r="33" customFormat="false" ht="15" hidden="false" customHeight="false" outlineLevel="0" collapsed="false">
      <c r="B33" s="20" t="s">
        <v>29</v>
      </c>
      <c r="C33" s="22" t="str">
        <f aca="false">IFERROR(INDEX('11 Ranking &amp; Shortlist'!$C$7:$C$19,MATCH(MAX('11 Ranking &amp; Shortlist'!$T$7:$T$19),'11 Ranking &amp; Shortlist'!$T$7:$T$19,0)),"")</f>
        <v>VB10</v>
      </c>
      <c r="D33" s="23" t="n">
        <f aca="false">MAX('11 Ranking &amp; Shortlist'!$T$7:$T$19)</f>
        <v>57.0708227039826</v>
      </c>
    </row>
    <row r="35" customFormat="false" ht="15" hidden="false" customHeight="false" outlineLevel="0" collapsed="false">
      <c r="B35" s="7" t="s">
        <v>30</v>
      </c>
      <c r="C35" s="7"/>
      <c r="D35" s="7"/>
      <c r="E35" s="7"/>
      <c r="F35" s="7"/>
      <c r="G35" s="7"/>
      <c r="H35" s="7"/>
      <c r="I35" s="7"/>
      <c r="J35" s="7"/>
      <c r="K35" s="7"/>
      <c r="L35" s="7"/>
    </row>
    <row r="36" customFormat="false" ht="25.5" hidden="false" customHeight="true" outlineLevel="0" collapsed="false">
      <c r="B36" s="24" t="str">
        <f aca="false">'15 Data Gaps &amp; Questions'!B5</f>
        <v>CT29</v>
      </c>
      <c r="C36" s="25" t="str">
        <f aca="false">'15 Data Gaps &amp; Questions'!C5</f>
        <v>Product identity and specification sheet</v>
      </c>
      <c r="D36" s="25"/>
      <c r="E36" s="25"/>
      <c r="F36" s="25"/>
      <c r="G36" s="25" t="str">
        <f aca="false">'15 Data Gaps &amp; Questions'!D5</f>
        <v>Supplied URL shows the S10 kids watch; no CT29 spec page exists</v>
      </c>
      <c r="H36" s="25"/>
      <c r="I36" s="25"/>
      <c r="J36" s="25"/>
      <c r="K36" s="25"/>
      <c r="L36" s="26" t="str">
        <f aca="false">'15 Data Gaps &amp; Questions'!H5</f>
        <v>Open</v>
      </c>
    </row>
    <row r="37" customFormat="false" ht="25.5" hidden="false" customHeight="true" outlineLevel="0" collapsed="false">
      <c r="B37" s="24" t="str">
        <f aca="false">'15 Data Gaps &amp; Questions'!B6</f>
        <v>CT34</v>
      </c>
      <c r="C37" s="25" t="str">
        <f aca="false">'15 Data Gaps &amp; Questions'!C6</f>
        <v>Health sensors on CT34</v>
      </c>
      <c r="D37" s="25"/>
      <c r="E37" s="25"/>
      <c r="F37" s="25"/>
      <c r="G37" s="25" t="str">
        <f aca="false">'15 Data Gaps &amp; Questions'!D6</f>
        <v>Determines whether CT34 can serve early-decline needs (N2) or safety only</v>
      </c>
      <c r="H37" s="25"/>
      <c r="I37" s="25"/>
      <c r="J37" s="25"/>
      <c r="K37" s="25"/>
      <c r="L37" s="26" t="str">
        <f aca="false">'15 Data Gaps &amp; Questions'!H6</f>
        <v>Open</v>
      </c>
    </row>
    <row r="38" customFormat="false" ht="25.5" hidden="false" customHeight="true" outlineLevel="0" collapsed="false">
      <c r="B38" s="24" t="str">
        <f aca="false">'15 Data Gaps &amp; Questions'!B7</f>
        <v>CT34</v>
      </c>
      <c r="C38" s="25" t="str">
        <f aca="false">'15 Data Gaps &amp; Questions'!C7</f>
        <v>TCP protocol document and event list</v>
      </c>
      <c r="D38" s="25"/>
      <c r="E38" s="25"/>
      <c r="F38" s="25"/>
      <c r="G38" s="25" t="str">
        <f aca="false">'15 Data Gaps &amp; Questions'!D7</f>
        <v>Mandatory data-access gate</v>
      </c>
      <c r="H38" s="25"/>
      <c r="I38" s="25"/>
      <c r="J38" s="25"/>
      <c r="K38" s="25"/>
      <c r="L38" s="26" t="str">
        <f aca="false">'15 Data Gaps &amp; Questions'!H7</f>
        <v>Open</v>
      </c>
    </row>
    <row r="39" customFormat="false" ht="25.5" hidden="false" customHeight="true" outlineLevel="0" collapsed="false">
      <c r="B39" s="24" t="str">
        <f aca="false">'15 Data Gaps &amp; Questions'!B8</f>
        <v>CT34</v>
      </c>
      <c r="C39" s="25" t="str">
        <f aca="false">'15 Data Gaps &amp; Questions'!C8</f>
        <v>Two-way calling hardware; SIM size; EU operator testing</v>
      </c>
      <c r="D39" s="25"/>
      <c r="E39" s="25"/>
      <c r="F39" s="25"/>
      <c r="G39" s="25" t="str">
        <f aca="false">'15 Data Gaps &amp; Questions'!D8</f>
        <v>SOS without voice is weaker; SIM logistics</v>
      </c>
      <c r="H39" s="25"/>
      <c r="I39" s="25"/>
      <c r="J39" s="25"/>
      <c r="K39" s="25"/>
      <c r="L39" s="26" t="str">
        <f aca="false">'15 Data Gaps &amp; Questions'!H8</f>
        <v>Open</v>
      </c>
    </row>
    <row r="40" customFormat="false" ht="25.5" hidden="false" customHeight="true" outlineLevel="0" collapsed="false">
      <c r="B40" s="24" t="str">
        <f aca="false">'15 Data Gaps &amp; Questions'!B9</f>
        <v>VB10</v>
      </c>
      <c r="C40" s="25" t="str">
        <f aca="false">'15 Data Gaps &amp; Questions'!C9</f>
        <v>SDK support and licence</v>
      </c>
      <c r="D40" s="25"/>
      <c r="E40" s="25"/>
      <c r="F40" s="25"/>
      <c r="G40" s="25" t="str">
        <f aca="false">'15 Data Gaps &amp; Questions'!D9</f>
        <v>Mandatory data-access gate for VB10</v>
      </c>
      <c r="H40" s="25"/>
      <c r="I40" s="25"/>
      <c r="J40" s="25"/>
      <c r="K40" s="25"/>
      <c r="L40" s="26" t="str">
        <f aca="false">'15 Data Gaps &amp; Questions'!H9</f>
        <v>Open</v>
      </c>
    </row>
    <row r="41" customFormat="false" ht="25.5" hidden="false" customHeight="true" outlineLevel="0" collapsed="false">
      <c r="B41" s="24" t="str">
        <f aca="false">'15 Data Gaps &amp; Questions'!B10</f>
        <v>VB10</v>
      </c>
      <c r="C41" s="25" t="str">
        <f aca="false">'15 Data Gaps &amp; Questions'!C10</f>
        <v>Fall detection / button</v>
      </c>
      <c r="D41" s="25"/>
      <c r="E41" s="25"/>
      <c r="F41" s="25"/>
      <c r="G41" s="25" t="str">
        <f aca="false">'15 Data Gaps &amp; Questions'!D10</f>
        <v>Top research need (N1); currently Unknown</v>
      </c>
      <c r="H41" s="25"/>
      <c r="I41" s="25"/>
      <c r="J41" s="25"/>
      <c r="K41" s="25"/>
      <c r="L41" s="26" t="str">
        <f aca="false">'15 Data Gaps &amp; Questions'!H10</f>
        <v>Open</v>
      </c>
    </row>
    <row r="42" customFormat="false" ht="25.5" hidden="false" customHeight="true" outlineLevel="0" collapsed="false">
      <c r="B42" s="24" t="str">
        <f aca="false">'15 Data Gaps &amp; Questions'!B11</f>
        <v>VB10</v>
      </c>
      <c r="C42" s="25" t="str">
        <f aca="false">'15 Data Gaps &amp; Questions'!C11</f>
        <v>Medical claims and estimation features</v>
      </c>
      <c r="D42" s="25"/>
      <c r="E42" s="25"/>
      <c r="F42" s="25"/>
      <c r="G42" s="25" t="str">
        <f aca="false">'15 Data Gaps &amp; Questions'!D11</f>
        <v>Regulatory exposure (MDR / AI Act)</v>
      </c>
      <c r="H42" s="25"/>
      <c r="I42" s="25"/>
      <c r="J42" s="25"/>
      <c r="K42" s="25"/>
      <c r="L42" s="26" t="str">
        <f aca="false">'15 Data Gaps &amp; Questions'!H11</f>
        <v>Open</v>
      </c>
    </row>
    <row r="43" customFormat="false" ht="25.5" hidden="false" customHeight="true" outlineLevel="0" collapsed="false">
      <c r="B43" s="24" t="str">
        <f aca="false">'15 Data Gaps &amp; Questions'!B12</f>
        <v>HW19</v>
      </c>
      <c r="C43" s="25" t="str">
        <f aca="false">'15 Data Gaps &amp; Questions'!C12</f>
        <v>KSCtracker API and hosting</v>
      </c>
      <c r="D43" s="25"/>
      <c r="E43" s="25"/>
      <c r="F43" s="25"/>
      <c r="G43" s="25" t="str">
        <f aca="false">'15 Data Gaps &amp; Questions'!D12</f>
        <v>Integration and GDPR transfer assessment</v>
      </c>
      <c r="H43" s="25"/>
      <c r="I43" s="25"/>
      <c r="J43" s="25"/>
      <c r="K43" s="25"/>
      <c r="L43" s="26" t="str">
        <f aca="false">'15 Data Gaps &amp; Questions'!H12</f>
        <v>Open</v>
      </c>
    </row>
    <row r="45" customFormat="false" ht="15" hidden="false" customHeight="false" outlineLevel="0" collapsed="false">
      <c r="B45" s="7" t="s">
        <v>31</v>
      </c>
      <c r="C45" s="7"/>
      <c r="D45" s="7"/>
      <c r="E45" s="7"/>
      <c r="F45" s="7"/>
      <c r="G45" s="7"/>
      <c r="H45" s="7"/>
      <c r="I45" s="7"/>
      <c r="J45" s="7"/>
      <c r="K45" s="7"/>
      <c r="L45" s="7"/>
    </row>
    <row r="62" customFormat="false" ht="15" hidden="false" customHeight="true" outlineLevel="0" collapsed="false">
      <c r="H62" s="27" t="s">
        <v>32</v>
      </c>
      <c r="I62" s="27"/>
      <c r="J62" s="27"/>
      <c r="K62" s="27"/>
      <c r="L62" s="27"/>
    </row>
    <row r="63" customFormat="false" ht="15" hidden="false" customHeight="false" outlineLevel="0" collapsed="false">
      <c r="H63" s="27"/>
      <c r="I63" s="27"/>
      <c r="J63" s="27"/>
      <c r="K63" s="27"/>
      <c r="L63" s="27"/>
    </row>
    <row r="64" customFormat="false" ht="15" hidden="false" customHeight="false" outlineLevel="0" collapsed="false">
      <c r="H64" s="27"/>
      <c r="I64" s="27"/>
      <c r="J64" s="27"/>
      <c r="K64" s="27"/>
      <c r="L64" s="27"/>
    </row>
    <row r="65" customFormat="false" ht="15" hidden="false" customHeight="false" outlineLevel="0" collapsed="false">
      <c r="H65" s="27"/>
      <c r="I65" s="27"/>
      <c r="J65" s="27"/>
      <c r="K65" s="27"/>
      <c r="L65" s="27"/>
    </row>
  </sheetData>
  <mergeCells count="18">
    <mergeCell ref="B4:L4"/>
    <mergeCell ref="C36:F36"/>
    <mergeCell ref="G36:K36"/>
    <mergeCell ref="C37:F37"/>
    <mergeCell ref="G37:K37"/>
    <mergeCell ref="C38:F38"/>
    <mergeCell ref="G38:K38"/>
    <mergeCell ref="C39:F39"/>
    <mergeCell ref="G39:K39"/>
    <mergeCell ref="C40:F40"/>
    <mergeCell ref="G40:K40"/>
    <mergeCell ref="C41:F41"/>
    <mergeCell ref="G41:K41"/>
    <mergeCell ref="C42:F42"/>
    <mergeCell ref="G42:K42"/>
    <mergeCell ref="C43:F43"/>
    <mergeCell ref="G43:K43"/>
    <mergeCell ref="H62:L65"/>
  </mergeCells>
  <conditionalFormatting sqref="E7">
    <cfRule type="cellIs" priority="2" operator="equal" aboveAverage="0" equalAverage="0" bottom="0" percent="0" rank="0" text="" dxfId="0">
      <formula>0</formula>
    </cfRule>
  </conditionalFormatting>
  <conditionalFormatting sqref="I11:J15">
    <cfRule type="cellIs" priority="3" operator="equal" aboveAverage="0" equalAverage="0" bottom="0" percent="0" rank="0" text="" dxfId="1">
      <formula>"Pass"</formula>
    </cfRule>
    <cfRule type="cellIs" priority="4" operator="equal" aboveAverage="0" equalAverage="0" bottom="0" percent="0" rank="0" text="" dxfId="1">
      <formula>"Eligible"</formula>
    </cfRule>
    <cfRule type="cellIs" priority="5" operator="equal" aboveAverage="0" equalAverage="0" bottom="0" percent="0" rank="0" text="" dxfId="1">
      <formula>"Verified feasible"</formula>
    </cfRule>
    <cfRule type="cellIs" priority="6" operator="equal" aboveAverage="0" equalAverage="0" bottom="0" percent="0" rank="0" text="" dxfId="2">
      <formula>"Conditional"</formula>
    </cfRule>
    <cfRule type="cellIs" priority="7" operator="equal" aboveAverage="0" equalAverage="0" bottom="0" percent="0" rank="0" text="" dxfId="2">
      <formula>"Conditionally eligible"</formula>
    </cfRule>
    <cfRule type="cellIs" priority="8" operator="equal" aboveAverage="0" equalAverage="0" bottom="0" percent="0" rank="0" text="" dxfId="2">
      <formula>"Pending"</formula>
    </cfRule>
    <cfRule type="cellIs" priority="9" operator="equal" aboveAverage="0" equalAverage="0" bottom="0" percent="0" rank="0" text="" dxfId="2">
      <formula>"Pending verification"</formula>
    </cfRule>
    <cfRule type="cellIs" priority="10" operator="equal" aboveAverage="0" equalAverage="0" bottom="0" percent="0" rank="0" text="" dxfId="2">
      <formula>"Not verified"</formula>
    </cfRule>
    <cfRule type="cellIs" priority="11" operator="equal" aboveAverage="0" equalAverage="0" bottom="0" percent="0" rank="0" text="" dxfId="0">
      <formula>"Fail"</formula>
    </cfRule>
    <cfRule type="cellIs" priority="12" operator="equal" aboveAverage="0" equalAverage="0" bottom="0" percent="0" rank="0" text="" dxfId="0">
      <formula>"Ineligible"</formula>
    </cfRule>
    <cfRule type="cellIs" priority="13" operator="equal" aboveAverage="0" equalAverage="0" bottom="0" percent="0" rank="0" text="" dxfId="0">
      <formula>"Not feasible"</formula>
    </cfRule>
  </conditionalFormatting>
  <conditionalFormatting sqref="K11:K15">
    <cfRule type="cellIs" priority="14" operator="equal" aboveAverage="0" equalAverage="0" bottom="0" percent="0" rank="0" text="" dxfId="1">
      <formula>"High"</formula>
    </cfRule>
    <cfRule type="cellIs" priority="15" operator="equal" aboveAverage="0" equalAverage="0" bottom="0" percent="0" rank="0" text="" dxfId="2">
      <formula>"Medium"</formula>
    </cfRule>
    <cfRule type="cellIs" priority="16" operator="equal" aboveAverage="0" equalAverage="0" bottom="0" percent="0" rank="0" text="" dxfId="0">
      <formula>"Low"</formula>
    </cfRule>
  </conditionalFormatting>
  <conditionalFormatting sqref="I19:J21">
    <cfRule type="cellIs" priority="17" operator="equal" aboveAverage="0" equalAverage="0" bottom="0" percent="0" rank="0" text="" dxfId="1">
      <formula>"Pass"</formula>
    </cfRule>
    <cfRule type="cellIs" priority="18" operator="equal" aboveAverage="0" equalAverage="0" bottom="0" percent="0" rank="0" text="" dxfId="1">
      <formula>"Eligible"</formula>
    </cfRule>
    <cfRule type="cellIs" priority="19" operator="equal" aboveAverage="0" equalAverage="0" bottom="0" percent="0" rank="0" text="" dxfId="1">
      <formula>"Verified feasible"</formula>
    </cfRule>
    <cfRule type="cellIs" priority="20" operator="equal" aboveAverage="0" equalAverage="0" bottom="0" percent="0" rank="0" text="" dxfId="2">
      <formula>"Conditional"</formula>
    </cfRule>
    <cfRule type="cellIs" priority="21" operator="equal" aboveAverage="0" equalAverage="0" bottom="0" percent="0" rank="0" text="" dxfId="2">
      <formula>"Conditionally eligible"</formula>
    </cfRule>
    <cfRule type="cellIs" priority="22" operator="equal" aboveAverage="0" equalAverage="0" bottom="0" percent="0" rank="0" text="" dxfId="2">
      <formula>"Pending"</formula>
    </cfRule>
    <cfRule type="cellIs" priority="23" operator="equal" aboveAverage="0" equalAverage="0" bottom="0" percent="0" rank="0" text="" dxfId="2">
      <formula>"Pending verification"</formula>
    </cfRule>
    <cfRule type="cellIs" priority="24" operator="equal" aboveAverage="0" equalAverage="0" bottom="0" percent="0" rank="0" text="" dxfId="2">
      <formula>"Not verified"</formula>
    </cfRule>
    <cfRule type="cellIs" priority="25" operator="equal" aboveAverage="0" equalAverage="0" bottom="0" percent="0" rank="0" text="" dxfId="0">
      <formula>"Fail"</formula>
    </cfRule>
    <cfRule type="cellIs" priority="26" operator="equal" aboveAverage="0" equalAverage="0" bottom="0" percent="0" rank="0" text="" dxfId="0">
      <formula>"Ineligible"</formula>
    </cfRule>
    <cfRule type="cellIs" priority="27" operator="equal" aboveAverage="0" equalAverage="0" bottom="0" percent="0" rank="0" text="" dxfId="0">
      <formula>"Not feasible"</formula>
    </cfRule>
  </conditionalFormatting>
  <conditionalFormatting sqref="E26:E33">
    <cfRule type="cellIs" priority="28" operator="equal" aboveAverage="0" equalAverage="0" bottom="0" percent="0" rank="0" text="" dxfId="1">
      <formula>"Pass"</formula>
    </cfRule>
    <cfRule type="cellIs" priority="29" operator="equal" aboveAverage="0" equalAverage="0" bottom="0" percent="0" rank="0" text="" dxfId="1">
      <formula>"Eligible"</formula>
    </cfRule>
    <cfRule type="cellIs" priority="30" operator="equal" aboveAverage="0" equalAverage="0" bottom="0" percent="0" rank="0" text="" dxfId="1">
      <formula>"Verified feasible"</formula>
    </cfRule>
    <cfRule type="cellIs" priority="31" operator="equal" aboveAverage="0" equalAverage="0" bottom="0" percent="0" rank="0" text="" dxfId="2">
      <formula>"Conditional"</formula>
    </cfRule>
    <cfRule type="cellIs" priority="32" operator="equal" aboveAverage="0" equalAverage="0" bottom="0" percent="0" rank="0" text="" dxfId="2">
      <formula>"Conditionally eligible"</formula>
    </cfRule>
    <cfRule type="cellIs" priority="33" operator="equal" aboveAverage="0" equalAverage="0" bottom="0" percent="0" rank="0" text="" dxfId="2">
      <formula>"Pending"</formula>
    </cfRule>
    <cfRule type="cellIs" priority="34" operator="equal" aboveAverage="0" equalAverage="0" bottom="0" percent="0" rank="0" text="" dxfId="2">
      <formula>"Pending verification"</formula>
    </cfRule>
    <cfRule type="cellIs" priority="35" operator="equal" aboveAverage="0" equalAverage="0" bottom="0" percent="0" rank="0" text="" dxfId="2">
      <formula>"Not verified"</formula>
    </cfRule>
    <cfRule type="cellIs" priority="36" operator="equal" aboveAverage="0" equalAverage="0" bottom="0" percent="0" rank="0" text="" dxfId="0">
      <formula>"Fail"</formula>
    </cfRule>
    <cfRule type="cellIs" priority="37" operator="equal" aboveAverage="0" equalAverage="0" bottom="0" percent="0" rank="0" text="" dxfId="0">
      <formula>"Ineligible"</formula>
    </cfRule>
    <cfRule type="cellIs" priority="38" operator="equal" aboveAverage="0" equalAverage="0" bottom="0" percent="0" rank="0" text="" dxfId="0">
      <formula>"Not feasible"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O5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6"/>
    <col collapsed="false" customWidth="true" hidden="false" outlineLevel="0" max="4" min="4" style="0" width="26"/>
    <col collapsed="false" customWidth="true" hidden="false" outlineLevel="0" max="5" min="5" style="0" width="13"/>
    <col collapsed="false" customWidth="true" hidden="false" outlineLevel="0" max="6" min="6" style="0" width="34"/>
    <col collapsed="false" customWidth="true" hidden="false" outlineLevel="0" max="8" min="7" style="0" width="20"/>
    <col collapsed="false" customWidth="true" hidden="false" outlineLevel="0" max="9" min="9" style="0" width="12"/>
    <col collapsed="false" customWidth="true" hidden="false" outlineLevel="0" max="10" min="10" style="0" width="24"/>
    <col collapsed="false" customWidth="true" hidden="false" outlineLevel="0" max="11" min="11" style="0" width="50"/>
    <col collapsed="false" customWidth="true" hidden="false" outlineLevel="0" max="12" min="12" style="0" width="13"/>
    <col collapsed="false" customWidth="true" hidden="false" outlineLevel="0" max="13" min="13" style="0" width="16"/>
    <col collapsed="false" customWidth="true" hidden="false" outlineLevel="0" max="14" min="14" style="0" width="11"/>
    <col collapsed="false" customWidth="true" hidden="false" outlineLevel="0" max="15" min="15" style="0" width="12"/>
  </cols>
  <sheetData>
    <row r="1" customFormat="false" ht="17.35" hidden="false" customHeight="false" outlineLevel="0" collapsed="false">
      <c r="A1" s="28" t="s">
        <v>33</v>
      </c>
    </row>
    <row r="2" customFormat="false" ht="15" hidden="false" customHeight="false" outlineLevel="0" collapsed="false">
      <c r="A2" s="2" t="s">
        <v>34</v>
      </c>
    </row>
    <row r="3" customFormat="false" ht="36" hidden="false" customHeight="true" outlineLevel="0" collapsed="false">
      <c r="A3" s="27" t="s">
        <v>35</v>
      </c>
      <c r="B3" s="27"/>
      <c r="C3" s="27"/>
      <c r="D3" s="27"/>
      <c r="E3" s="27"/>
      <c r="F3" s="27"/>
      <c r="G3" s="27"/>
      <c r="H3" s="27"/>
      <c r="I3" s="27"/>
      <c r="J3" s="27"/>
      <c r="K3" s="27"/>
      <c r="L3" s="27"/>
      <c r="M3" s="27"/>
      <c r="N3" s="27"/>
      <c r="O3" s="27"/>
    </row>
    <row r="5" customFormat="false" ht="30" hidden="false" customHeight="true" outlineLevel="0" collapsed="false">
      <c r="A5" s="8" t="s">
        <v>36</v>
      </c>
      <c r="B5" s="8" t="s">
        <v>37</v>
      </c>
      <c r="C5" s="8" t="s">
        <v>12</v>
      </c>
      <c r="D5" s="8" t="s">
        <v>38</v>
      </c>
      <c r="E5" s="8" t="s">
        <v>39</v>
      </c>
      <c r="F5" s="8" t="s">
        <v>40</v>
      </c>
      <c r="G5" s="8" t="s">
        <v>41</v>
      </c>
      <c r="H5" s="8" t="s">
        <v>42</v>
      </c>
      <c r="I5" s="8" t="s">
        <v>43</v>
      </c>
      <c r="J5" s="8" t="s">
        <v>44</v>
      </c>
      <c r="K5" s="8" t="s">
        <v>45</v>
      </c>
      <c r="L5" s="8" t="s">
        <v>18</v>
      </c>
      <c r="M5" s="8" t="s">
        <v>19</v>
      </c>
      <c r="N5" s="8" t="s">
        <v>46</v>
      </c>
      <c r="O5" s="8" t="s">
        <v>47</v>
      </c>
    </row>
    <row r="6" customFormat="false" ht="39.75" hidden="false" customHeight="true" outlineLevel="0" collapsed="false">
      <c r="A6" s="29" t="s">
        <v>48</v>
      </c>
      <c r="B6" s="30" t="s">
        <v>49</v>
      </c>
      <c r="C6" s="31" t="s">
        <v>50</v>
      </c>
      <c r="D6" s="30" t="s">
        <v>51</v>
      </c>
      <c r="E6" s="30" t="s">
        <v>52</v>
      </c>
      <c r="F6" s="32" t="s">
        <v>53</v>
      </c>
      <c r="G6" s="30" t="s">
        <v>54</v>
      </c>
      <c r="H6" s="30" t="s">
        <v>55</v>
      </c>
      <c r="I6" s="30" t="s">
        <v>56</v>
      </c>
      <c r="J6" s="30" t="s">
        <v>57</v>
      </c>
      <c r="K6" s="30" t="s">
        <v>58</v>
      </c>
      <c r="L6" s="33" t="str">
        <f aca="false">'04 API &amp; Integration'!K6</f>
        <v>Conditional</v>
      </c>
      <c r="M6" s="33" t="str">
        <f aca="false">'10 Scoring &amp; Weights'!S87</f>
        <v>Conditionally eligible</v>
      </c>
      <c r="N6" s="34" t="n">
        <f aca="false">'10 Scoring &amp; Weights'!L87</f>
        <v>0.722222222222222</v>
      </c>
      <c r="O6" s="30"/>
    </row>
    <row r="7" customFormat="false" ht="39.75" hidden="false" customHeight="true" outlineLevel="0" collapsed="false">
      <c r="A7" s="29" t="s">
        <v>59</v>
      </c>
      <c r="B7" s="30" t="s">
        <v>49</v>
      </c>
      <c r="C7" s="31" t="s">
        <v>60</v>
      </c>
      <c r="D7" s="30" t="s">
        <v>61</v>
      </c>
      <c r="E7" s="30" t="s">
        <v>52</v>
      </c>
      <c r="F7" s="32" t="s">
        <v>62</v>
      </c>
      <c r="G7" s="30" t="s">
        <v>54</v>
      </c>
      <c r="H7" s="30" t="s">
        <v>55</v>
      </c>
      <c r="I7" s="30" t="s">
        <v>56</v>
      </c>
      <c r="J7" s="30" t="s">
        <v>63</v>
      </c>
      <c r="K7" s="30" t="s">
        <v>64</v>
      </c>
      <c r="L7" s="33" t="str">
        <f aca="false">'04 API &amp; Integration'!K7</f>
        <v>Not verified</v>
      </c>
      <c r="M7" s="33" t="str">
        <f aca="false">'10 Scoring &amp; Weights'!S88</f>
        <v>Pending verification</v>
      </c>
      <c r="N7" s="34" t="n">
        <f aca="false">'10 Scoring &amp; Weights'!L88</f>
        <v>0.135135135135135</v>
      </c>
      <c r="O7" s="30"/>
    </row>
    <row r="8" customFormat="false" ht="39.75" hidden="false" customHeight="true" outlineLevel="0" collapsed="false">
      <c r="A8" s="29" t="s">
        <v>65</v>
      </c>
      <c r="B8" s="30" t="s">
        <v>49</v>
      </c>
      <c r="C8" s="31" t="s">
        <v>66</v>
      </c>
      <c r="D8" s="30" t="s">
        <v>67</v>
      </c>
      <c r="E8" s="30" t="s">
        <v>52</v>
      </c>
      <c r="F8" s="32" t="s">
        <v>68</v>
      </c>
      <c r="G8" s="30" t="s">
        <v>54</v>
      </c>
      <c r="H8" s="30" t="s">
        <v>55</v>
      </c>
      <c r="I8" s="30" t="s">
        <v>56</v>
      </c>
      <c r="J8" s="30" t="s">
        <v>69</v>
      </c>
      <c r="K8" s="30" t="s">
        <v>70</v>
      </c>
      <c r="L8" s="33" t="str">
        <f aca="false">'04 API &amp; Integration'!K8</f>
        <v>Conditional</v>
      </c>
      <c r="M8" s="33" t="str">
        <f aca="false">'10 Scoring &amp; Weights'!S89</f>
        <v>Conditionally eligible</v>
      </c>
      <c r="N8" s="34" t="n">
        <f aca="false">'10 Scoring &amp; Weights'!L89</f>
        <v>0.513513513513514</v>
      </c>
      <c r="O8" s="30"/>
    </row>
    <row r="9" customFormat="false" ht="39.75" hidden="false" customHeight="true" outlineLevel="0" collapsed="false">
      <c r="A9" s="29" t="s">
        <v>71</v>
      </c>
      <c r="B9" s="30" t="s">
        <v>49</v>
      </c>
      <c r="C9" s="31" t="s">
        <v>72</v>
      </c>
      <c r="D9" s="30" t="s">
        <v>73</v>
      </c>
      <c r="E9" s="30" t="s">
        <v>52</v>
      </c>
      <c r="F9" s="32" t="s">
        <v>74</v>
      </c>
      <c r="G9" s="30" t="s">
        <v>75</v>
      </c>
      <c r="H9" s="30" t="s">
        <v>76</v>
      </c>
      <c r="I9" s="30" t="s">
        <v>77</v>
      </c>
      <c r="J9" s="30" t="s">
        <v>78</v>
      </c>
      <c r="K9" s="30" t="s">
        <v>79</v>
      </c>
      <c r="L9" s="33" t="str">
        <f aca="false">'04 API &amp; Integration'!K9</f>
        <v>Not verified</v>
      </c>
      <c r="M9" s="33" t="str">
        <f aca="false">'10 Scoring &amp; Weights'!S90</f>
        <v>Pending verification</v>
      </c>
      <c r="N9" s="34" t="n">
        <f aca="false">'10 Scoring &amp; Weights'!L90</f>
        <v>0.611111111111111</v>
      </c>
      <c r="O9" s="30"/>
    </row>
    <row r="10" customFormat="false" ht="39.75" hidden="false" customHeight="true" outlineLevel="0" collapsed="false">
      <c r="A10" s="29" t="s">
        <v>80</v>
      </c>
      <c r="B10" s="30" t="s">
        <v>49</v>
      </c>
      <c r="C10" s="31" t="s">
        <v>81</v>
      </c>
      <c r="D10" s="30" t="s">
        <v>82</v>
      </c>
      <c r="E10" s="30" t="s">
        <v>52</v>
      </c>
      <c r="F10" s="32" t="s">
        <v>83</v>
      </c>
      <c r="G10" s="30" t="s">
        <v>75</v>
      </c>
      <c r="H10" s="30" t="s">
        <v>76</v>
      </c>
      <c r="I10" s="30" t="s">
        <v>77</v>
      </c>
      <c r="J10" s="30" t="s">
        <v>84</v>
      </c>
      <c r="K10" s="30" t="s">
        <v>85</v>
      </c>
      <c r="L10" s="33" t="str">
        <f aca="false">'04 API &amp; Integration'!K10</f>
        <v>Not verified</v>
      </c>
      <c r="M10" s="33" t="str">
        <f aca="false">'10 Scoring &amp; Weights'!S91</f>
        <v>Pending verification</v>
      </c>
      <c r="N10" s="34" t="n">
        <f aca="false">'10 Scoring &amp; Weights'!L91</f>
        <v>0.555555555555556</v>
      </c>
      <c r="O10" s="30"/>
    </row>
    <row r="11" customFormat="false" ht="39.75" hidden="false" customHeight="true" outlineLevel="0" collapsed="false">
      <c r="A11" s="29" t="s">
        <v>86</v>
      </c>
      <c r="B11" s="30" t="s">
        <v>49</v>
      </c>
      <c r="C11" s="31" t="s">
        <v>87</v>
      </c>
      <c r="D11" s="30" t="s">
        <v>88</v>
      </c>
      <c r="E11" s="30" t="s">
        <v>89</v>
      </c>
      <c r="F11" s="32" t="s">
        <v>90</v>
      </c>
      <c r="G11" s="30" t="s">
        <v>75</v>
      </c>
      <c r="H11" s="30" t="s">
        <v>76</v>
      </c>
      <c r="I11" s="30" t="s">
        <v>77</v>
      </c>
      <c r="J11" s="30" t="s">
        <v>91</v>
      </c>
      <c r="K11" s="30" t="s">
        <v>92</v>
      </c>
      <c r="L11" s="33" t="str">
        <f aca="false">'04 API &amp; Integration'!K11</f>
        <v>Not verified</v>
      </c>
      <c r="M11" s="33" t="str">
        <f aca="false">'10 Scoring &amp; Weights'!S92</f>
        <v>Pending verification</v>
      </c>
      <c r="N11" s="34" t="n">
        <f aca="false">'10 Scoring &amp; Weights'!L92</f>
        <v>0.527777777777778</v>
      </c>
      <c r="O11" s="30"/>
    </row>
    <row r="12" customFormat="false" ht="39.75" hidden="false" customHeight="true" outlineLevel="0" collapsed="false">
      <c r="A12" s="29" t="s">
        <v>93</v>
      </c>
      <c r="B12" s="30" t="s">
        <v>49</v>
      </c>
      <c r="C12" s="31" t="s">
        <v>94</v>
      </c>
      <c r="D12" s="30" t="s">
        <v>95</v>
      </c>
      <c r="E12" s="30" t="s">
        <v>89</v>
      </c>
      <c r="F12" s="32" t="s">
        <v>96</v>
      </c>
      <c r="G12" s="30" t="s">
        <v>75</v>
      </c>
      <c r="H12" s="30" t="s">
        <v>76</v>
      </c>
      <c r="I12" s="30" t="s">
        <v>77</v>
      </c>
      <c r="J12" s="30" t="s">
        <v>78</v>
      </c>
      <c r="K12" s="30" t="s">
        <v>97</v>
      </c>
      <c r="L12" s="33" t="str">
        <f aca="false">'04 API &amp; Integration'!K12</f>
        <v>Not verified</v>
      </c>
      <c r="M12" s="33" t="str">
        <f aca="false">'10 Scoring &amp; Weights'!S93</f>
        <v>Pending verification</v>
      </c>
      <c r="N12" s="34" t="n">
        <f aca="false">'10 Scoring &amp; Weights'!L93</f>
        <v>0.513513513513514</v>
      </c>
      <c r="O12" s="30"/>
    </row>
    <row r="13" customFormat="false" ht="39.75" hidden="false" customHeight="true" outlineLevel="0" collapsed="false">
      <c r="A13" s="29" t="s">
        <v>98</v>
      </c>
      <c r="B13" s="30" t="s">
        <v>49</v>
      </c>
      <c r="C13" s="31" t="s">
        <v>99</v>
      </c>
      <c r="D13" s="30" t="s">
        <v>100</v>
      </c>
      <c r="E13" s="30" t="s">
        <v>52</v>
      </c>
      <c r="F13" s="32" t="s">
        <v>101</v>
      </c>
      <c r="G13" s="30" t="s">
        <v>102</v>
      </c>
      <c r="H13" s="30" t="s">
        <v>103</v>
      </c>
      <c r="I13" s="30" t="s">
        <v>104</v>
      </c>
      <c r="J13" s="30" t="s">
        <v>78</v>
      </c>
      <c r="K13" s="30" t="s">
        <v>105</v>
      </c>
      <c r="L13" s="33" t="str">
        <f aca="false">'04 API &amp; Integration'!K13</f>
        <v>Not verified</v>
      </c>
      <c r="M13" s="33" t="str">
        <f aca="false">'10 Scoring &amp; Weights'!S94</f>
        <v>Pending verification</v>
      </c>
      <c r="N13" s="34" t="n">
        <f aca="false">'10 Scoring &amp; Weights'!L94</f>
        <v>0.333333333333333</v>
      </c>
      <c r="O13" s="30"/>
    </row>
    <row r="14" customFormat="false" ht="39.75" hidden="false" customHeight="true" outlineLevel="0" collapsed="false">
      <c r="A14" s="29" t="s">
        <v>106</v>
      </c>
      <c r="B14" s="30" t="s">
        <v>49</v>
      </c>
      <c r="C14" s="31" t="s">
        <v>107</v>
      </c>
      <c r="D14" s="30" t="s">
        <v>108</v>
      </c>
      <c r="E14" s="30" t="s">
        <v>89</v>
      </c>
      <c r="F14" s="32" t="s">
        <v>109</v>
      </c>
      <c r="G14" s="30" t="s">
        <v>102</v>
      </c>
      <c r="H14" s="30" t="s">
        <v>103</v>
      </c>
      <c r="I14" s="30" t="s">
        <v>104</v>
      </c>
      <c r="J14" s="30" t="s">
        <v>110</v>
      </c>
      <c r="K14" s="30" t="s">
        <v>111</v>
      </c>
      <c r="L14" s="33" t="str">
        <f aca="false">'04 API &amp; Integration'!K14</f>
        <v>Not verified</v>
      </c>
      <c r="M14" s="33" t="str">
        <f aca="false">'10 Scoring &amp; Weights'!S95</f>
        <v>Pending verification</v>
      </c>
      <c r="N14" s="34" t="n">
        <f aca="false">'10 Scoring &amp; Weights'!L95</f>
        <v>0.405405405405405</v>
      </c>
      <c r="O14" s="30"/>
    </row>
    <row r="15" customFormat="false" ht="39.75" hidden="false" customHeight="true" outlineLevel="0" collapsed="false">
      <c r="A15" s="29" t="s">
        <v>112</v>
      </c>
      <c r="B15" s="30" t="s">
        <v>49</v>
      </c>
      <c r="C15" s="31" t="s">
        <v>113</v>
      </c>
      <c r="D15" s="30" t="s">
        <v>114</v>
      </c>
      <c r="E15" s="30" t="s">
        <v>89</v>
      </c>
      <c r="F15" s="32" t="s">
        <v>115</v>
      </c>
      <c r="G15" s="30" t="s">
        <v>102</v>
      </c>
      <c r="H15" s="30" t="s">
        <v>103</v>
      </c>
      <c r="I15" s="30" t="s">
        <v>104</v>
      </c>
      <c r="J15" s="30" t="s">
        <v>78</v>
      </c>
      <c r="K15" s="30" t="s">
        <v>116</v>
      </c>
      <c r="L15" s="33" t="str">
        <f aca="false">'04 API &amp; Integration'!K15</f>
        <v>Conditional</v>
      </c>
      <c r="M15" s="33" t="str">
        <f aca="false">'10 Scoring &amp; Weights'!S96</f>
        <v>Conditionally eligible</v>
      </c>
      <c r="N15" s="34" t="n">
        <f aca="false">'10 Scoring &amp; Weights'!L96</f>
        <v>0.648648648648649</v>
      </c>
      <c r="O15" s="30"/>
    </row>
    <row r="16" customFormat="false" ht="39.75" hidden="false" customHeight="true" outlineLevel="0" collapsed="false">
      <c r="A16" s="29" t="s">
        <v>117</v>
      </c>
      <c r="B16" s="30" t="s">
        <v>49</v>
      </c>
      <c r="C16" s="31" t="s">
        <v>118</v>
      </c>
      <c r="D16" s="30" t="s">
        <v>119</v>
      </c>
      <c r="E16" s="30" t="s">
        <v>89</v>
      </c>
      <c r="F16" s="32" t="s">
        <v>120</v>
      </c>
      <c r="G16" s="30" t="s">
        <v>102</v>
      </c>
      <c r="H16" s="30" t="s">
        <v>103</v>
      </c>
      <c r="I16" s="30" t="s">
        <v>104</v>
      </c>
      <c r="J16" s="30" t="s">
        <v>78</v>
      </c>
      <c r="K16" s="30" t="s">
        <v>121</v>
      </c>
      <c r="L16" s="33" t="str">
        <f aca="false">'04 API &amp; Integration'!K16</f>
        <v>Not verified</v>
      </c>
      <c r="M16" s="33" t="str">
        <f aca="false">'10 Scoring &amp; Weights'!S97</f>
        <v>Pending verification</v>
      </c>
      <c r="N16" s="34" t="n">
        <f aca="false">'10 Scoring &amp; Weights'!L97</f>
        <v>0.432432432432432</v>
      </c>
      <c r="O16" s="30"/>
    </row>
    <row r="17" customFormat="false" ht="39.75" hidden="false" customHeight="true" outlineLevel="0" collapsed="false">
      <c r="A17" s="29" t="s">
        <v>122</v>
      </c>
      <c r="B17" s="30" t="s">
        <v>49</v>
      </c>
      <c r="C17" s="31" t="s">
        <v>123</v>
      </c>
      <c r="D17" s="30" t="s">
        <v>124</v>
      </c>
      <c r="E17" s="30" t="s">
        <v>52</v>
      </c>
      <c r="F17" s="32" t="s">
        <v>125</v>
      </c>
      <c r="G17" s="30" t="s">
        <v>102</v>
      </c>
      <c r="H17" s="30" t="s">
        <v>103</v>
      </c>
      <c r="I17" s="30" t="s">
        <v>104</v>
      </c>
      <c r="J17" s="30" t="s">
        <v>78</v>
      </c>
      <c r="K17" s="30" t="s">
        <v>126</v>
      </c>
      <c r="L17" s="33" t="str">
        <f aca="false">'04 API &amp; Integration'!K17</f>
        <v>Not verified</v>
      </c>
      <c r="M17" s="33" t="str">
        <f aca="false">'10 Scoring &amp; Weights'!S98</f>
        <v>Pending verification</v>
      </c>
      <c r="N17" s="34" t="n">
        <f aca="false">'10 Scoring &amp; Weights'!L98</f>
        <v>0.324324324324324</v>
      </c>
      <c r="O17" s="30"/>
    </row>
    <row r="18" customFormat="false" ht="39.75" hidden="false" customHeight="true" outlineLevel="0" collapsed="false">
      <c r="A18" s="29" t="s">
        <v>127</v>
      </c>
      <c r="B18" s="30" t="s">
        <v>49</v>
      </c>
      <c r="C18" s="31" t="s">
        <v>128</v>
      </c>
      <c r="D18" s="30" t="s">
        <v>129</v>
      </c>
      <c r="E18" s="30" t="s">
        <v>52</v>
      </c>
      <c r="F18" s="32" t="s">
        <v>130</v>
      </c>
      <c r="G18" s="30" t="s">
        <v>102</v>
      </c>
      <c r="H18" s="30" t="s">
        <v>103</v>
      </c>
      <c r="I18" s="30" t="s">
        <v>104</v>
      </c>
      <c r="J18" s="30" t="s">
        <v>131</v>
      </c>
      <c r="K18" s="30" t="s">
        <v>132</v>
      </c>
      <c r="L18" s="33" t="str">
        <f aca="false">'04 API &amp; Integration'!K18</f>
        <v>Not verified</v>
      </c>
      <c r="M18" s="33" t="str">
        <f aca="false">'10 Scoring &amp; Weights'!S99</f>
        <v>Pending verification</v>
      </c>
      <c r="N18" s="34" t="n">
        <f aca="false">'10 Scoring &amp; Weights'!L99</f>
        <v>0.432432432432432</v>
      </c>
      <c r="O18" s="30"/>
    </row>
    <row r="19" customFormat="false" ht="30" hidden="false" customHeight="true" outlineLevel="0" collapsed="false">
      <c r="A19" s="35" t="s">
        <v>133</v>
      </c>
      <c r="B19" s="36" t="s">
        <v>49</v>
      </c>
      <c r="C19" s="30" t="s">
        <v>134</v>
      </c>
      <c r="D19" s="36" t="s">
        <v>135</v>
      </c>
      <c r="E19" s="36" t="s">
        <v>136</v>
      </c>
      <c r="F19" s="36"/>
      <c r="G19" s="36" t="s">
        <v>137</v>
      </c>
      <c r="H19" s="36" t="s">
        <v>138</v>
      </c>
      <c r="I19" s="36" t="s">
        <v>104</v>
      </c>
      <c r="J19" s="36"/>
      <c r="K19" s="36" t="s">
        <v>139</v>
      </c>
      <c r="L19" s="35" t="s">
        <v>140</v>
      </c>
      <c r="M19" s="35" t="s">
        <v>138</v>
      </c>
      <c r="N19" s="35" t="s">
        <v>140</v>
      </c>
      <c r="O19" s="36"/>
    </row>
    <row r="20" customFormat="false" ht="30" hidden="false" customHeight="true" outlineLevel="0" collapsed="false">
      <c r="A20" s="35" t="s">
        <v>141</v>
      </c>
      <c r="B20" s="36" t="s">
        <v>49</v>
      </c>
      <c r="C20" s="30" t="s">
        <v>142</v>
      </c>
      <c r="D20" s="36" t="s">
        <v>143</v>
      </c>
      <c r="E20" s="36" t="s">
        <v>136</v>
      </c>
      <c r="F20" s="36"/>
      <c r="G20" s="36" t="s">
        <v>102</v>
      </c>
      <c r="H20" s="36" t="s">
        <v>138</v>
      </c>
      <c r="I20" s="36" t="s">
        <v>104</v>
      </c>
      <c r="J20" s="36"/>
      <c r="K20" s="36" t="s">
        <v>144</v>
      </c>
      <c r="L20" s="35" t="s">
        <v>140</v>
      </c>
      <c r="M20" s="35" t="s">
        <v>138</v>
      </c>
      <c r="N20" s="35" t="s">
        <v>140</v>
      </c>
      <c r="O20" s="36"/>
    </row>
    <row r="21" customFormat="false" ht="30" hidden="false" customHeight="true" outlineLevel="0" collapsed="false">
      <c r="A21" s="35" t="s">
        <v>145</v>
      </c>
      <c r="B21" s="36" t="s">
        <v>49</v>
      </c>
      <c r="C21" s="30" t="s">
        <v>146</v>
      </c>
      <c r="D21" s="36" t="s">
        <v>147</v>
      </c>
      <c r="E21" s="36" t="s">
        <v>136</v>
      </c>
      <c r="F21" s="36"/>
      <c r="G21" s="36" t="s">
        <v>102</v>
      </c>
      <c r="H21" s="36" t="s">
        <v>138</v>
      </c>
      <c r="I21" s="36" t="s">
        <v>104</v>
      </c>
      <c r="J21" s="36"/>
      <c r="K21" s="36" t="s">
        <v>148</v>
      </c>
      <c r="L21" s="35" t="s">
        <v>140</v>
      </c>
      <c r="M21" s="35" t="s">
        <v>138</v>
      </c>
      <c r="N21" s="35" t="s">
        <v>140</v>
      </c>
      <c r="O21" s="36"/>
    </row>
    <row r="22" customFormat="false" ht="30" hidden="false" customHeight="true" outlineLevel="0" collapsed="false">
      <c r="A22" s="35" t="s">
        <v>149</v>
      </c>
      <c r="B22" s="36" t="s">
        <v>49</v>
      </c>
      <c r="C22" s="30" t="s">
        <v>150</v>
      </c>
      <c r="D22" s="36" t="s">
        <v>151</v>
      </c>
      <c r="E22" s="36" t="s">
        <v>136</v>
      </c>
      <c r="F22" s="36"/>
      <c r="G22" s="36" t="s">
        <v>102</v>
      </c>
      <c r="H22" s="36" t="s">
        <v>138</v>
      </c>
      <c r="I22" s="36" t="s">
        <v>104</v>
      </c>
      <c r="J22" s="36"/>
      <c r="K22" s="36" t="s">
        <v>152</v>
      </c>
      <c r="L22" s="35" t="s">
        <v>140</v>
      </c>
      <c r="M22" s="35" t="s">
        <v>138</v>
      </c>
      <c r="N22" s="35" t="s">
        <v>140</v>
      </c>
      <c r="O22" s="36"/>
    </row>
    <row r="23" customFormat="false" ht="30" hidden="false" customHeight="true" outlineLevel="0" collapsed="false">
      <c r="A23" s="35" t="s">
        <v>153</v>
      </c>
      <c r="B23" s="36" t="s">
        <v>49</v>
      </c>
      <c r="C23" s="30" t="s">
        <v>154</v>
      </c>
      <c r="D23" s="36" t="s">
        <v>155</v>
      </c>
      <c r="E23" s="36" t="s">
        <v>136</v>
      </c>
      <c r="F23" s="36"/>
      <c r="G23" s="36" t="s">
        <v>102</v>
      </c>
      <c r="H23" s="36" t="s">
        <v>138</v>
      </c>
      <c r="I23" s="36" t="s">
        <v>104</v>
      </c>
      <c r="J23" s="36"/>
      <c r="K23" s="36" t="s">
        <v>156</v>
      </c>
      <c r="L23" s="35" t="s">
        <v>140</v>
      </c>
      <c r="M23" s="35" t="s">
        <v>138</v>
      </c>
      <c r="N23" s="35" t="s">
        <v>140</v>
      </c>
      <c r="O23" s="36"/>
    </row>
    <row r="24" customFormat="false" ht="30" hidden="false" customHeight="true" outlineLevel="0" collapsed="false">
      <c r="A24" s="35" t="s">
        <v>157</v>
      </c>
      <c r="B24" s="36" t="s">
        <v>49</v>
      </c>
      <c r="C24" s="30" t="s">
        <v>158</v>
      </c>
      <c r="D24" s="36" t="s">
        <v>143</v>
      </c>
      <c r="E24" s="36" t="s">
        <v>136</v>
      </c>
      <c r="F24" s="36"/>
      <c r="G24" s="36" t="s">
        <v>159</v>
      </c>
      <c r="H24" s="36" t="s">
        <v>138</v>
      </c>
      <c r="I24" s="36" t="s">
        <v>104</v>
      </c>
      <c r="J24" s="36"/>
      <c r="K24" s="36" t="s">
        <v>160</v>
      </c>
      <c r="L24" s="35" t="s">
        <v>140</v>
      </c>
      <c r="M24" s="35" t="s">
        <v>138</v>
      </c>
      <c r="N24" s="35" t="s">
        <v>140</v>
      </c>
      <c r="O24" s="36"/>
    </row>
    <row r="25" customFormat="false" ht="30" hidden="false" customHeight="true" outlineLevel="0" collapsed="false">
      <c r="A25" s="35" t="s">
        <v>161</v>
      </c>
      <c r="B25" s="36" t="s">
        <v>49</v>
      </c>
      <c r="C25" s="30" t="s">
        <v>162</v>
      </c>
      <c r="D25" s="36" t="s">
        <v>163</v>
      </c>
      <c r="E25" s="36" t="s">
        <v>164</v>
      </c>
      <c r="F25" s="36"/>
      <c r="G25" s="36" t="s">
        <v>102</v>
      </c>
      <c r="H25" s="36" t="s">
        <v>138</v>
      </c>
      <c r="I25" s="36" t="s">
        <v>104</v>
      </c>
      <c r="J25" s="36"/>
      <c r="K25" s="36" t="s">
        <v>165</v>
      </c>
      <c r="L25" s="35" t="s">
        <v>140</v>
      </c>
      <c r="M25" s="35" t="s">
        <v>138</v>
      </c>
      <c r="N25" s="35" t="s">
        <v>140</v>
      </c>
      <c r="O25" s="36"/>
    </row>
    <row r="26" customFormat="false" ht="30" hidden="false" customHeight="true" outlineLevel="0" collapsed="false">
      <c r="A26" s="35" t="s">
        <v>166</v>
      </c>
      <c r="B26" s="36" t="s">
        <v>49</v>
      </c>
      <c r="C26" s="30" t="s">
        <v>167</v>
      </c>
      <c r="D26" s="36" t="s">
        <v>168</v>
      </c>
      <c r="E26" s="36" t="s">
        <v>136</v>
      </c>
      <c r="F26" s="36"/>
      <c r="G26" s="36" t="s">
        <v>102</v>
      </c>
      <c r="H26" s="36" t="s">
        <v>138</v>
      </c>
      <c r="I26" s="36" t="s">
        <v>104</v>
      </c>
      <c r="J26" s="36"/>
      <c r="K26" s="36" t="s">
        <v>169</v>
      </c>
      <c r="L26" s="35" t="s">
        <v>140</v>
      </c>
      <c r="M26" s="35" t="s">
        <v>138</v>
      </c>
      <c r="N26" s="35" t="s">
        <v>140</v>
      </c>
      <c r="O26" s="36"/>
    </row>
    <row r="27" customFormat="false" ht="30" hidden="false" customHeight="true" outlineLevel="0" collapsed="false">
      <c r="A27" s="35" t="s">
        <v>170</v>
      </c>
      <c r="B27" s="36" t="s">
        <v>171</v>
      </c>
      <c r="C27" s="30" t="s">
        <v>172</v>
      </c>
      <c r="D27" s="36" t="s">
        <v>173</v>
      </c>
      <c r="E27" s="36" t="s">
        <v>174</v>
      </c>
      <c r="F27" s="36"/>
      <c r="G27" s="36" t="s">
        <v>75</v>
      </c>
      <c r="H27" s="36" t="s">
        <v>138</v>
      </c>
      <c r="I27" s="36" t="s">
        <v>77</v>
      </c>
      <c r="J27" s="36"/>
      <c r="K27" s="36" t="s">
        <v>175</v>
      </c>
      <c r="L27" s="35" t="s">
        <v>140</v>
      </c>
      <c r="M27" s="35" t="s">
        <v>138</v>
      </c>
      <c r="N27" s="35" t="s">
        <v>140</v>
      </c>
      <c r="O27" s="36"/>
    </row>
    <row r="28" customFormat="false" ht="30" hidden="false" customHeight="true" outlineLevel="0" collapsed="false">
      <c r="A28" s="35" t="s">
        <v>176</v>
      </c>
      <c r="B28" s="36" t="s">
        <v>171</v>
      </c>
      <c r="C28" s="30" t="s">
        <v>177</v>
      </c>
      <c r="D28" s="36" t="s">
        <v>178</v>
      </c>
      <c r="E28" s="36" t="s">
        <v>174</v>
      </c>
      <c r="F28" s="36"/>
      <c r="G28" s="36" t="s">
        <v>75</v>
      </c>
      <c r="H28" s="36" t="s">
        <v>138</v>
      </c>
      <c r="I28" s="36" t="s">
        <v>77</v>
      </c>
      <c r="J28" s="36"/>
      <c r="K28" s="36" t="s">
        <v>179</v>
      </c>
      <c r="L28" s="35" t="s">
        <v>140</v>
      </c>
      <c r="M28" s="35" t="s">
        <v>138</v>
      </c>
      <c r="N28" s="35" t="s">
        <v>140</v>
      </c>
      <c r="O28" s="36"/>
    </row>
    <row r="29" customFormat="false" ht="30" hidden="false" customHeight="true" outlineLevel="0" collapsed="false">
      <c r="A29" s="35" t="s">
        <v>180</v>
      </c>
      <c r="B29" s="36" t="s">
        <v>171</v>
      </c>
      <c r="C29" s="30" t="s">
        <v>181</v>
      </c>
      <c r="D29" s="36" t="s">
        <v>182</v>
      </c>
      <c r="E29" s="36" t="s">
        <v>174</v>
      </c>
      <c r="F29" s="36"/>
      <c r="G29" s="36" t="s">
        <v>75</v>
      </c>
      <c r="H29" s="36" t="s">
        <v>138</v>
      </c>
      <c r="I29" s="36" t="s">
        <v>77</v>
      </c>
      <c r="J29" s="36"/>
      <c r="K29" s="36" t="s">
        <v>183</v>
      </c>
      <c r="L29" s="35" t="s">
        <v>140</v>
      </c>
      <c r="M29" s="35" t="s">
        <v>138</v>
      </c>
      <c r="N29" s="35" t="s">
        <v>140</v>
      </c>
      <c r="O29" s="36"/>
    </row>
    <row r="30" customFormat="false" ht="30" hidden="false" customHeight="true" outlineLevel="0" collapsed="false">
      <c r="A30" s="35" t="s">
        <v>184</v>
      </c>
      <c r="B30" s="36" t="s">
        <v>171</v>
      </c>
      <c r="C30" s="30" t="s">
        <v>185</v>
      </c>
      <c r="D30" s="36" t="s">
        <v>186</v>
      </c>
      <c r="E30" s="36" t="s">
        <v>174</v>
      </c>
      <c r="F30" s="36"/>
      <c r="G30" s="36" t="s">
        <v>75</v>
      </c>
      <c r="H30" s="36" t="s">
        <v>138</v>
      </c>
      <c r="I30" s="36" t="s">
        <v>77</v>
      </c>
      <c r="J30" s="36"/>
      <c r="K30" s="36" t="s">
        <v>187</v>
      </c>
      <c r="L30" s="35" t="s">
        <v>140</v>
      </c>
      <c r="M30" s="35" t="s">
        <v>138</v>
      </c>
      <c r="N30" s="35" t="s">
        <v>140</v>
      </c>
      <c r="O30" s="36"/>
    </row>
    <row r="31" customFormat="false" ht="30" hidden="false" customHeight="true" outlineLevel="0" collapsed="false">
      <c r="A31" s="35" t="s">
        <v>188</v>
      </c>
      <c r="B31" s="36" t="s">
        <v>171</v>
      </c>
      <c r="C31" s="30" t="s">
        <v>189</v>
      </c>
      <c r="D31" s="36" t="s">
        <v>190</v>
      </c>
      <c r="E31" s="36" t="s">
        <v>174</v>
      </c>
      <c r="F31" s="36"/>
      <c r="G31" s="36" t="s">
        <v>75</v>
      </c>
      <c r="H31" s="36" t="s">
        <v>138</v>
      </c>
      <c r="I31" s="36" t="s">
        <v>77</v>
      </c>
      <c r="J31" s="36"/>
      <c r="K31" s="36" t="s">
        <v>191</v>
      </c>
      <c r="L31" s="35" t="s">
        <v>140</v>
      </c>
      <c r="M31" s="35" t="s">
        <v>138</v>
      </c>
      <c r="N31" s="35" t="s">
        <v>140</v>
      </c>
      <c r="O31" s="36"/>
    </row>
    <row r="32" customFormat="false" ht="19.4" hidden="false" customHeight="false" outlineLevel="0" collapsed="false">
      <c r="A32" s="35" t="s">
        <v>192</v>
      </c>
      <c r="B32" s="36" t="s">
        <v>193</v>
      </c>
      <c r="C32" s="30" t="s">
        <v>194</v>
      </c>
      <c r="D32" s="36" t="s">
        <v>195</v>
      </c>
      <c r="E32" s="36" t="s">
        <v>196</v>
      </c>
      <c r="F32" s="36"/>
      <c r="G32" s="36" t="s">
        <v>75</v>
      </c>
      <c r="H32" s="36" t="s">
        <v>138</v>
      </c>
      <c r="I32" s="36" t="s">
        <v>77</v>
      </c>
      <c r="J32" s="36"/>
      <c r="K32" s="36" t="s">
        <v>197</v>
      </c>
      <c r="L32" s="35" t="s">
        <v>140</v>
      </c>
      <c r="M32" s="35" t="s">
        <v>138</v>
      </c>
      <c r="N32" s="35" t="s">
        <v>140</v>
      </c>
      <c r="O32" s="36"/>
    </row>
    <row r="33" customFormat="false" ht="19.4" hidden="false" customHeight="false" outlineLevel="0" collapsed="false">
      <c r="A33" s="35" t="s">
        <v>198</v>
      </c>
      <c r="B33" s="36" t="s">
        <v>193</v>
      </c>
      <c r="C33" s="30" t="s">
        <v>199</v>
      </c>
      <c r="D33" s="36" t="s">
        <v>195</v>
      </c>
      <c r="E33" s="36" t="s">
        <v>196</v>
      </c>
      <c r="F33" s="36"/>
      <c r="G33" s="36" t="s">
        <v>75</v>
      </c>
      <c r="H33" s="36" t="s">
        <v>138</v>
      </c>
      <c r="I33" s="36" t="s">
        <v>77</v>
      </c>
      <c r="J33" s="36"/>
      <c r="K33" s="36" t="s">
        <v>197</v>
      </c>
      <c r="L33" s="35" t="s">
        <v>140</v>
      </c>
      <c r="M33" s="35" t="s">
        <v>138</v>
      </c>
      <c r="N33" s="35" t="s">
        <v>140</v>
      </c>
      <c r="O33" s="36"/>
    </row>
    <row r="34" customFormat="false" ht="19.4" hidden="false" customHeight="false" outlineLevel="0" collapsed="false">
      <c r="A34" s="35" t="s">
        <v>200</v>
      </c>
      <c r="B34" s="36" t="s">
        <v>193</v>
      </c>
      <c r="C34" s="30" t="s">
        <v>201</v>
      </c>
      <c r="D34" s="36" t="s">
        <v>195</v>
      </c>
      <c r="E34" s="36" t="s">
        <v>196</v>
      </c>
      <c r="F34" s="36"/>
      <c r="G34" s="36" t="s">
        <v>75</v>
      </c>
      <c r="H34" s="36" t="s">
        <v>138</v>
      </c>
      <c r="I34" s="36" t="s">
        <v>77</v>
      </c>
      <c r="J34" s="36"/>
      <c r="K34" s="36" t="s">
        <v>197</v>
      </c>
      <c r="L34" s="35" t="s">
        <v>140</v>
      </c>
      <c r="M34" s="35" t="s">
        <v>138</v>
      </c>
      <c r="N34" s="35" t="s">
        <v>140</v>
      </c>
      <c r="O34" s="36"/>
    </row>
    <row r="35" customFormat="false" ht="19.4" hidden="false" customHeight="false" outlineLevel="0" collapsed="false">
      <c r="A35" s="35" t="s">
        <v>202</v>
      </c>
      <c r="B35" s="36" t="s">
        <v>193</v>
      </c>
      <c r="C35" s="30" t="s">
        <v>203</v>
      </c>
      <c r="D35" s="36" t="s">
        <v>195</v>
      </c>
      <c r="E35" s="36" t="s">
        <v>196</v>
      </c>
      <c r="F35" s="36"/>
      <c r="G35" s="36" t="s">
        <v>75</v>
      </c>
      <c r="H35" s="36" t="s">
        <v>138</v>
      </c>
      <c r="I35" s="36" t="s">
        <v>77</v>
      </c>
      <c r="J35" s="36"/>
      <c r="K35" s="36" t="s">
        <v>197</v>
      </c>
      <c r="L35" s="35" t="s">
        <v>140</v>
      </c>
      <c r="M35" s="35" t="s">
        <v>138</v>
      </c>
      <c r="N35" s="35" t="s">
        <v>140</v>
      </c>
      <c r="O35" s="36"/>
    </row>
    <row r="36" customFormat="false" ht="19.4" hidden="false" customHeight="false" outlineLevel="0" collapsed="false">
      <c r="A36" s="35" t="s">
        <v>204</v>
      </c>
      <c r="B36" s="36" t="s">
        <v>193</v>
      </c>
      <c r="C36" s="30" t="s">
        <v>205</v>
      </c>
      <c r="D36" s="36" t="s">
        <v>195</v>
      </c>
      <c r="E36" s="36" t="s">
        <v>196</v>
      </c>
      <c r="F36" s="36"/>
      <c r="G36" s="36" t="s">
        <v>75</v>
      </c>
      <c r="H36" s="36" t="s">
        <v>138</v>
      </c>
      <c r="I36" s="36" t="s">
        <v>77</v>
      </c>
      <c r="J36" s="36"/>
      <c r="K36" s="36" t="s">
        <v>197</v>
      </c>
      <c r="L36" s="35" t="s">
        <v>140</v>
      </c>
      <c r="M36" s="35" t="s">
        <v>138</v>
      </c>
      <c r="N36" s="35" t="s">
        <v>140</v>
      </c>
      <c r="O36" s="36"/>
    </row>
    <row r="37" customFormat="false" ht="19.4" hidden="false" customHeight="false" outlineLevel="0" collapsed="false">
      <c r="A37" s="35" t="s">
        <v>206</v>
      </c>
      <c r="B37" s="36" t="s">
        <v>193</v>
      </c>
      <c r="C37" s="30" t="s">
        <v>207</v>
      </c>
      <c r="D37" s="36" t="s">
        <v>195</v>
      </c>
      <c r="E37" s="36" t="s">
        <v>196</v>
      </c>
      <c r="F37" s="36"/>
      <c r="G37" s="36" t="s">
        <v>75</v>
      </c>
      <c r="H37" s="36" t="s">
        <v>138</v>
      </c>
      <c r="I37" s="36" t="s">
        <v>77</v>
      </c>
      <c r="J37" s="36"/>
      <c r="K37" s="36" t="s">
        <v>197</v>
      </c>
      <c r="L37" s="35" t="s">
        <v>140</v>
      </c>
      <c r="M37" s="35" t="s">
        <v>138</v>
      </c>
      <c r="N37" s="35" t="s">
        <v>140</v>
      </c>
      <c r="O37" s="36"/>
    </row>
    <row r="38" customFormat="false" ht="19.4" hidden="false" customHeight="false" outlineLevel="0" collapsed="false">
      <c r="A38" s="35" t="s">
        <v>208</v>
      </c>
      <c r="B38" s="36" t="s">
        <v>193</v>
      </c>
      <c r="C38" s="30" t="s">
        <v>209</v>
      </c>
      <c r="D38" s="36" t="s">
        <v>195</v>
      </c>
      <c r="E38" s="36" t="s">
        <v>196</v>
      </c>
      <c r="F38" s="36"/>
      <c r="G38" s="36" t="s">
        <v>75</v>
      </c>
      <c r="H38" s="36" t="s">
        <v>138</v>
      </c>
      <c r="I38" s="36" t="s">
        <v>77</v>
      </c>
      <c r="J38" s="36"/>
      <c r="K38" s="36" t="s">
        <v>197</v>
      </c>
      <c r="L38" s="35" t="s">
        <v>140</v>
      </c>
      <c r="M38" s="35" t="s">
        <v>138</v>
      </c>
      <c r="N38" s="35" t="s">
        <v>140</v>
      </c>
      <c r="O38" s="36"/>
    </row>
    <row r="39" customFormat="false" ht="19.4" hidden="false" customHeight="false" outlineLevel="0" collapsed="false">
      <c r="A39" s="35" t="s">
        <v>210</v>
      </c>
      <c r="B39" s="36" t="s">
        <v>193</v>
      </c>
      <c r="C39" s="30" t="s">
        <v>211</v>
      </c>
      <c r="D39" s="36" t="s">
        <v>195</v>
      </c>
      <c r="E39" s="36" t="s">
        <v>196</v>
      </c>
      <c r="F39" s="36"/>
      <c r="G39" s="36" t="s">
        <v>75</v>
      </c>
      <c r="H39" s="36" t="s">
        <v>138</v>
      </c>
      <c r="I39" s="36" t="s">
        <v>77</v>
      </c>
      <c r="J39" s="36"/>
      <c r="K39" s="36" t="s">
        <v>197</v>
      </c>
      <c r="L39" s="35" t="s">
        <v>140</v>
      </c>
      <c r="M39" s="35" t="s">
        <v>138</v>
      </c>
      <c r="N39" s="35" t="s">
        <v>140</v>
      </c>
      <c r="O39" s="36"/>
    </row>
    <row r="40" customFormat="false" ht="19.4" hidden="false" customHeight="false" outlineLevel="0" collapsed="false">
      <c r="A40" s="35" t="s">
        <v>212</v>
      </c>
      <c r="B40" s="36" t="s">
        <v>213</v>
      </c>
      <c r="C40" s="30" t="s">
        <v>214</v>
      </c>
      <c r="D40" s="36" t="s">
        <v>195</v>
      </c>
      <c r="E40" s="36" t="s">
        <v>196</v>
      </c>
      <c r="F40" s="36"/>
      <c r="G40" s="36" t="s">
        <v>75</v>
      </c>
      <c r="H40" s="36" t="s">
        <v>138</v>
      </c>
      <c r="I40" s="36" t="s">
        <v>77</v>
      </c>
      <c r="J40" s="36"/>
      <c r="K40" s="36" t="s">
        <v>197</v>
      </c>
      <c r="L40" s="35" t="s">
        <v>140</v>
      </c>
      <c r="M40" s="35" t="s">
        <v>138</v>
      </c>
      <c r="N40" s="35" t="s">
        <v>140</v>
      </c>
      <c r="O40" s="36"/>
    </row>
    <row r="41" customFormat="false" ht="19.4" hidden="false" customHeight="false" outlineLevel="0" collapsed="false">
      <c r="A41" s="35" t="s">
        <v>215</v>
      </c>
      <c r="B41" s="36" t="s">
        <v>213</v>
      </c>
      <c r="C41" s="30" t="s">
        <v>216</v>
      </c>
      <c r="D41" s="36" t="s">
        <v>195</v>
      </c>
      <c r="E41" s="36" t="s">
        <v>196</v>
      </c>
      <c r="F41" s="36"/>
      <c r="G41" s="36" t="s">
        <v>75</v>
      </c>
      <c r="H41" s="36" t="s">
        <v>138</v>
      </c>
      <c r="I41" s="36" t="s">
        <v>77</v>
      </c>
      <c r="J41" s="36"/>
      <c r="K41" s="36" t="s">
        <v>197</v>
      </c>
      <c r="L41" s="35" t="s">
        <v>140</v>
      </c>
      <c r="M41" s="35" t="s">
        <v>138</v>
      </c>
      <c r="N41" s="35" t="s">
        <v>140</v>
      </c>
      <c r="O41" s="36"/>
    </row>
    <row r="42" customFormat="false" ht="19.4" hidden="false" customHeight="false" outlineLevel="0" collapsed="false">
      <c r="A42" s="35" t="s">
        <v>217</v>
      </c>
      <c r="B42" s="36" t="s">
        <v>213</v>
      </c>
      <c r="C42" s="30" t="s">
        <v>218</v>
      </c>
      <c r="D42" s="36" t="s">
        <v>195</v>
      </c>
      <c r="E42" s="36" t="s">
        <v>196</v>
      </c>
      <c r="F42" s="36"/>
      <c r="G42" s="36" t="s">
        <v>75</v>
      </c>
      <c r="H42" s="36" t="s">
        <v>138</v>
      </c>
      <c r="I42" s="36" t="s">
        <v>77</v>
      </c>
      <c r="J42" s="36"/>
      <c r="K42" s="36" t="s">
        <v>197</v>
      </c>
      <c r="L42" s="35" t="s">
        <v>140</v>
      </c>
      <c r="M42" s="35" t="s">
        <v>138</v>
      </c>
      <c r="N42" s="35" t="s">
        <v>140</v>
      </c>
      <c r="O42" s="36"/>
    </row>
    <row r="43" customFormat="false" ht="19.4" hidden="false" customHeight="false" outlineLevel="0" collapsed="false">
      <c r="A43" s="35" t="s">
        <v>219</v>
      </c>
      <c r="B43" s="36" t="s">
        <v>213</v>
      </c>
      <c r="C43" s="30" t="s">
        <v>220</v>
      </c>
      <c r="D43" s="36" t="s">
        <v>195</v>
      </c>
      <c r="E43" s="36" t="s">
        <v>196</v>
      </c>
      <c r="F43" s="36"/>
      <c r="G43" s="36" t="s">
        <v>75</v>
      </c>
      <c r="H43" s="36" t="s">
        <v>138</v>
      </c>
      <c r="I43" s="36" t="s">
        <v>77</v>
      </c>
      <c r="J43" s="36"/>
      <c r="K43" s="36" t="s">
        <v>197</v>
      </c>
      <c r="L43" s="35" t="s">
        <v>140</v>
      </c>
      <c r="M43" s="35" t="s">
        <v>138</v>
      </c>
      <c r="N43" s="35" t="s">
        <v>140</v>
      </c>
      <c r="O43" s="36"/>
    </row>
    <row r="44" customFormat="false" ht="19.4" hidden="false" customHeight="false" outlineLevel="0" collapsed="false">
      <c r="A44" s="35" t="s">
        <v>221</v>
      </c>
      <c r="B44" s="36" t="s">
        <v>213</v>
      </c>
      <c r="C44" s="30" t="s">
        <v>222</v>
      </c>
      <c r="D44" s="36" t="s">
        <v>195</v>
      </c>
      <c r="E44" s="36" t="s">
        <v>196</v>
      </c>
      <c r="F44" s="36"/>
      <c r="G44" s="36" t="s">
        <v>75</v>
      </c>
      <c r="H44" s="36" t="s">
        <v>138</v>
      </c>
      <c r="I44" s="36" t="s">
        <v>77</v>
      </c>
      <c r="J44" s="36"/>
      <c r="K44" s="36" t="s">
        <v>197</v>
      </c>
      <c r="L44" s="35" t="s">
        <v>140</v>
      </c>
      <c r="M44" s="35" t="s">
        <v>138</v>
      </c>
      <c r="N44" s="35" t="s">
        <v>140</v>
      </c>
      <c r="O44" s="36"/>
    </row>
    <row r="45" customFormat="false" ht="19.4" hidden="false" customHeight="false" outlineLevel="0" collapsed="false">
      <c r="A45" s="35" t="s">
        <v>223</v>
      </c>
      <c r="B45" s="36" t="s">
        <v>213</v>
      </c>
      <c r="C45" s="30" t="s">
        <v>224</v>
      </c>
      <c r="D45" s="36" t="s">
        <v>195</v>
      </c>
      <c r="E45" s="36" t="s">
        <v>196</v>
      </c>
      <c r="F45" s="36"/>
      <c r="G45" s="36" t="s">
        <v>75</v>
      </c>
      <c r="H45" s="36" t="s">
        <v>138</v>
      </c>
      <c r="I45" s="36" t="s">
        <v>77</v>
      </c>
      <c r="J45" s="36"/>
      <c r="K45" s="36" t="s">
        <v>197</v>
      </c>
      <c r="L45" s="35" t="s">
        <v>140</v>
      </c>
      <c r="M45" s="35" t="s">
        <v>138</v>
      </c>
      <c r="N45" s="35" t="s">
        <v>140</v>
      </c>
      <c r="O45" s="36"/>
    </row>
    <row r="46" customFormat="false" ht="19.4" hidden="false" customHeight="false" outlineLevel="0" collapsed="false">
      <c r="A46" s="35" t="s">
        <v>225</v>
      </c>
      <c r="B46" s="36" t="s">
        <v>213</v>
      </c>
      <c r="C46" s="30" t="s">
        <v>226</v>
      </c>
      <c r="D46" s="36" t="s">
        <v>195</v>
      </c>
      <c r="E46" s="36" t="s">
        <v>196</v>
      </c>
      <c r="F46" s="36"/>
      <c r="G46" s="36" t="s">
        <v>75</v>
      </c>
      <c r="H46" s="36" t="s">
        <v>138</v>
      </c>
      <c r="I46" s="36" t="s">
        <v>77</v>
      </c>
      <c r="J46" s="36"/>
      <c r="K46" s="36" t="s">
        <v>197</v>
      </c>
      <c r="L46" s="35" t="s">
        <v>140</v>
      </c>
      <c r="M46" s="35" t="s">
        <v>138</v>
      </c>
      <c r="N46" s="35" t="s">
        <v>140</v>
      </c>
      <c r="O46" s="36"/>
    </row>
    <row r="47" customFormat="false" ht="19.4" hidden="false" customHeight="false" outlineLevel="0" collapsed="false">
      <c r="A47" s="35" t="s">
        <v>227</v>
      </c>
      <c r="B47" s="36" t="s">
        <v>228</v>
      </c>
      <c r="C47" s="30" t="s">
        <v>229</v>
      </c>
      <c r="D47" s="36" t="s">
        <v>195</v>
      </c>
      <c r="E47" s="36" t="s">
        <v>196</v>
      </c>
      <c r="F47" s="36"/>
      <c r="G47" s="36" t="s">
        <v>75</v>
      </c>
      <c r="H47" s="36" t="s">
        <v>138</v>
      </c>
      <c r="I47" s="36" t="s">
        <v>77</v>
      </c>
      <c r="J47" s="36"/>
      <c r="K47" s="36" t="s">
        <v>197</v>
      </c>
      <c r="L47" s="35" t="s">
        <v>140</v>
      </c>
      <c r="M47" s="35" t="s">
        <v>138</v>
      </c>
      <c r="N47" s="35" t="s">
        <v>140</v>
      </c>
      <c r="O47" s="36"/>
    </row>
    <row r="48" customFormat="false" ht="19.4" hidden="false" customHeight="false" outlineLevel="0" collapsed="false">
      <c r="A48" s="35" t="s">
        <v>230</v>
      </c>
      <c r="B48" s="36" t="s">
        <v>228</v>
      </c>
      <c r="C48" s="30" t="s">
        <v>231</v>
      </c>
      <c r="D48" s="36" t="s">
        <v>195</v>
      </c>
      <c r="E48" s="36" t="s">
        <v>196</v>
      </c>
      <c r="F48" s="36"/>
      <c r="G48" s="36" t="s">
        <v>75</v>
      </c>
      <c r="H48" s="36" t="s">
        <v>138</v>
      </c>
      <c r="I48" s="36" t="s">
        <v>77</v>
      </c>
      <c r="J48" s="36"/>
      <c r="K48" s="36" t="s">
        <v>197</v>
      </c>
      <c r="L48" s="35" t="s">
        <v>140</v>
      </c>
      <c r="M48" s="35" t="s">
        <v>138</v>
      </c>
      <c r="N48" s="35" t="s">
        <v>140</v>
      </c>
      <c r="O48" s="36"/>
    </row>
    <row r="49" customFormat="false" ht="19.4" hidden="false" customHeight="false" outlineLevel="0" collapsed="false">
      <c r="A49" s="35" t="s">
        <v>232</v>
      </c>
      <c r="B49" s="36" t="s">
        <v>228</v>
      </c>
      <c r="C49" s="30" t="s">
        <v>233</v>
      </c>
      <c r="D49" s="36" t="s">
        <v>195</v>
      </c>
      <c r="E49" s="36" t="s">
        <v>196</v>
      </c>
      <c r="F49" s="36"/>
      <c r="G49" s="36" t="s">
        <v>75</v>
      </c>
      <c r="H49" s="36" t="s">
        <v>138</v>
      </c>
      <c r="I49" s="36" t="s">
        <v>77</v>
      </c>
      <c r="J49" s="36"/>
      <c r="K49" s="36" t="s">
        <v>197</v>
      </c>
      <c r="L49" s="35" t="s">
        <v>140</v>
      </c>
      <c r="M49" s="35" t="s">
        <v>138</v>
      </c>
      <c r="N49" s="35" t="s">
        <v>140</v>
      </c>
      <c r="O49" s="36"/>
    </row>
    <row r="50" customFormat="false" ht="19.4" hidden="false" customHeight="false" outlineLevel="0" collapsed="false">
      <c r="A50" s="35" t="s">
        <v>234</v>
      </c>
      <c r="B50" s="36" t="s">
        <v>228</v>
      </c>
      <c r="C50" s="30" t="s">
        <v>235</v>
      </c>
      <c r="D50" s="36" t="s">
        <v>195</v>
      </c>
      <c r="E50" s="36" t="s">
        <v>196</v>
      </c>
      <c r="F50" s="36"/>
      <c r="G50" s="36" t="s">
        <v>75</v>
      </c>
      <c r="H50" s="36" t="s">
        <v>138</v>
      </c>
      <c r="I50" s="36" t="s">
        <v>77</v>
      </c>
      <c r="J50" s="36"/>
      <c r="K50" s="36" t="s">
        <v>197</v>
      </c>
      <c r="L50" s="35" t="s">
        <v>140</v>
      </c>
      <c r="M50" s="35" t="s">
        <v>138</v>
      </c>
      <c r="N50" s="35" t="s">
        <v>140</v>
      </c>
      <c r="O50" s="36"/>
    </row>
    <row r="51" customFormat="false" ht="19.4" hidden="false" customHeight="false" outlineLevel="0" collapsed="false">
      <c r="A51" s="35" t="s">
        <v>236</v>
      </c>
      <c r="B51" s="36" t="s">
        <v>228</v>
      </c>
      <c r="C51" s="30" t="s">
        <v>237</v>
      </c>
      <c r="D51" s="36" t="s">
        <v>195</v>
      </c>
      <c r="E51" s="36" t="s">
        <v>196</v>
      </c>
      <c r="F51" s="36"/>
      <c r="G51" s="36" t="s">
        <v>75</v>
      </c>
      <c r="H51" s="36" t="s">
        <v>138</v>
      </c>
      <c r="I51" s="36" t="s">
        <v>77</v>
      </c>
      <c r="J51" s="36"/>
      <c r="K51" s="36" t="s">
        <v>197</v>
      </c>
      <c r="L51" s="35" t="s">
        <v>140</v>
      </c>
      <c r="M51" s="35" t="s">
        <v>138</v>
      </c>
      <c r="N51" s="35" t="s">
        <v>140</v>
      </c>
      <c r="O51" s="36"/>
    </row>
    <row r="52" customFormat="false" ht="19.4" hidden="false" customHeight="false" outlineLevel="0" collapsed="false">
      <c r="A52" s="35" t="s">
        <v>238</v>
      </c>
      <c r="B52" s="36" t="s">
        <v>228</v>
      </c>
      <c r="C52" s="30" t="s">
        <v>239</v>
      </c>
      <c r="D52" s="36" t="s">
        <v>195</v>
      </c>
      <c r="E52" s="36" t="s">
        <v>196</v>
      </c>
      <c r="F52" s="36"/>
      <c r="G52" s="36" t="s">
        <v>75</v>
      </c>
      <c r="H52" s="36" t="s">
        <v>138</v>
      </c>
      <c r="I52" s="36" t="s">
        <v>77</v>
      </c>
      <c r="J52" s="36"/>
      <c r="K52" s="36" t="s">
        <v>197</v>
      </c>
      <c r="L52" s="35" t="s">
        <v>140</v>
      </c>
      <c r="M52" s="35" t="s">
        <v>138</v>
      </c>
      <c r="N52" s="35" t="s">
        <v>140</v>
      </c>
      <c r="O52" s="36"/>
    </row>
    <row r="53" customFormat="false" ht="19.4" hidden="false" customHeight="false" outlineLevel="0" collapsed="false">
      <c r="A53" s="35" t="s">
        <v>240</v>
      </c>
      <c r="B53" s="36" t="s">
        <v>228</v>
      </c>
      <c r="C53" s="30" t="s">
        <v>241</v>
      </c>
      <c r="D53" s="36" t="s">
        <v>195</v>
      </c>
      <c r="E53" s="36" t="s">
        <v>196</v>
      </c>
      <c r="F53" s="36"/>
      <c r="G53" s="36" t="s">
        <v>75</v>
      </c>
      <c r="H53" s="36" t="s">
        <v>138</v>
      </c>
      <c r="I53" s="36" t="s">
        <v>77</v>
      </c>
      <c r="J53" s="36"/>
      <c r="K53" s="36" t="s">
        <v>197</v>
      </c>
      <c r="L53" s="35" t="s">
        <v>140</v>
      </c>
      <c r="M53" s="35" t="s">
        <v>138</v>
      </c>
      <c r="N53" s="35" t="s">
        <v>140</v>
      </c>
      <c r="O53" s="36"/>
    </row>
  </sheetData>
  <autoFilter ref="A5:O53"/>
  <mergeCells count="1">
    <mergeCell ref="A3:O3"/>
  </mergeCells>
  <conditionalFormatting sqref="L6:M53">
    <cfRule type="cellIs" priority="2" operator="equal" aboveAverage="0" equalAverage="0" bottom="0" percent="0" rank="0" text="" dxfId="1">
      <formula>"Pass"</formula>
    </cfRule>
    <cfRule type="cellIs" priority="3" operator="equal" aboveAverage="0" equalAverage="0" bottom="0" percent="0" rank="0" text="" dxfId="1">
      <formula>"Eligible"</formula>
    </cfRule>
    <cfRule type="cellIs" priority="4" operator="equal" aboveAverage="0" equalAverage="0" bottom="0" percent="0" rank="0" text="" dxfId="1">
      <formula>"Verified feasible"</formula>
    </cfRule>
    <cfRule type="cellIs" priority="5" operator="equal" aboveAverage="0" equalAverage="0" bottom="0" percent="0" rank="0" text="" dxfId="2">
      <formula>"Conditional"</formula>
    </cfRule>
    <cfRule type="cellIs" priority="6" operator="equal" aboveAverage="0" equalAverage="0" bottom="0" percent="0" rank="0" text="" dxfId="2">
      <formula>"Conditionally eligible"</formula>
    </cfRule>
    <cfRule type="cellIs" priority="7" operator="equal" aboveAverage="0" equalAverage="0" bottom="0" percent="0" rank="0" text="" dxfId="2">
      <formula>"Pending"</formula>
    </cfRule>
    <cfRule type="cellIs" priority="8" operator="equal" aboveAverage="0" equalAverage="0" bottom="0" percent="0" rank="0" text="" dxfId="2">
      <formula>"Pending verification"</formula>
    </cfRule>
    <cfRule type="cellIs" priority="9" operator="equal" aboveAverage="0" equalAverage="0" bottom="0" percent="0" rank="0" text="" dxfId="2">
      <formula>"Not verified"</formula>
    </cfRule>
    <cfRule type="cellIs" priority="10" operator="equal" aboveAverage="0" equalAverage="0" bottom="0" percent="0" rank="0" text="" dxfId="0">
      <formula>"Fail"</formula>
    </cfRule>
    <cfRule type="cellIs" priority="11" operator="equal" aboveAverage="0" equalAverage="0" bottom="0" percent="0" rank="0" text="" dxfId="0">
      <formula>"Ineligible"</formula>
    </cfRule>
    <cfRule type="cellIs" priority="12" operator="equal" aboveAverage="0" equalAverage="0" bottom="0" percent="0" rank="0" text="" dxfId="0">
      <formula>"Not feasible"</formula>
    </cfRule>
  </conditionalFormatting>
  <conditionalFormatting sqref="H6:H53">
    <cfRule type="cellIs" priority="13" operator="equal" aboveAverage="0" equalAverage="0" bottom="0" percent="0" rank="0" text="" dxfId="13">
      <formula>"User-mandated"</formula>
    </cfRule>
  </conditionalFormatting>
  <conditionalFormatting sqref="M6:M53">
    <cfRule type="cellIs" priority="14" operator="equal" aboveAverage="0" equalAverage="0" bottom="0" percent="0" rank="0" text="" dxfId="14">
      <formula>"Screened out"</formula>
    </cfRule>
  </conditionalFormatting>
  <hyperlinks>
    <hyperlink ref="F6" r:id="rId1" display="https://www.iwonlex.net/products/vb10-medical-grade-screenless-health-band-with-ecg-and-hrv-monitoring/"/>
    <hyperlink ref="F7" r:id="rId2" display="https://www.iwonlex.net/products/wonlex-4g-cheap-gps-wifi-calling-cat1-kids-smart-watch-s10/"/>
    <hyperlink ref="F8" r:id="rId3" display="https://www.iwonlex.net/products/wonlex-ct34-4g-gps-screenless-sos-smart-band-for-seniors/"/>
    <hyperlink ref="F9" r:id="rId4" display="https://www.iwonlex.net/products/mf90-bluetooth-screenless-ecg---health-monitoring-band/"/>
    <hyperlink ref="F10" r:id="rId5" display="https://www.iwonlex.net/products/mf91-screenless-health-fitness-bracelet-for-gym-and-sports-monitoring-band/"/>
    <hyperlink ref="F11" r:id="rId6" display="https://www.iwonlex.net/top-5-smart-health-watches-for-seniors-aging-in-place/"/>
    <hyperlink ref="F12" r:id="rId7" display="https://www.iwonlex.net/products/wonlex-hw20-4g-gps-senior-health-smartwatch-with-air-pump-blood-pressure-monitor/"/>
    <hyperlink ref="F13" r:id="rId8" display="https://www.iwonlex.net/products/mf91pro-medical-grade-screenless-health-band-with-ecg-and-hrv-monitoring/"/>
    <hyperlink ref="F14" r:id="rId9" display="https://www.iwonlex.net/products/wonlex-4g-ble-medical-air-pump-smartwatch-hw20pro--precision-bp---senior-health-monitoring/"/>
    <hyperlink ref="F15" r:id="rId10" display="https://www.iwonlex.net/products/hw19-4g-senior-health-smartwatch-with-sos-and-gps/"/>
    <hyperlink ref="F16" r:id="rId11" display="https://www.iwonlex.net/products/wonlex-ct20s-4g-smart-watch-for-elderly-with-large-screen-and-fall-detection/"/>
    <hyperlink ref="F17" r:id="rId12" display="https://www.iwonlex.net/products/wonlex-4g-cat1-hr-br-monitoring-gps-kids-watch-s8-with-wifi-sos/"/>
    <hyperlink ref="F18" r:id="rId13" display="https://www.iwonlex.net/products/4g-ct31-screenless-senior-band-with-dual-big-button-and-big-batter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AQ34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11"/>
    <col collapsed="false" customWidth="true" hidden="false" outlineLevel="0" max="5" min="4" style="0" width="7"/>
    <col collapsed="false" customWidth="true" hidden="false" outlineLevel="0" max="27" min="6" style="0" width="9.51"/>
    <col collapsed="false" customWidth="true" hidden="false" outlineLevel="0" max="28" min="28" style="0" width="2"/>
    <col collapsed="false" customWidth="true" hidden="false" outlineLevel="0" max="29" min="29" style="0" width="20"/>
    <col collapsed="false" customWidth="true" hidden="false" outlineLevel="0" max="30" min="30" style="0" width="14"/>
    <col collapsed="false" customWidth="true" hidden="false" outlineLevel="0" max="31" min="31" style="0" width="16"/>
    <col collapsed="false" customWidth="true" hidden="false" outlineLevel="0" max="32" min="32" style="0" width="8"/>
    <col collapsed="false" customWidth="true" hidden="false" outlineLevel="0" max="33" min="33" style="0" width="10"/>
    <col collapsed="false" customWidth="true" hidden="false" outlineLevel="0" max="34" min="34" style="0" width="8"/>
    <col collapsed="false" customWidth="true" hidden="false" outlineLevel="0" max="35" min="35" style="0" width="24"/>
    <col collapsed="false" customWidth="true" hidden="false" outlineLevel="0" max="36" min="36" style="0" width="7"/>
    <col collapsed="false" customWidth="true" hidden="false" outlineLevel="0" max="37" min="37" style="0" width="14"/>
    <col collapsed="false" customWidth="true" hidden="false" outlineLevel="0" max="38" min="38" style="0" width="16"/>
    <col collapsed="false" customWidth="true" hidden="false" outlineLevel="0" max="39" min="39" style="0" width="10"/>
    <col collapsed="false" customWidth="true" hidden="false" outlineLevel="0" max="40" min="40" style="0" width="12"/>
    <col collapsed="false" customWidth="true" hidden="false" outlineLevel="0" max="41" min="41" style="0" width="10"/>
    <col collapsed="false" customWidth="true" hidden="false" outlineLevel="0" max="42" min="42" style="0" width="22"/>
    <col collapsed="false" customWidth="true" hidden="false" outlineLevel="0" max="43" min="43" style="0" width="18"/>
  </cols>
  <sheetData>
    <row r="1" customFormat="false" ht="17.35" hidden="false" customHeight="false" outlineLevel="0" collapsed="false">
      <c r="A1" s="28" t="s">
        <v>242</v>
      </c>
    </row>
    <row r="2" customFormat="false" ht="15" hidden="false" customHeight="false" outlineLevel="0" collapsed="false">
      <c r="A2" s="2" t="s">
        <v>243</v>
      </c>
    </row>
    <row r="3" customFormat="false" ht="15" hidden="false" customHeight="false" outlineLevel="0" collapsed="false">
      <c r="A3" s="37" t="s">
        <v>244</v>
      </c>
      <c r="B3" s="38" t="s">
        <v>245</v>
      </c>
      <c r="C3" s="39" t="s">
        <v>246</v>
      </c>
      <c r="D3" s="40" t="s">
        <v>247</v>
      </c>
      <c r="E3" s="41" t="s">
        <v>248</v>
      </c>
      <c r="F3" s="42" t="s">
        <v>249</v>
      </c>
      <c r="G3" s="43" t="s">
        <v>250</v>
      </c>
    </row>
    <row r="4" customFormat="false" ht="15" hidden="false" customHeight="false" outlineLevel="0" collapsed="false">
      <c r="F4" s="44" t="s">
        <v>251</v>
      </c>
      <c r="G4" s="44" t="s">
        <v>251</v>
      </c>
      <c r="H4" s="44" t="s">
        <v>251</v>
      </c>
      <c r="I4" s="44" t="s">
        <v>251</v>
      </c>
      <c r="J4" s="44" t="s">
        <v>251</v>
      </c>
      <c r="K4" s="44" t="s">
        <v>251</v>
      </c>
      <c r="L4" s="44" t="s">
        <v>251</v>
      </c>
      <c r="M4" s="44" t="s">
        <v>251</v>
      </c>
      <c r="N4" s="44" t="s">
        <v>251</v>
      </c>
      <c r="O4" s="44" t="s">
        <v>252</v>
      </c>
      <c r="P4" s="44" t="s">
        <v>252</v>
      </c>
      <c r="Q4" s="44" t="s">
        <v>252</v>
      </c>
      <c r="R4" s="44" t="s">
        <v>252</v>
      </c>
      <c r="S4" s="44" t="s">
        <v>252</v>
      </c>
      <c r="T4" s="44" t="s">
        <v>253</v>
      </c>
      <c r="U4" s="44" t="s">
        <v>253</v>
      </c>
      <c r="V4" s="44" t="s">
        <v>254</v>
      </c>
      <c r="W4" s="44" t="s">
        <v>255</v>
      </c>
      <c r="X4" s="44" t="s">
        <v>256</v>
      </c>
      <c r="Y4" s="44" t="s">
        <v>257</v>
      </c>
      <c r="Z4" s="44" t="s">
        <v>253</v>
      </c>
      <c r="AA4" s="44" t="s">
        <v>254</v>
      </c>
      <c r="AC4" s="45" t="s">
        <v>258</v>
      </c>
    </row>
    <row r="5" customFormat="false" ht="66" hidden="false" customHeight="true" outlineLevel="0" collapsed="false">
      <c r="A5" s="8" t="s">
        <v>36</v>
      </c>
      <c r="B5" s="8" t="s">
        <v>37</v>
      </c>
      <c r="C5" s="8" t="s">
        <v>12</v>
      </c>
      <c r="D5" s="8" t="s">
        <v>259</v>
      </c>
      <c r="E5" s="8" t="s">
        <v>260</v>
      </c>
      <c r="F5" s="8" t="s">
        <v>261</v>
      </c>
      <c r="G5" s="8" t="s">
        <v>262</v>
      </c>
      <c r="H5" s="8" t="s">
        <v>263</v>
      </c>
      <c r="I5" s="8" t="s">
        <v>264</v>
      </c>
      <c r="J5" s="8" t="s">
        <v>265</v>
      </c>
      <c r="K5" s="8" t="s">
        <v>266</v>
      </c>
      <c r="L5" s="8" t="s">
        <v>267</v>
      </c>
      <c r="M5" s="8" t="s">
        <v>268</v>
      </c>
      <c r="N5" s="8" t="s">
        <v>269</v>
      </c>
      <c r="O5" s="8" t="s">
        <v>270</v>
      </c>
      <c r="P5" s="8" t="s">
        <v>271</v>
      </c>
      <c r="Q5" s="8" t="s">
        <v>272</v>
      </c>
      <c r="R5" s="8" t="s">
        <v>273</v>
      </c>
      <c r="S5" s="8" t="s">
        <v>274</v>
      </c>
      <c r="T5" s="8" t="s">
        <v>275</v>
      </c>
      <c r="U5" s="8" t="s">
        <v>276</v>
      </c>
      <c r="V5" s="8" t="s">
        <v>277</v>
      </c>
      <c r="W5" s="8" t="s">
        <v>278</v>
      </c>
      <c r="X5" s="8" t="s">
        <v>279</v>
      </c>
      <c r="Y5" s="8" t="s">
        <v>280</v>
      </c>
      <c r="Z5" s="8" t="s">
        <v>281</v>
      </c>
      <c r="AA5" s="8" t="s">
        <v>282</v>
      </c>
      <c r="AC5" s="8" t="s">
        <v>283</v>
      </c>
      <c r="AD5" s="8" t="s">
        <v>253</v>
      </c>
      <c r="AE5" s="8" t="s">
        <v>284</v>
      </c>
      <c r="AF5" s="8" t="s">
        <v>285</v>
      </c>
      <c r="AG5" s="8" t="s">
        <v>286</v>
      </c>
      <c r="AH5" s="8" t="s">
        <v>287</v>
      </c>
      <c r="AI5" s="8" t="s">
        <v>288</v>
      </c>
      <c r="AJ5" s="8" t="s">
        <v>289</v>
      </c>
      <c r="AK5" s="8" t="s">
        <v>290</v>
      </c>
      <c r="AL5" s="8" t="s">
        <v>291</v>
      </c>
      <c r="AM5" s="8" t="s">
        <v>292</v>
      </c>
      <c r="AN5" s="8" t="s">
        <v>293</v>
      </c>
      <c r="AO5" s="8" t="s">
        <v>294</v>
      </c>
      <c r="AP5" s="8" t="s">
        <v>295</v>
      </c>
      <c r="AQ5" s="8" t="s">
        <v>296</v>
      </c>
    </row>
    <row r="6" customFormat="false" ht="30" hidden="false" customHeight="true" outlineLevel="0" collapsed="false">
      <c r="A6" s="16" t="s">
        <v>48</v>
      </c>
      <c r="B6" s="20" t="s">
        <v>49</v>
      </c>
      <c r="C6" s="46" t="s">
        <v>50</v>
      </c>
      <c r="D6" s="16" t="s">
        <v>297</v>
      </c>
      <c r="E6" s="16" t="s">
        <v>298</v>
      </c>
      <c r="F6" s="47" t="s">
        <v>245</v>
      </c>
      <c r="G6" s="47" t="s">
        <v>245</v>
      </c>
      <c r="H6" s="47" t="s">
        <v>245</v>
      </c>
      <c r="I6" s="47" t="s">
        <v>245</v>
      </c>
      <c r="J6" s="47" t="s">
        <v>247</v>
      </c>
      <c r="K6" s="47" t="s">
        <v>245</v>
      </c>
      <c r="L6" s="47" t="s">
        <v>245</v>
      </c>
      <c r="M6" s="47" t="s">
        <v>245</v>
      </c>
      <c r="N6" s="47" t="s">
        <v>245</v>
      </c>
      <c r="O6" s="47" t="s">
        <v>247</v>
      </c>
      <c r="P6" s="47" t="s">
        <v>247</v>
      </c>
      <c r="Q6" s="47" t="s">
        <v>247</v>
      </c>
      <c r="R6" s="47" t="s">
        <v>248</v>
      </c>
      <c r="S6" s="47" t="s">
        <v>248</v>
      </c>
      <c r="T6" s="47" t="s">
        <v>248</v>
      </c>
      <c r="U6" s="47" t="s">
        <v>248</v>
      </c>
      <c r="V6" s="47" t="s">
        <v>245</v>
      </c>
      <c r="W6" s="47" t="s">
        <v>247</v>
      </c>
      <c r="X6" s="47" t="s">
        <v>245</v>
      </c>
      <c r="Y6" s="47" t="s">
        <v>245</v>
      </c>
      <c r="Z6" s="47" t="s">
        <v>247</v>
      </c>
      <c r="AA6" s="47" t="s">
        <v>245</v>
      </c>
      <c r="AC6" s="48" t="s">
        <v>299</v>
      </c>
      <c r="AD6" s="48" t="s">
        <v>300</v>
      </c>
      <c r="AE6" s="48" t="s">
        <v>140</v>
      </c>
      <c r="AF6" s="49" t="n">
        <v>265</v>
      </c>
      <c r="AG6" s="50" t="n">
        <v>10</v>
      </c>
      <c r="AH6" s="50" t="s">
        <v>301</v>
      </c>
      <c r="AI6" s="48" t="s">
        <v>302</v>
      </c>
      <c r="AJ6" s="49"/>
      <c r="AK6" s="48" t="s">
        <v>303</v>
      </c>
      <c r="AL6" s="48" t="s">
        <v>304</v>
      </c>
      <c r="AM6" s="48" t="s">
        <v>305</v>
      </c>
      <c r="AN6" s="48" t="s">
        <v>306</v>
      </c>
      <c r="AO6" s="48" t="s">
        <v>140</v>
      </c>
      <c r="AP6" s="48" t="s">
        <v>307</v>
      </c>
      <c r="AQ6" s="48" t="s">
        <v>308</v>
      </c>
    </row>
    <row r="7" customFormat="false" ht="30" hidden="false" customHeight="true" outlineLevel="0" collapsed="false">
      <c r="A7" s="16" t="s">
        <v>59</v>
      </c>
      <c r="B7" s="20" t="s">
        <v>49</v>
      </c>
      <c r="C7" s="46" t="s">
        <v>60</v>
      </c>
      <c r="D7" s="16" t="s">
        <v>297</v>
      </c>
      <c r="E7" s="16" t="s">
        <v>309</v>
      </c>
      <c r="F7" s="47" t="s">
        <v>247</v>
      </c>
      <c r="G7" s="47" t="s">
        <v>247</v>
      </c>
      <c r="H7" s="47" t="s">
        <v>247</v>
      </c>
      <c r="I7" s="47" t="s">
        <v>247</v>
      </c>
      <c r="J7" s="47" t="s">
        <v>247</v>
      </c>
      <c r="K7" s="47" t="s">
        <v>247</v>
      </c>
      <c r="L7" s="47" t="s">
        <v>247</v>
      </c>
      <c r="M7" s="47" t="s">
        <v>247</v>
      </c>
      <c r="N7" s="47" t="s">
        <v>247</v>
      </c>
      <c r="O7" s="47" t="s">
        <v>245</v>
      </c>
      <c r="P7" s="47" t="s">
        <v>247</v>
      </c>
      <c r="Q7" s="47" t="s">
        <v>247</v>
      </c>
      <c r="R7" s="47" t="s">
        <v>247</v>
      </c>
      <c r="S7" s="47" t="s">
        <v>247</v>
      </c>
      <c r="T7" s="47" t="s">
        <v>245</v>
      </c>
      <c r="U7" s="47" t="s">
        <v>246</v>
      </c>
      <c r="V7" s="47" t="s">
        <v>247</v>
      </c>
      <c r="W7" s="47" t="s">
        <v>247</v>
      </c>
      <c r="X7" s="47" t="s">
        <v>247</v>
      </c>
      <c r="Y7" s="47" t="s">
        <v>247</v>
      </c>
      <c r="Z7" s="47" t="s">
        <v>247</v>
      </c>
      <c r="AA7" s="47" t="s">
        <v>247</v>
      </c>
      <c r="AC7" s="48"/>
      <c r="AD7" s="48" t="s">
        <v>310</v>
      </c>
      <c r="AE7" s="48" t="s">
        <v>247</v>
      </c>
      <c r="AF7" s="49"/>
      <c r="AG7" s="50"/>
      <c r="AH7" s="50"/>
      <c r="AI7" s="48"/>
      <c r="AJ7" s="49"/>
      <c r="AK7" s="48" t="s">
        <v>247</v>
      </c>
      <c r="AL7" s="48" t="s">
        <v>247</v>
      </c>
      <c r="AM7" s="48" t="s">
        <v>247</v>
      </c>
      <c r="AN7" s="48" t="s">
        <v>247</v>
      </c>
      <c r="AO7" s="48" t="s">
        <v>247</v>
      </c>
      <c r="AP7" s="48" t="s">
        <v>247</v>
      </c>
      <c r="AQ7" s="48" t="s">
        <v>247</v>
      </c>
    </row>
    <row r="8" customFormat="false" ht="30" hidden="false" customHeight="true" outlineLevel="0" collapsed="false">
      <c r="A8" s="16" t="s">
        <v>65</v>
      </c>
      <c r="B8" s="20" t="s">
        <v>49</v>
      </c>
      <c r="C8" s="46" t="s">
        <v>66</v>
      </c>
      <c r="D8" s="16" t="s">
        <v>297</v>
      </c>
      <c r="E8" s="16" t="s">
        <v>309</v>
      </c>
      <c r="F8" s="47" t="s">
        <v>247</v>
      </c>
      <c r="G8" s="47" t="s">
        <v>247</v>
      </c>
      <c r="H8" s="47" t="s">
        <v>247</v>
      </c>
      <c r="I8" s="47" t="s">
        <v>247</v>
      </c>
      <c r="J8" s="47" t="s">
        <v>247</v>
      </c>
      <c r="K8" s="47" t="s">
        <v>247</v>
      </c>
      <c r="L8" s="47" t="s">
        <v>247</v>
      </c>
      <c r="M8" s="47" t="s">
        <v>247</v>
      </c>
      <c r="N8" s="47" t="s">
        <v>247</v>
      </c>
      <c r="O8" s="47" t="s">
        <v>245</v>
      </c>
      <c r="P8" s="47" t="s">
        <v>245</v>
      </c>
      <c r="Q8" s="47" t="s">
        <v>246</v>
      </c>
      <c r="R8" s="47" t="s">
        <v>245</v>
      </c>
      <c r="S8" s="47" t="s">
        <v>247</v>
      </c>
      <c r="T8" s="47" t="s">
        <v>245</v>
      </c>
      <c r="U8" s="47" t="s">
        <v>245</v>
      </c>
      <c r="V8" s="47" t="s">
        <v>245</v>
      </c>
      <c r="W8" s="47" t="s">
        <v>247</v>
      </c>
      <c r="X8" s="47" t="s">
        <v>247</v>
      </c>
      <c r="Y8" s="47" t="s">
        <v>245</v>
      </c>
      <c r="Z8" s="47" t="s">
        <v>247</v>
      </c>
      <c r="AA8" s="47" t="s">
        <v>245</v>
      </c>
      <c r="AC8" s="48" t="s">
        <v>311</v>
      </c>
      <c r="AD8" s="48" t="s">
        <v>312</v>
      </c>
      <c r="AE8" s="48" t="s">
        <v>313</v>
      </c>
      <c r="AF8" s="49" t="n">
        <v>530</v>
      </c>
      <c r="AG8" s="50" t="n">
        <v>3</v>
      </c>
      <c r="AH8" s="50" t="s">
        <v>314</v>
      </c>
      <c r="AI8" s="48" t="s">
        <v>315</v>
      </c>
      <c r="AJ8" s="49"/>
      <c r="AK8" s="48" t="s">
        <v>303</v>
      </c>
      <c r="AL8" s="48" t="s">
        <v>304</v>
      </c>
      <c r="AM8" s="48" t="s">
        <v>316</v>
      </c>
      <c r="AN8" s="48" t="s">
        <v>303</v>
      </c>
      <c r="AO8" s="48" t="s">
        <v>303</v>
      </c>
      <c r="AP8" s="48" t="s">
        <v>317</v>
      </c>
      <c r="AQ8" s="48" t="s">
        <v>318</v>
      </c>
    </row>
    <row r="9" customFormat="false" ht="30" hidden="false" customHeight="true" outlineLevel="0" collapsed="false">
      <c r="A9" s="16" t="s">
        <v>71</v>
      </c>
      <c r="B9" s="20" t="s">
        <v>49</v>
      </c>
      <c r="C9" s="46" t="s">
        <v>72</v>
      </c>
      <c r="D9" s="16" t="s">
        <v>297</v>
      </c>
      <c r="E9" s="16" t="s">
        <v>298</v>
      </c>
      <c r="F9" s="47" t="s">
        <v>245</v>
      </c>
      <c r="G9" s="47" t="s">
        <v>245</v>
      </c>
      <c r="H9" s="47" t="s">
        <v>245</v>
      </c>
      <c r="I9" s="47" t="s">
        <v>245</v>
      </c>
      <c r="J9" s="47" t="s">
        <v>246</v>
      </c>
      <c r="K9" s="47" t="s">
        <v>245</v>
      </c>
      <c r="L9" s="47" t="s">
        <v>245</v>
      </c>
      <c r="M9" s="47" t="s">
        <v>245</v>
      </c>
      <c r="N9" s="47" t="s">
        <v>245</v>
      </c>
      <c r="O9" s="47" t="s">
        <v>247</v>
      </c>
      <c r="P9" s="47" t="s">
        <v>247</v>
      </c>
      <c r="Q9" s="47" t="s">
        <v>247</v>
      </c>
      <c r="R9" s="47" t="s">
        <v>248</v>
      </c>
      <c r="S9" s="47" t="s">
        <v>248</v>
      </c>
      <c r="T9" s="47" t="s">
        <v>248</v>
      </c>
      <c r="U9" s="47" t="s">
        <v>248</v>
      </c>
      <c r="V9" s="47" t="s">
        <v>245</v>
      </c>
      <c r="W9" s="47" t="s">
        <v>245</v>
      </c>
      <c r="X9" s="47" t="s">
        <v>245</v>
      </c>
      <c r="Y9" s="47" t="s">
        <v>245</v>
      </c>
      <c r="Z9" s="47" t="s">
        <v>247</v>
      </c>
      <c r="AA9" s="47" t="s">
        <v>245</v>
      </c>
      <c r="AC9" s="48" t="s">
        <v>319</v>
      </c>
      <c r="AD9" s="48" t="s">
        <v>320</v>
      </c>
      <c r="AE9" s="48" t="s">
        <v>140</v>
      </c>
      <c r="AF9" s="49" t="n">
        <v>180</v>
      </c>
      <c r="AG9" s="50" t="n">
        <v>7</v>
      </c>
      <c r="AH9" s="50" t="s">
        <v>314</v>
      </c>
      <c r="AI9" s="48" t="s">
        <v>321</v>
      </c>
      <c r="AJ9" s="49"/>
      <c r="AK9" s="48" t="s">
        <v>322</v>
      </c>
      <c r="AL9" s="48" t="s">
        <v>304</v>
      </c>
      <c r="AM9" s="48" t="s">
        <v>305</v>
      </c>
      <c r="AN9" s="48" t="s">
        <v>323</v>
      </c>
      <c r="AO9" s="48" t="s">
        <v>140</v>
      </c>
      <c r="AP9" s="48" t="s">
        <v>324</v>
      </c>
      <c r="AQ9" s="48" t="s">
        <v>325</v>
      </c>
    </row>
    <row r="10" customFormat="false" ht="30" hidden="false" customHeight="true" outlineLevel="0" collapsed="false">
      <c r="A10" s="16" t="s">
        <v>80</v>
      </c>
      <c r="B10" s="20" t="s">
        <v>49</v>
      </c>
      <c r="C10" s="46" t="s">
        <v>81</v>
      </c>
      <c r="D10" s="16" t="s">
        <v>297</v>
      </c>
      <c r="E10" s="16" t="s">
        <v>298</v>
      </c>
      <c r="F10" s="47" t="s">
        <v>245</v>
      </c>
      <c r="G10" s="47" t="s">
        <v>245</v>
      </c>
      <c r="H10" s="47" t="s">
        <v>247</v>
      </c>
      <c r="I10" s="47" t="s">
        <v>245</v>
      </c>
      <c r="J10" s="47" t="s">
        <v>246</v>
      </c>
      <c r="K10" s="47" t="s">
        <v>245</v>
      </c>
      <c r="L10" s="47" t="s">
        <v>245</v>
      </c>
      <c r="M10" s="47" t="s">
        <v>245</v>
      </c>
      <c r="N10" s="47" t="s">
        <v>245</v>
      </c>
      <c r="O10" s="47" t="s">
        <v>247</v>
      </c>
      <c r="P10" s="47" t="s">
        <v>247</v>
      </c>
      <c r="Q10" s="47" t="s">
        <v>247</v>
      </c>
      <c r="R10" s="47" t="s">
        <v>248</v>
      </c>
      <c r="S10" s="47" t="s">
        <v>248</v>
      </c>
      <c r="T10" s="47" t="s">
        <v>248</v>
      </c>
      <c r="U10" s="47" t="s">
        <v>248</v>
      </c>
      <c r="V10" s="47" t="s">
        <v>245</v>
      </c>
      <c r="W10" s="47" t="s">
        <v>245</v>
      </c>
      <c r="X10" s="47" t="s">
        <v>245</v>
      </c>
      <c r="Y10" s="47" t="s">
        <v>245</v>
      </c>
      <c r="Z10" s="47" t="s">
        <v>247</v>
      </c>
      <c r="AA10" s="47" t="s">
        <v>245</v>
      </c>
      <c r="AC10" s="48" t="s">
        <v>326</v>
      </c>
      <c r="AD10" s="48" t="s">
        <v>327</v>
      </c>
      <c r="AE10" s="48" t="s">
        <v>140</v>
      </c>
      <c r="AF10" s="49" t="n">
        <v>125</v>
      </c>
      <c r="AG10" s="50" t="n">
        <v>7</v>
      </c>
      <c r="AH10" s="50" t="s">
        <v>314</v>
      </c>
      <c r="AI10" s="48" t="s">
        <v>321</v>
      </c>
      <c r="AJ10" s="49" t="n">
        <v>28</v>
      </c>
      <c r="AK10" s="48" t="s">
        <v>328</v>
      </c>
      <c r="AL10" s="48" t="s">
        <v>304</v>
      </c>
      <c r="AM10" s="48" t="s">
        <v>305</v>
      </c>
      <c r="AN10" s="48" t="s">
        <v>323</v>
      </c>
      <c r="AO10" s="48" t="s">
        <v>140</v>
      </c>
      <c r="AP10" s="48" t="s">
        <v>329</v>
      </c>
      <c r="AQ10" s="48" t="s">
        <v>330</v>
      </c>
    </row>
    <row r="11" customFormat="false" ht="30" hidden="false" customHeight="true" outlineLevel="0" collapsed="false">
      <c r="A11" s="16" t="s">
        <v>86</v>
      </c>
      <c r="B11" s="20" t="s">
        <v>49</v>
      </c>
      <c r="C11" s="46" t="s">
        <v>87</v>
      </c>
      <c r="D11" s="16" t="s">
        <v>331</v>
      </c>
      <c r="E11" s="16" t="s">
        <v>298</v>
      </c>
      <c r="F11" s="47" t="s">
        <v>245</v>
      </c>
      <c r="G11" s="47" t="s">
        <v>247</v>
      </c>
      <c r="H11" s="47" t="s">
        <v>245</v>
      </c>
      <c r="I11" s="47" t="s">
        <v>245</v>
      </c>
      <c r="J11" s="47" t="s">
        <v>245</v>
      </c>
      <c r="K11" s="47" t="s">
        <v>247</v>
      </c>
      <c r="L11" s="47" t="s">
        <v>245</v>
      </c>
      <c r="M11" s="47" t="s">
        <v>245</v>
      </c>
      <c r="N11" s="47" t="s">
        <v>245</v>
      </c>
      <c r="O11" s="47" t="s">
        <v>247</v>
      </c>
      <c r="P11" s="47" t="s">
        <v>247</v>
      </c>
      <c r="Q11" s="47" t="s">
        <v>247</v>
      </c>
      <c r="R11" s="47" t="s">
        <v>248</v>
      </c>
      <c r="S11" s="47" t="s">
        <v>248</v>
      </c>
      <c r="T11" s="47" t="s">
        <v>248</v>
      </c>
      <c r="U11" s="47" t="s">
        <v>248</v>
      </c>
      <c r="V11" s="47" t="s">
        <v>248</v>
      </c>
      <c r="W11" s="47" t="s">
        <v>247</v>
      </c>
      <c r="X11" s="47" t="s">
        <v>247</v>
      </c>
      <c r="Y11" s="47" t="s">
        <v>245</v>
      </c>
      <c r="Z11" s="47" t="s">
        <v>247</v>
      </c>
      <c r="AA11" s="47" t="s">
        <v>248</v>
      </c>
      <c r="AC11" s="48" t="s">
        <v>332</v>
      </c>
      <c r="AD11" s="48" t="s">
        <v>320</v>
      </c>
      <c r="AE11" s="48" t="s">
        <v>140</v>
      </c>
      <c r="AF11" s="49"/>
      <c r="AG11" s="50"/>
      <c r="AH11" s="50"/>
      <c r="AI11" s="48" t="s">
        <v>333</v>
      </c>
      <c r="AJ11" s="49"/>
      <c r="AK11" s="48" t="s">
        <v>303</v>
      </c>
      <c r="AL11" s="48" t="s">
        <v>334</v>
      </c>
      <c r="AM11" s="48" t="s">
        <v>335</v>
      </c>
      <c r="AN11" s="48" t="s">
        <v>303</v>
      </c>
      <c r="AO11" s="48" t="s">
        <v>140</v>
      </c>
      <c r="AP11" s="48" t="s">
        <v>329</v>
      </c>
      <c r="AQ11" s="48" t="s">
        <v>336</v>
      </c>
    </row>
    <row r="12" customFormat="false" ht="30" hidden="false" customHeight="true" outlineLevel="0" collapsed="false">
      <c r="A12" s="16" t="s">
        <v>93</v>
      </c>
      <c r="B12" s="20" t="s">
        <v>49</v>
      </c>
      <c r="C12" s="46" t="s">
        <v>94</v>
      </c>
      <c r="D12" s="16" t="s">
        <v>331</v>
      </c>
      <c r="E12" s="16" t="s">
        <v>309</v>
      </c>
      <c r="F12" s="47" t="s">
        <v>245</v>
      </c>
      <c r="G12" s="47" t="s">
        <v>247</v>
      </c>
      <c r="H12" s="47" t="s">
        <v>247</v>
      </c>
      <c r="I12" s="47" t="s">
        <v>245</v>
      </c>
      <c r="J12" s="47" t="s">
        <v>245</v>
      </c>
      <c r="K12" s="47" t="s">
        <v>247</v>
      </c>
      <c r="L12" s="47" t="s">
        <v>245</v>
      </c>
      <c r="M12" s="47" t="s">
        <v>245</v>
      </c>
      <c r="N12" s="47" t="s">
        <v>247</v>
      </c>
      <c r="O12" s="47" t="s">
        <v>245</v>
      </c>
      <c r="P12" s="47" t="s">
        <v>245</v>
      </c>
      <c r="Q12" s="47" t="s">
        <v>245</v>
      </c>
      <c r="R12" s="47" t="s">
        <v>245</v>
      </c>
      <c r="S12" s="47" t="s">
        <v>247</v>
      </c>
      <c r="T12" s="47" t="s">
        <v>245</v>
      </c>
      <c r="U12" s="47" t="s">
        <v>245</v>
      </c>
      <c r="V12" s="47" t="s">
        <v>248</v>
      </c>
      <c r="W12" s="47" t="s">
        <v>247</v>
      </c>
      <c r="X12" s="47" t="s">
        <v>245</v>
      </c>
      <c r="Y12" s="47" t="s">
        <v>245</v>
      </c>
      <c r="Z12" s="47" t="s">
        <v>247</v>
      </c>
      <c r="AA12" s="47" t="s">
        <v>247</v>
      </c>
      <c r="AC12" s="48" t="s">
        <v>303</v>
      </c>
      <c r="AD12" s="48" t="s">
        <v>337</v>
      </c>
      <c r="AE12" s="48" t="s">
        <v>338</v>
      </c>
      <c r="AF12" s="49"/>
      <c r="AG12" s="50"/>
      <c r="AH12" s="50"/>
      <c r="AI12" s="48" t="s">
        <v>339</v>
      </c>
      <c r="AJ12" s="49"/>
      <c r="AK12" s="48" t="s">
        <v>303</v>
      </c>
      <c r="AL12" s="48" t="s">
        <v>340</v>
      </c>
      <c r="AM12" s="48" t="s">
        <v>303</v>
      </c>
      <c r="AN12" s="48" t="s">
        <v>323</v>
      </c>
      <c r="AO12" s="48" t="s">
        <v>303</v>
      </c>
      <c r="AP12" s="48" t="s">
        <v>303</v>
      </c>
      <c r="AQ12" s="48" t="s">
        <v>341</v>
      </c>
    </row>
    <row r="13" customFormat="false" ht="30" hidden="false" customHeight="true" outlineLevel="0" collapsed="false">
      <c r="A13" s="16" t="s">
        <v>98</v>
      </c>
      <c r="B13" s="20" t="s">
        <v>49</v>
      </c>
      <c r="C13" s="46" t="s">
        <v>99</v>
      </c>
      <c r="D13" s="16" t="s">
        <v>297</v>
      </c>
      <c r="E13" s="16" t="s">
        <v>298</v>
      </c>
      <c r="F13" s="47" t="s">
        <v>245</v>
      </c>
      <c r="G13" s="47" t="s">
        <v>245</v>
      </c>
      <c r="H13" s="47" t="s">
        <v>245</v>
      </c>
      <c r="I13" s="47" t="s">
        <v>247</v>
      </c>
      <c r="J13" s="47" t="s">
        <v>247</v>
      </c>
      <c r="K13" s="47" t="s">
        <v>247</v>
      </c>
      <c r="L13" s="47" t="s">
        <v>247</v>
      </c>
      <c r="M13" s="47" t="s">
        <v>247</v>
      </c>
      <c r="N13" s="47" t="s">
        <v>247</v>
      </c>
      <c r="O13" s="47" t="s">
        <v>247</v>
      </c>
      <c r="P13" s="47" t="s">
        <v>247</v>
      </c>
      <c r="Q13" s="47" t="s">
        <v>247</v>
      </c>
      <c r="R13" s="47" t="s">
        <v>248</v>
      </c>
      <c r="S13" s="47" t="s">
        <v>248</v>
      </c>
      <c r="T13" s="47" t="s">
        <v>248</v>
      </c>
      <c r="U13" s="47" t="s">
        <v>248</v>
      </c>
      <c r="V13" s="47" t="s">
        <v>245</v>
      </c>
      <c r="W13" s="47" t="s">
        <v>247</v>
      </c>
      <c r="X13" s="47" t="s">
        <v>245</v>
      </c>
      <c r="Y13" s="47" t="s">
        <v>245</v>
      </c>
      <c r="Z13" s="47" t="s">
        <v>247</v>
      </c>
      <c r="AA13" s="47" t="s">
        <v>247</v>
      </c>
      <c r="AC13" s="48" t="s">
        <v>299</v>
      </c>
      <c r="AD13" s="48" t="s">
        <v>300</v>
      </c>
      <c r="AE13" s="48" t="s">
        <v>140</v>
      </c>
      <c r="AF13" s="49" t="n">
        <v>265</v>
      </c>
      <c r="AG13" s="50"/>
      <c r="AH13" s="50"/>
      <c r="AI13" s="48" t="s">
        <v>342</v>
      </c>
      <c r="AJ13" s="49"/>
      <c r="AK13" s="48" t="s">
        <v>303</v>
      </c>
      <c r="AL13" s="48" t="s">
        <v>304</v>
      </c>
      <c r="AM13" s="48" t="s">
        <v>303</v>
      </c>
      <c r="AN13" s="48" t="s">
        <v>303</v>
      </c>
      <c r="AO13" s="48" t="s">
        <v>140</v>
      </c>
      <c r="AP13" s="48" t="s">
        <v>303</v>
      </c>
      <c r="AQ13" s="48" t="s">
        <v>343</v>
      </c>
    </row>
    <row r="14" customFormat="false" ht="30" hidden="false" customHeight="true" outlineLevel="0" collapsed="false">
      <c r="A14" s="16" t="s">
        <v>106</v>
      </c>
      <c r="B14" s="20" t="s">
        <v>49</v>
      </c>
      <c r="C14" s="46" t="s">
        <v>107</v>
      </c>
      <c r="D14" s="16" t="s">
        <v>331</v>
      </c>
      <c r="E14" s="16" t="s">
        <v>309</v>
      </c>
      <c r="F14" s="47" t="s">
        <v>247</v>
      </c>
      <c r="G14" s="47" t="s">
        <v>247</v>
      </c>
      <c r="H14" s="47" t="s">
        <v>247</v>
      </c>
      <c r="I14" s="47" t="s">
        <v>247</v>
      </c>
      <c r="J14" s="47" t="s">
        <v>245</v>
      </c>
      <c r="K14" s="47" t="s">
        <v>247</v>
      </c>
      <c r="L14" s="47" t="s">
        <v>247</v>
      </c>
      <c r="M14" s="47" t="s">
        <v>247</v>
      </c>
      <c r="N14" s="47" t="s">
        <v>247</v>
      </c>
      <c r="O14" s="47" t="s">
        <v>245</v>
      </c>
      <c r="P14" s="47" t="s">
        <v>245</v>
      </c>
      <c r="Q14" s="47" t="s">
        <v>245</v>
      </c>
      <c r="R14" s="47" t="s">
        <v>245</v>
      </c>
      <c r="S14" s="47" t="s">
        <v>247</v>
      </c>
      <c r="T14" s="47" t="s">
        <v>245</v>
      </c>
      <c r="U14" s="47" t="s">
        <v>245</v>
      </c>
      <c r="V14" s="47" t="s">
        <v>248</v>
      </c>
      <c r="W14" s="47" t="s">
        <v>247</v>
      </c>
      <c r="X14" s="47" t="s">
        <v>245</v>
      </c>
      <c r="Y14" s="47" t="s">
        <v>245</v>
      </c>
      <c r="Z14" s="47" t="s">
        <v>247</v>
      </c>
      <c r="AA14" s="47" t="s">
        <v>245</v>
      </c>
      <c r="AC14" s="48" t="s">
        <v>344</v>
      </c>
      <c r="AD14" s="48" t="s">
        <v>345</v>
      </c>
      <c r="AE14" s="48" t="s">
        <v>346</v>
      </c>
      <c r="AF14" s="49" t="n">
        <v>540</v>
      </c>
      <c r="AG14" s="50" t="n">
        <v>4</v>
      </c>
      <c r="AH14" s="50" t="s">
        <v>347</v>
      </c>
      <c r="AI14" s="48" t="s">
        <v>348</v>
      </c>
      <c r="AJ14" s="49"/>
      <c r="AK14" s="48" t="s">
        <v>303</v>
      </c>
      <c r="AL14" s="48" t="s">
        <v>349</v>
      </c>
      <c r="AM14" s="48" t="s">
        <v>350</v>
      </c>
      <c r="AN14" s="48" t="s">
        <v>303</v>
      </c>
      <c r="AO14" s="48" t="s">
        <v>303</v>
      </c>
      <c r="AP14" s="48" t="s">
        <v>303</v>
      </c>
      <c r="AQ14" s="48" t="s">
        <v>318</v>
      </c>
    </row>
    <row r="15" customFormat="false" ht="30" hidden="false" customHeight="true" outlineLevel="0" collapsed="false">
      <c r="A15" s="16" t="s">
        <v>112</v>
      </c>
      <c r="B15" s="20" t="s">
        <v>49</v>
      </c>
      <c r="C15" s="46" t="s">
        <v>113</v>
      </c>
      <c r="D15" s="16" t="s">
        <v>331</v>
      </c>
      <c r="E15" s="16" t="s">
        <v>309</v>
      </c>
      <c r="F15" s="47" t="s">
        <v>245</v>
      </c>
      <c r="G15" s="47" t="s">
        <v>245</v>
      </c>
      <c r="H15" s="47" t="s">
        <v>247</v>
      </c>
      <c r="I15" s="47" t="s">
        <v>245</v>
      </c>
      <c r="J15" s="47" t="s">
        <v>246</v>
      </c>
      <c r="K15" s="47" t="s">
        <v>247</v>
      </c>
      <c r="L15" s="47" t="s">
        <v>245</v>
      </c>
      <c r="M15" s="47" t="s">
        <v>247</v>
      </c>
      <c r="N15" s="47" t="s">
        <v>247</v>
      </c>
      <c r="O15" s="47" t="s">
        <v>245</v>
      </c>
      <c r="P15" s="47" t="s">
        <v>245</v>
      </c>
      <c r="Q15" s="47" t="s">
        <v>245</v>
      </c>
      <c r="R15" s="47" t="s">
        <v>245</v>
      </c>
      <c r="S15" s="47" t="s">
        <v>247</v>
      </c>
      <c r="T15" s="47" t="s">
        <v>245</v>
      </c>
      <c r="U15" s="47" t="s">
        <v>245</v>
      </c>
      <c r="V15" s="47" t="s">
        <v>248</v>
      </c>
      <c r="W15" s="47" t="s">
        <v>247</v>
      </c>
      <c r="X15" s="47" t="s">
        <v>245</v>
      </c>
      <c r="Y15" s="47" t="s">
        <v>245</v>
      </c>
      <c r="Z15" s="47" t="s">
        <v>247</v>
      </c>
      <c r="AA15" s="47" t="s">
        <v>247</v>
      </c>
      <c r="AC15" s="48" t="s">
        <v>303</v>
      </c>
      <c r="AD15" s="48" t="s">
        <v>351</v>
      </c>
      <c r="AE15" s="48" t="s">
        <v>303</v>
      </c>
      <c r="AF15" s="49" t="n">
        <v>800</v>
      </c>
      <c r="AG15" s="50"/>
      <c r="AH15" s="50"/>
      <c r="AI15" s="48" t="s">
        <v>352</v>
      </c>
      <c r="AJ15" s="49"/>
      <c r="AK15" s="48" t="s">
        <v>303</v>
      </c>
      <c r="AL15" s="48" t="s">
        <v>353</v>
      </c>
      <c r="AM15" s="48" t="s">
        <v>303</v>
      </c>
      <c r="AN15" s="48" t="s">
        <v>323</v>
      </c>
      <c r="AO15" s="48" t="s">
        <v>354</v>
      </c>
      <c r="AP15" s="48" t="s">
        <v>355</v>
      </c>
      <c r="AQ15" s="48" t="s">
        <v>318</v>
      </c>
    </row>
    <row r="16" customFormat="false" ht="30" hidden="false" customHeight="true" outlineLevel="0" collapsed="false">
      <c r="A16" s="16" t="s">
        <v>117</v>
      </c>
      <c r="B16" s="20" t="s">
        <v>49</v>
      </c>
      <c r="C16" s="46" t="s">
        <v>118</v>
      </c>
      <c r="D16" s="16" t="s">
        <v>331</v>
      </c>
      <c r="E16" s="16" t="s">
        <v>309</v>
      </c>
      <c r="F16" s="47" t="s">
        <v>245</v>
      </c>
      <c r="G16" s="47" t="s">
        <v>247</v>
      </c>
      <c r="H16" s="47" t="s">
        <v>247</v>
      </c>
      <c r="I16" s="47" t="s">
        <v>247</v>
      </c>
      <c r="J16" s="47" t="s">
        <v>247</v>
      </c>
      <c r="K16" s="47" t="s">
        <v>245</v>
      </c>
      <c r="L16" s="47" t="s">
        <v>245</v>
      </c>
      <c r="M16" s="47" t="s">
        <v>247</v>
      </c>
      <c r="N16" s="47" t="s">
        <v>247</v>
      </c>
      <c r="O16" s="47" t="s">
        <v>245</v>
      </c>
      <c r="P16" s="47" t="s">
        <v>245</v>
      </c>
      <c r="Q16" s="47" t="s">
        <v>247</v>
      </c>
      <c r="R16" s="47" t="s">
        <v>245</v>
      </c>
      <c r="S16" s="47" t="s">
        <v>245</v>
      </c>
      <c r="T16" s="47" t="s">
        <v>245</v>
      </c>
      <c r="U16" s="47" t="s">
        <v>245</v>
      </c>
      <c r="V16" s="47" t="s">
        <v>248</v>
      </c>
      <c r="W16" s="47" t="s">
        <v>247</v>
      </c>
      <c r="X16" s="47" t="s">
        <v>247</v>
      </c>
      <c r="Y16" s="47" t="s">
        <v>245</v>
      </c>
      <c r="Z16" s="47" t="s">
        <v>247</v>
      </c>
      <c r="AA16" s="47" t="s">
        <v>245</v>
      </c>
      <c r="AC16" s="48" t="s">
        <v>303</v>
      </c>
      <c r="AD16" s="48" t="s">
        <v>309</v>
      </c>
      <c r="AE16" s="48" t="s">
        <v>303</v>
      </c>
      <c r="AF16" s="49" t="n">
        <v>680</v>
      </c>
      <c r="AG16" s="50"/>
      <c r="AH16" s="50" t="s">
        <v>301</v>
      </c>
      <c r="AI16" s="48" t="s">
        <v>356</v>
      </c>
      <c r="AJ16" s="49"/>
      <c r="AK16" s="48" t="s">
        <v>303</v>
      </c>
      <c r="AL16" s="48" t="s">
        <v>357</v>
      </c>
      <c r="AM16" s="48" t="s">
        <v>316</v>
      </c>
      <c r="AN16" s="48" t="s">
        <v>323</v>
      </c>
      <c r="AO16" s="48" t="s">
        <v>303</v>
      </c>
      <c r="AP16" s="48" t="s">
        <v>303</v>
      </c>
      <c r="AQ16" s="48" t="s">
        <v>358</v>
      </c>
    </row>
    <row r="17" customFormat="false" ht="30" hidden="false" customHeight="true" outlineLevel="0" collapsed="false">
      <c r="A17" s="16" t="s">
        <v>122</v>
      </c>
      <c r="B17" s="20" t="s">
        <v>49</v>
      </c>
      <c r="C17" s="46" t="s">
        <v>123</v>
      </c>
      <c r="D17" s="16" t="s">
        <v>297</v>
      </c>
      <c r="E17" s="16" t="s">
        <v>309</v>
      </c>
      <c r="F17" s="47" t="s">
        <v>245</v>
      </c>
      <c r="G17" s="47" t="s">
        <v>247</v>
      </c>
      <c r="H17" s="47" t="s">
        <v>247</v>
      </c>
      <c r="I17" s="47" t="s">
        <v>247</v>
      </c>
      <c r="J17" s="47" t="s">
        <v>246</v>
      </c>
      <c r="K17" s="47" t="s">
        <v>247</v>
      </c>
      <c r="L17" s="47" t="s">
        <v>247</v>
      </c>
      <c r="M17" s="47" t="s">
        <v>245</v>
      </c>
      <c r="N17" s="47" t="s">
        <v>247</v>
      </c>
      <c r="O17" s="47" t="s">
        <v>247</v>
      </c>
      <c r="P17" s="47" t="s">
        <v>245</v>
      </c>
      <c r="Q17" s="47" t="s">
        <v>245</v>
      </c>
      <c r="R17" s="47" t="s">
        <v>245</v>
      </c>
      <c r="S17" s="47" t="s">
        <v>247</v>
      </c>
      <c r="T17" s="47" t="s">
        <v>245</v>
      </c>
      <c r="U17" s="47" t="s">
        <v>245</v>
      </c>
      <c r="V17" s="47" t="s">
        <v>247</v>
      </c>
      <c r="W17" s="47" t="s">
        <v>247</v>
      </c>
      <c r="X17" s="47" t="s">
        <v>247</v>
      </c>
      <c r="Y17" s="47" t="s">
        <v>245</v>
      </c>
      <c r="Z17" s="47" t="s">
        <v>247</v>
      </c>
      <c r="AA17" s="47" t="s">
        <v>247</v>
      </c>
      <c r="AC17" s="48" t="s">
        <v>359</v>
      </c>
      <c r="AD17" s="48" t="s">
        <v>360</v>
      </c>
      <c r="AE17" s="48" t="s">
        <v>303</v>
      </c>
      <c r="AF17" s="49" t="n">
        <v>700</v>
      </c>
      <c r="AG17" s="50"/>
      <c r="AH17" s="50"/>
      <c r="AI17" s="48" t="s">
        <v>352</v>
      </c>
      <c r="AJ17" s="49"/>
      <c r="AK17" s="48" t="s">
        <v>303</v>
      </c>
      <c r="AL17" s="48" t="s">
        <v>303</v>
      </c>
      <c r="AM17" s="48" t="s">
        <v>303</v>
      </c>
      <c r="AN17" s="48" t="s">
        <v>361</v>
      </c>
      <c r="AO17" s="48" t="s">
        <v>354</v>
      </c>
      <c r="AP17" s="48" t="s">
        <v>303</v>
      </c>
      <c r="AQ17" s="48" t="s">
        <v>318</v>
      </c>
    </row>
    <row r="18" customFormat="false" ht="30" hidden="false" customHeight="true" outlineLevel="0" collapsed="false">
      <c r="A18" s="16" t="s">
        <v>127</v>
      </c>
      <c r="B18" s="20" t="s">
        <v>49</v>
      </c>
      <c r="C18" s="46" t="s">
        <v>128</v>
      </c>
      <c r="D18" s="16" t="s">
        <v>297</v>
      </c>
      <c r="E18" s="16" t="s">
        <v>309</v>
      </c>
      <c r="F18" s="47" t="s">
        <v>245</v>
      </c>
      <c r="G18" s="47" t="s">
        <v>247</v>
      </c>
      <c r="H18" s="47" t="s">
        <v>247</v>
      </c>
      <c r="I18" s="47" t="s">
        <v>245</v>
      </c>
      <c r="J18" s="47" t="s">
        <v>246</v>
      </c>
      <c r="K18" s="47" t="s">
        <v>245</v>
      </c>
      <c r="L18" s="47" t="s">
        <v>247</v>
      </c>
      <c r="M18" s="47" t="s">
        <v>247</v>
      </c>
      <c r="N18" s="47" t="s">
        <v>247</v>
      </c>
      <c r="O18" s="47" t="s">
        <v>247</v>
      </c>
      <c r="P18" s="47" t="s">
        <v>245</v>
      </c>
      <c r="Q18" s="47" t="s">
        <v>245</v>
      </c>
      <c r="R18" s="47" t="s">
        <v>245</v>
      </c>
      <c r="S18" s="47" t="s">
        <v>247</v>
      </c>
      <c r="T18" s="47" t="s">
        <v>245</v>
      </c>
      <c r="U18" s="47" t="s">
        <v>245</v>
      </c>
      <c r="V18" s="47" t="s">
        <v>245</v>
      </c>
      <c r="W18" s="47" t="s">
        <v>247</v>
      </c>
      <c r="X18" s="47" t="s">
        <v>247</v>
      </c>
      <c r="Y18" s="47" t="s">
        <v>245</v>
      </c>
      <c r="Z18" s="47" t="s">
        <v>247</v>
      </c>
      <c r="AA18" s="47" t="s">
        <v>245</v>
      </c>
      <c r="AC18" s="48" t="s">
        <v>362</v>
      </c>
      <c r="AD18" s="48" t="s">
        <v>363</v>
      </c>
      <c r="AE18" s="48" t="s">
        <v>303</v>
      </c>
      <c r="AF18" s="49" t="n">
        <v>950</v>
      </c>
      <c r="AG18" s="50"/>
      <c r="AH18" s="50"/>
      <c r="AI18" s="48" t="s">
        <v>364</v>
      </c>
      <c r="AJ18" s="49" t="n">
        <v>40</v>
      </c>
      <c r="AK18" s="48" t="s">
        <v>365</v>
      </c>
      <c r="AL18" s="48" t="s">
        <v>366</v>
      </c>
      <c r="AM18" s="48" t="s">
        <v>316</v>
      </c>
      <c r="AN18" s="48" t="s">
        <v>323</v>
      </c>
      <c r="AO18" s="48" t="s">
        <v>367</v>
      </c>
      <c r="AP18" s="48" t="s">
        <v>368</v>
      </c>
      <c r="AQ18" s="48" t="s">
        <v>369</v>
      </c>
    </row>
    <row r="21" customFormat="false" ht="15" hidden="false" customHeight="false" outlineLevel="0" collapsed="false">
      <c r="A21" s="7" t="s">
        <v>370</v>
      </c>
      <c r="B21" s="7"/>
      <c r="C21" s="7"/>
      <c r="D21" s="7"/>
      <c r="E21" s="7"/>
      <c r="F21" s="7"/>
      <c r="G21" s="7"/>
      <c r="H21" s="7"/>
      <c r="I21" s="7"/>
      <c r="J21" s="7"/>
      <c r="K21" s="7"/>
      <c r="L21" s="7"/>
      <c r="M21" s="7"/>
      <c r="N21" s="7"/>
      <c r="O21" s="7"/>
      <c r="P21" s="7"/>
      <c r="Q21" s="7"/>
      <c r="R21" s="7"/>
      <c r="S21" s="7"/>
      <c r="T21" s="7"/>
      <c r="U21" s="7"/>
      <c r="V21" s="7"/>
      <c r="W21" s="7"/>
      <c r="X21" s="7"/>
      <c r="Y21" s="7"/>
      <c r="Z21" s="7"/>
      <c r="AA21" s="7"/>
    </row>
    <row r="22" customFormat="false" ht="18" hidden="false" customHeight="true" outlineLevel="0" collapsed="false">
      <c r="A22" s="8" t="s">
        <v>36</v>
      </c>
      <c r="B22" s="8" t="s">
        <v>37</v>
      </c>
      <c r="C22" s="8" t="s">
        <v>12</v>
      </c>
      <c r="D22" s="8"/>
      <c r="E22" s="8"/>
      <c r="F22" s="8" t="s">
        <v>371</v>
      </c>
      <c r="G22" s="8" t="s">
        <v>372</v>
      </c>
      <c r="H22" s="8" t="s">
        <v>373</v>
      </c>
      <c r="I22" s="8" t="s">
        <v>374</v>
      </c>
      <c r="J22" s="8" t="s">
        <v>375</v>
      </c>
      <c r="K22" s="8" t="s">
        <v>376</v>
      </c>
      <c r="L22" s="8" t="s">
        <v>377</v>
      </c>
      <c r="M22" s="8" t="s">
        <v>378</v>
      </c>
      <c r="N22" s="8" t="s">
        <v>379</v>
      </c>
      <c r="O22" s="8" t="s">
        <v>380</v>
      </c>
      <c r="P22" s="8" t="s">
        <v>381</v>
      </c>
      <c r="Q22" s="8" t="s">
        <v>382</v>
      </c>
      <c r="R22" s="8" t="s">
        <v>383</v>
      </c>
      <c r="S22" s="8" t="s">
        <v>384</v>
      </c>
      <c r="T22" s="8" t="s">
        <v>385</v>
      </c>
      <c r="U22" s="8" t="s">
        <v>386</v>
      </c>
      <c r="V22" s="8" t="s">
        <v>387</v>
      </c>
      <c r="W22" s="8" t="s">
        <v>388</v>
      </c>
      <c r="X22" s="8" t="s">
        <v>389</v>
      </c>
      <c r="Y22" s="8" t="s">
        <v>390</v>
      </c>
      <c r="Z22" s="8" t="s">
        <v>391</v>
      </c>
      <c r="AA22" s="8" t="s">
        <v>392</v>
      </c>
    </row>
    <row r="23" customFormat="false" ht="15" hidden="false" customHeight="false" outlineLevel="0" collapsed="false">
      <c r="A23" s="42" t="s">
        <v>48</v>
      </c>
      <c r="C23" s="51" t="s">
        <v>50</v>
      </c>
      <c r="F23" s="47" t="s">
        <v>314</v>
      </c>
      <c r="G23" s="47" t="s">
        <v>314</v>
      </c>
      <c r="H23" s="47" t="s">
        <v>314</v>
      </c>
      <c r="I23" s="47" t="s">
        <v>314</v>
      </c>
      <c r="J23" s="47"/>
      <c r="K23" s="47" t="s">
        <v>314</v>
      </c>
      <c r="L23" s="47" t="s">
        <v>314</v>
      </c>
      <c r="M23" s="47" t="s">
        <v>314</v>
      </c>
      <c r="N23" s="47" t="s">
        <v>314</v>
      </c>
      <c r="O23" s="47"/>
      <c r="P23" s="47"/>
      <c r="Q23" s="47"/>
      <c r="R23" s="47" t="s">
        <v>347</v>
      </c>
      <c r="S23" s="47" t="s">
        <v>347</v>
      </c>
      <c r="T23" s="47" t="s">
        <v>314</v>
      </c>
      <c r="U23" s="47" t="s">
        <v>314</v>
      </c>
      <c r="V23" s="47" t="s">
        <v>314</v>
      </c>
      <c r="W23" s="47"/>
      <c r="X23" s="47" t="s">
        <v>314</v>
      </c>
      <c r="Y23" s="47" t="s">
        <v>347</v>
      </c>
      <c r="Z23" s="47"/>
      <c r="AA23" s="47" t="s">
        <v>314</v>
      </c>
    </row>
    <row r="24" customFormat="false" ht="15" hidden="false" customHeight="false" outlineLevel="0" collapsed="false">
      <c r="A24" s="42" t="s">
        <v>59</v>
      </c>
      <c r="C24" s="51" t="s">
        <v>60</v>
      </c>
      <c r="F24" s="47"/>
      <c r="G24" s="47"/>
      <c r="H24" s="47"/>
      <c r="I24" s="47"/>
      <c r="J24" s="47"/>
      <c r="K24" s="47"/>
      <c r="L24" s="47"/>
      <c r="M24" s="47"/>
      <c r="N24" s="47"/>
      <c r="O24" s="47" t="s">
        <v>347</v>
      </c>
      <c r="P24" s="47"/>
      <c r="Q24" s="47"/>
      <c r="R24" s="47"/>
      <c r="S24" s="47"/>
      <c r="T24" s="47" t="s">
        <v>347</v>
      </c>
      <c r="U24" s="47" t="s">
        <v>347</v>
      </c>
      <c r="V24" s="47"/>
      <c r="W24" s="47"/>
      <c r="X24" s="47"/>
      <c r="Y24" s="47"/>
      <c r="Z24" s="47"/>
      <c r="AA24" s="47"/>
    </row>
    <row r="25" customFormat="false" ht="15" hidden="false" customHeight="false" outlineLevel="0" collapsed="false">
      <c r="A25" s="42" t="s">
        <v>65</v>
      </c>
      <c r="C25" s="51" t="s">
        <v>66</v>
      </c>
      <c r="F25" s="47"/>
      <c r="G25" s="47"/>
      <c r="H25" s="47"/>
      <c r="I25" s="47"/>
      <c r="J25" s="47"/>
      <c r="K25" s="47"/>
      <c r="L25" s="47"/>
      <c r="M25" s="47"/>
      <c r="N25" s="47"/>
      <c r="O25" s="47" t="s">
        <v>314</v>
      </c>
      <c r="P25" s="47" t="s">
        <v>314</v>
      </c>
      <c r="Q25" s="47" t="s">
        <v>314</v>
      </c>
      <c r="R25" s="47" t="s">
        <v>314</v>
      </c>
      <c r="S25" s="47"/>
      <c r="T25" s="47" t="s">
        <v>314</v>
      </c>
      <c r="U25" s="47" t="s">
        <v>314</v>
      </c>
      <c r="V25" s="47" t="s">
        <v>314</v>
      </c>
      <c r="W25" s="47"/>
      <c r="X25" s="47"/>
      <c r="Y25" s="47" t="s">
        <v>347</v>
      </c>
      <c r="Z25" s="47"/>
      <c r="AA25" s="47" t="s">
        <v>314</v>
      </c>
    </row>
    <row r="26" customFormat="false" ht="15" hidden="false" customHeight="false" outlineLevel="0" collapsed="false">
      <c r="A26" s="42" t="s">
        <v>71</v>
      </c>
      <c r="C26" s="51" t="s">
        <v>72</v>
      </c>
      <c r="F26" s="47" t="s">
        <v>314</v>
      </c>
      <c r="G26" s="47" t="s">
        <v>314</v>
      </c>
      <c r="H26" s="47" t="s">
        <v>314</v>
      </c>
      <c r="I26" s="47" t="s">
        <v>314</v>
      </c>
      <c r="J26" s="47" t="s">
        <v>314</v>
      </c>
      <c r="K26" s="47" t="s">
        <v>314</v>
      </c>
      <c r="L26" s="47" t="s">
        <v>314</v>
      </c>
      <c r="M26" s="47" t="s">
        <v>347</v>
      </c>
      <c r="N26" s="47" t="s">
        <v>314</v>
      </c>
      <c r="O26" s="47"/>
      <c r="P26" s="47"/>
      <c r="Q26" s="47"/>
      <c r="R26" s="47" t="s">
        <v>347</v>
      </c>
      <c r="S26" s="47" t="s">
        <v>347</v>
      </c>
      <c r="T26" s="47" t="s">
        <v>314</v>
      </c>
      <c r="U26" s="47" t="s">
        <v>314</v>
      </c>
      <c r="V26" s="47" t="s">
        <v>314</v>
      </c>
      <c r="W26" s="47" t="s">
        <v>314</v>
      </c>
      <c r="X26" s="47" t="s">
        <v>314</v>
      </c>
      <c r="Y26" s="47" t="s">
        <v>347</v>
      </c>
      <c r="Z26" s="47"/>
      <c r="AA26" s="47" t="s">
        <v>314</v>
      </c>
    </row>
    <row r="27" customFormat="false" ht="15" hidden="false" customHeight="false" outlineLevel="0" collapsed="false">
      <c r="A27" s="42" t="s">
        <v>80</v>
      </c>
      <c r="C27" s="51" t="s">
        <v>81</v>
      </c>
      <c r="F27" s="47" t="s">
        <v>314</v>
      </c>
      <c r="G27" s="47" t="s">
        <v>314</v>
      </c>
      <c r="H27" s="47" t="s">
        <v>301</v>
      </c>
      <c r="I27" s="47" t="s">
        <v>314</v>
      </c>
      <c r="J27" s="47" t="s">
        <v>314</v>
      </c>
      <c r="K27" s="47" t="s">
        <v>314</v>
      </c>
      <c r="L27" s="47" t="s">
        <v>314</v>
      </c>
      <c r="M27" s="47" t="s">
        <v>314</v>
      </c>
      <c r="N27" s="47" t="s">
        <v>314</v>
      </c>
      <c r="O27" s="47"/>
      <c r="P27" s="47"/>
      <c r="Q27" s="47"/>
      <c r="R27" s="47" t="s">
        <v>347</v>
      </c>
      <c r="S27" s="47" t="s">
        <v>347</v>
      </c>
      <c r="T27" s="47" t="s">
        <v>314</v>
      </c>
      <c r="U27" s="47" t="s">
        <v>314</v>
      </c>
      <c r="V27" s="47" t="s">
        <v>314</v>
      </c>
      <c r="W27" s="47" t="s">
        <v>314</v>
      </c>
      <c r="X27" s="47" t="s">
        <v>314</v>
      </c>
      <c r="Y27" s="47" t="s">
        <v>347</v>
      </c>
      <c r="Z27" s="47"/>
      <c r="AA27" s="47" t="s">
        <v>314</v>
      </c>
    </row>
    <row r="28" customFormat="false" ht="15" hidden="false" customHeight="false" outlineLevel="0" collapsed="false">
      <c r="A28" s="42" t="s">
        <v>86</v>
      </c>
      <c r="C28" s="51" t="s">
        <v>87</v>
      </c>
      <c r="F28" s="47" t="s">
        <v>314</v>
      </c>
      <c r="G28" s="47"/>
      <c r="H28" s="47" t="s">
        <v>314</v>
      </c>
      <c r="I28" s="47" t="s">
        <v>314</v>
      </c>
      <c r="J28" s="47" t="s">
        <v>314</v>
      </c>
      <c r="K28" s="47"/>
      <c r="L28" s="47" t="s">
        <v>347</v>
      </c>
      <c r="M28" s="47" t="s">
        <v>347</v>
      </c>
      <c r="N28" s="47" t="s">
        <v>314</v>
      </c>
      <c r="O28" s="47"/>
      <c r="P28" s="47"/>
      <c r="Q28" s="47"/>
      <c r="R28" s="47" t="s">
        <v>347</v>
      </c>
      <c r="S28" s="47" t="s">
        <v>347</v>
      </c>
      <c r="T28" s="47" t="s">
        <v>314</v>
      </c>
      <c r="U28" s="47" t="s">
        <v>314</v>
      </c>
      <c r="V28" s="47" t="s">
        <v>314</v>
      </c>
      <c r="W28" s="47"/>
      <c r="X28" s="47"/>
      <c r="Y28" s="47" t="s">
        <v>347</v>
      </c>
      <c r="Z28" s="47"/>
      <c r="AA28" s="47" t="s">
        <v>314</v>
      </c>
    </row>
    <row r="29" customFormat="false" ht="15" hidden="false" customHeight="false" outlineLevel="0" collapsed="false">
      <c r="A29" s="42" t="s">
        <v>93</v>
      </c>
      <c r="C29" s="51" t="s">
        <v>94</v>
      </c>
      <c r="F29" s="47" t="s">
        <v>314</v>
      </c>
      <c r="G29" s="47"/>
      <c r="H29" s="47"/>
      <c r="I29" s="47" t="s">
        <v>314</v>
      </c>
      <c r="J29" s="47" t="s">
        <v>314</v>
      </c>
      <c r="K29" s="47"/>
      <c r="L29" s="47" t="s">
        <v>314</v>
      </c>
      <c r="M29" s="47" t="s">
        <v>347</v>
      </c>
      <c r="N29" s="47"/>
      <c r="O29" s="47" t="s">
        <v>347</v>
      </c>
      <c r="P29" s="47" t="s">
        <v>314</v>
      </c>
      <c r="Q29" s="47" t="s">
        <v>314</v>
      </c>
      <c r="R29" s="47" t="s">
        <v>314</v>
      </c>
      <c r="S29" s="47"/>
      <c r="T29" s="47" t="s">
        <v>314</v>
      </c>
      <c r="U29" s="47" t="s">
        <v>314</v>
      </c>
      <c r="V29" s="47" t="s">
        <v>314</v>
      </c>
      <c r="W29" s="47"/>
      <c r="X29" s="47" t="s">
        <v>314</v>
      </c>
      <c r="Y29" s="47" t="s">
        <v>347</v>
      </c>
      <c r="Z29" s="47"/>
      <c r="AA29" s="47"/>
    </row>
    <row r="30" customFormat="false" ht="15" hidden="false" customHeight="false" outlineLevel="0" collapsed="false">
      <c r="A30" s="42" t="s">
        <v>98</v>
      </c>
      <c r="C30" s="51" t="s">
        <v>99</v>
      </c>
      <c r="F30" s="47" t="s">
        <v>347</v>
      </c>
      <c r="G30" s="47" t="s">
        <v>314</v>
      </c>
      <c r="H30" s="47" t="s">
        <v>314</v>
      </c>
      <c r="I30" s="47"/>
      <c r="J30" s="47"/>
      <c r="K30" s="47"/>
      <c r="L30" s="47"/>
      <c r="M30" s="47"/>
      <c r="N30" s="47"/>
      <c r="O30" s="47"/>
      <c r="P30" s="47"/>
      <c r="Q30" s="47"/>
      <c r="R30" s="47" t="s">
        <v>347</v>
      </c>
      <c r="S30" s="47" t="s">
        <v>347</v>
      </c>
      <c r="T30" s="47" t="s">
        <v>314</v>
      </c>
      <c r="U30" s="47" t="s">
        <v>314</v>
      </c>
      <c r="V30" s="47" t="s">
        <v>314</v>
      </c>
      <c r="W30" s="47"/>
      <c r="X30" s="47" t="s">
        <v>314</v>
      </c>
      <c r="Y30" s="47" t="s">
        <v>347</v>
      </c>
      <c r="Z30" s="47"/>
      <c r="AA30" s="47"/>
    </row>
    <row r="31" customFormat="false" ht="15" hidden="false" customHeight="false" outlineLevel="0" collapsed="false">
      <c r="A31" s="42" t="s">
        <v>106</v>
      </c>
      <c r="C31" s="51" t="s">
        <v>107</v>
      </c>
      <c r="F31" s="47"/>
      <c r="G31" s="47"/>
      <c r="H31" s="47"/>
      <c r="I31" s="47"/>
      <c r="J31" s="47" t="s">
        <v>314</v>
      </c>
      <c r="K31" s="47"/>
      <c r="L31" s="47"/>
      <c r="M31" s="47"/>
      <c r="N31" s="47"/>
      <c r="O31" s="47" t="s">
        <v>314</v>
      </c>
      <c r="P31" s="47" t="s">
        <v>314</v>
      </c>
      <c r="Q31" s="47" t="s">
        <v>314</v>
      </c>
      <c r="R31" s="47" t="s">
        <v>347</v>
      </c>
      <c r="S31" s="47"/>
      <c r="T31" s="47" t="s">
        <v>314</v>
      </c>
      <c r="U31" s="47" t="s">
        <v>314</v>
      </c>
      <c r="V31" s="47" t="s">
        <v>347</v>
      </c>
      <c r="W31" s="47"/>
      <c r="X31" s="47" t="s">
        <v>347</v>
      </c>
      <c r="Y31" s="47" t="s">
        <v>347</v>
      </c>
      <c r="Z31" s="47"/>
      <c r="AA31" s="47" t="s">
        <v>347</v>
      </c>
    </row>
    <row r="32" customFormat="false" ht="15" hidden="false" customHeight="false" outlineLevel="0" collapsed="false">
      <c r="A32" s="42" t="s">
        <v>112</v>
      </c>
      <c r="C32" s="51" t="s">
        <v>113</v>
      </c>
      <c r="F32" s="47" t="s">
        <v>314</v>
      </c>
      <c r="G32" s="47" t="s">
        <v>314</v>
      </c>
      <c r="H32" s="47"/>
      <c r="I32" s="47" t="s">
        <v>314</v>
      </c>
      <c r="J32" s="47" t="s">
        <v>314</v>
      </c>
      <c r="K32" s="47"/>
      <c r="L32" s="47" t="s">
        <v>314</v>
      </c>
      <c r="M32" s="47"/>
      <c r="N32" s="47"/>
      <c r="O32" s="47" t="s">
        <v>314</v>
      </c>
      <c r="P32" s="47" t="s">
        <v>314</v>
      </c>
      <c r="Q32" s="47" t="s">
        <v>314</v>
      </c>
      <c r="R32" s="47" t="s">
        <v>314</v>
      </c>
      <c r="S32" s="47"/>
      <c r="T32" s="47" t="s">
        <v>314</v>
      </c>
      <c r="U32" s="47" t="s">
        <v>314</v>
      </c>
      <c r="V32" s="47" t="s">
        <v>314</v>
      </c>
      <c r="W32" s="47"/>
      <c r="X32" s="47" t="s">
        <v>314</v>
      </c>
      <c r="Y32" s="47" t="s">
        <v>347</v>
      </c>
      <c r="Z32" s="47"/>
      <c r="AA32" s="47"/>
    </row>
    <row r="33" customFormat="false" ht="15" hidden="false" customHeight="false" outlineLevel="0" collapsed="false">
      <c r="A33" s="42" t="s">
        <v>117</v>
      </c>
      <c r="C33" s="51" t="s">
        <v>118</v>
      </c>
      <c r="F33" s="47" t="s">
        <v>314</v>
      </c>
      <c r="G33" s="47"/>
      <c r="H33" s="47"/>
      <c r="I33" s="47"/>
      <c r="J33" s="47"/>
      <c r="K33" s="47" t="s">
        <v>314</v>
      </c>
      <c r="L33" s="47" t="s">
        <v>347</v>
      </c>
      <c r="M33" s="47"/>
      <c r="N33" s="47"/>
      <c r="O33" s="47" t="s">
        <v>314</v>
      </c>
      <c r="P33" s="47" t="s">
        <v>347</v>
      </c>
      <c r="Q33" s="47"/>
      <c r="R33" s="47" t="s">
        <v>314</v>
      </c>
      <c r="S33" s="47" t="s">
        <v>347</v>
      </c>
      <c r="T33" s="47" t="s">
        <v>314</v>
      </c>
      <c r="U33" s="47" t="s">
        <v>314</v>
      </c>
      <c r="V33" s="47" t="s">
        <v>314</v>
      </c>
      <c r="W33" s="47"/>
      <c r="X33" s="47"/>
      <c r="Y33" s="47" t="s">
        <v>347</v>
      </c>
      <c r="Z33" s="47"/>
      <c r="AA33" s="47" t="s">
        <v>314</v>
      </c>
    </row>
    <row r="34" customFormat="false" ht="15" hidden="false" customHeight="false" outlineLevel="0" collapsed="false">
      <c r="A34" s="42" t="s">
        <v>122</v>
      </c>
      <c r="C34" s="51" t="s">
        <v>123</v>
      </c>
      <c r="F34" s="47" t="s">
        <v>314</v>
      </c>
      <c r="G34" s="47"/>
      <c r="H34" s="47"/>
      <c r="I34" s="47"/>
      <c r="J34" s="47" t="s">
        <v>314</v>
      </c>
      <c r="K34" s="47"/>
      <c r="L34" s="47"/>
      <c r="M34" s="47" t="s">
        <v>314</v>
      </c>
      <c r="N34" s="47"/>
      <c r="O34" s="47"/>
      <c r="P34" s="47" t="s">
        <v>314</v>
      </c>
      <c r="Q34" s="47" t="s">
        <v>314</v>
      </c>
      <c r="R34" s="47" t="s">
        <v>314</v>
      </c>
      <c r="S34" s="47"/>
      <c r="T34" s="47" t="s">
        <v>314</v>
      </c>
      <c r="U34" s="47" t="s">
        <v>314</v>
      </c>
      <c r="V34" s="47"/>
      <c r="W34" s="47"/>
      <c r="X34" s="47"/>
      <c r="Y34" s="47" t="s">
        <v>347</v>
      </c>
      <c r="Z34" s="47"/>
      <c r="AA34" s="47"/>
    </row>
    <row r="35" customFormat="false" ht="15" hidden="false" customHeight="false" outlineLevel="0" collapsed="false">
      <c r="A35" s="42" t="s">
        <v>127</v>
      </c>
      <c r="C35" s="51" t="s">
        <v>128</v>
      </c>
      <c r="F35" s="47" t="s">
        <v>314</v>
      </c>
      <c r="G35" s="47"/>
      <c r="H35" s="47"/>
      <c r="I35" s="47" t="s">
        <v>314</v>
      </c>
      <c r="J35" s="47" t="s">
        <v>314</v>
      </c>
      <c r="K35" s="47" t="s">
        <v>314</v>
      </c>
      <c r="L35" s="47"/>
      <c r="M35" s="47"/>
      <c r="N35" s="47"/>
      <c r="O35" s="47"/>
      <c r="P35" s="47" t="s">
        <v>314</v>
      </c>
      <c r="Q35" s="47" t="s">
        <v>314</v>
      </c>
      <c r="R35" s="47" t="s">
        <v>314</v>
      </c>
      <c r="S35" s="47"/>
      <c r="T35" s="47" t="s">
        <v>314</v>
      </c>
      <c r="U35" s="47" t="s">
        <v>314</v>
      </c>
      <c r="V35" s="47" t="s">
        <v>314</v>
      </c>
      <c r="W35" s="47"/>
      <c r="X35" s="47"/>
      <c r="Y35" s="47" t="s">
        <v>347</v>
      </c>
      <c r="Z35" s="47"/>
      <c r="AA35" s="47" t="s">
        <v>314</v>
      </c>
    </row>
    <row r="38" customFormat="false" ht="15" hidden="false" customHeight="false" outlineLevel="0" collapsed="false">
      <c r="A38" s="7" t="s">
        <v>393</v>
      </c>
      <c r="B38" s="7"/>
      <c r="C38" s="7"/>
      <c r="D38" s="7"/>
      <c r="E38" s="7"/>
      <c r="F38" s="7"/>
      <c r="G38" s="7"/>
      <c r="H38" s="7"/>
      <c r="I38" s="7"/>
      <c r="J38" s="7"/>
      <c r="K38" s="7"/>
      <c r="L38" s="7"/>
      <c r="M38" s="7"/>
      <c r="N38" s="7"/>
      <c r="O38" s="7"/>
      <c r="P38" s="7"/>
      <c r="Q38" s="7"/>
      <c r="R38" s="7"/>
      <c r="S38" s="7"/>
      <c r="T38" s="7"/>
      <c r="U38" s="7"/>
      <c r="V38" s="7"/>
      <c r="W38" s="7"/>
      <c r="X38" s="7"/>
      <c r="Y38" s="7"/>
      <c r="Z38" s="7"/>
      <c r="AA38" s="7"/>
    </row>
    <row r="39" customFormat="false" ht="66" hidden="false" customHeight="true" outlineLevel="0" collapsed="false">
      <c r="A39" s="8" t="s">
        <v>36</v>
      </c>
      <c r="B39" s="8" t="s">
        <v>37</v>
      </c>
      <c r="C39" s="8" t="s">
        <v>12</v>
      </c>
      <c r="D39" s="8"/>
      <c r="E39" s="8"/>
      <c r="F39" s="8" t="s">
        <v>394</v>
      </c>
      <c r="G39" s="8" t="s">
        <v>395</v>
      </c>
      <c r="H39" s="8" t="s">
        <v>396</v>
      </c>
      <c r="I39" s="8" t="s">
        <v>397</v>
      </c>
      <c r="J39" s="8" t="s">
        <v>398</v>
      </c>
      <c r="K39" s="8" t="s">
        <v>399</v>
      </c>
      <c r="L39" s="8" t="s">
        <v>400</v>
      </c>
      <c r="M39" s="8"/>
      <c r="N39" s="8" t="s">
        <v>401</v>
      </c>
      <c r="O39" s="8" t="s">
        <v>402</v>
      </c>
      <c r="P39" s="8" t="s">
        <v>403</v>
      </c>
      <c r="Q39" s="8" t="s">
        <v>404</v>
      </c>
      <c r="R39" s="8" t="s">
        <v>405</v>
      </c>
      <c r="S39" s="8" t="s">
        <v>406</v>
      </c>
      <c r="T39" s="8" t="s">
        <v>407</v>
      </c>
    </row>
    <row r="40" customFormat="false" ht="15" hidden="false" customHeight="false" outlineLevel="0" collapsed="false">
      <c r="E40" s="52" t="s">
        <v>408</v>
      </c>
      <c r="F40" s="53" t="n">
        <f aca="false">'10 Scoring &amp; Weights'!$D$32</f>
        <v>25</v>
      </c>
      <c r="G40" s="53" t="n">
        <f aca="false">'10 Scoring &amp; Weights'!$D$33</f>
        <v>10</v>
      </c>
      <c r="H40" s="53" t="n">
        <f aca="false">'10 Scoring &amp; Weights'!$D$34</f>
        <v>25</v>
      </c>
      <c r="I40" s="53" t="n">
        <f aca="false">'10 Scoring &amp; Weights'!$D$35</f>
        <v>15</v>
      </c>
      <c r="J40" s="53" t="n">
        <f aca="false">'10 Scoring &amp; Weights'!$D$36</f>
        <v>5</v>
      </c>
      <c r="K40" s="53" t="n">
        <f aca="false">'10 Scoring &amp; Weights'!$D$37</f>
        <v>10</v>
      </c>
      <c r="L40" s="53" t="n">
        <f aca="false">'10 Scoring &amp; Weights'!$D$38</f>
        <v>10</v>
      </c>
    </row>
    <row r="41" customFormat="false" ht="15" hidden="false" customHeight="false" outlineLevel="0" collapsed="false">
      <c r="A41" s="42" t="s">
        <v>48</v>
      </c>
      <c r="C41" s="51" t="s">
        <v>50</v>
      </c>
      <c r="F41" s="47" t="s">
        <v>245</v>
      </c>
      <c r="G41" s="47" t="s">
        <v>245</v>
      </c>
      <c r="H41" s="47" t="s">
        <v>247</v>
      </c>
      <c r="I41" s="47" t="s">
        <v>248</v>
      </c>
      <c r="J41" s="47" t="s">
        <v>247</v>
      </c>
      <c r="K41" s="47" t="s">
        <v>247</v>
      </c>
      <c r="L41" s="47" t="s">
        <v>249</v>
      </c>
      <c r="N41" s="47" t="s">
        <v>314</v>
      </c>
      <c r="O41" s="47" t="s">
        <v>314</v>
      </c>
      <c r="P41" s="47"/>
      <c r="Q41" s="47" t="s">
        <v>347</v>
      </c>
      <c r="R41" s="47"/>
      <c r="S41" s="47"/>
      <c r="T41" s="47"/>
    </row>
    <row r="42" customFormat="false" ht="15" hidden="false" customHeight="false" outlineLevel="0" collapsed="false">
      <c r="A42" s="42" t="s">
        <v>59</v>
      </c>
      <c r="C42" s="51" t="s">
        <v>60</v>
      </c>
      <c r="F42" s="47" t="s">
        <v>247</v>
      </c>
      <c r="G42" s="47" t="s">
        <v>247</v>
      </c>
      <c r="H42" s="47" t="s">
        <v>246</v>
      </c>
      <c r="I42" s="47" t="s">
        <v>247</v>
      </c>
      <c r="J42" s="47" t="s">
        <v>247</v>
      </c>
      <c r="K42" s="47" t="s">
        <v>247</v>
      </c>
      <c r="L42" s="47" t="s">
        <v>247</v>
      </c>
      <c r="N42" s="47"/>
      <c r="O42" s="47"/>
      <c r="P42" s="47" t="s">
        <v>347</v>
      </c>
      <c r="Q42" s="47"/>
      <c r="R42" s="47"/>
      <c r="S42" s="47"/>
      <c r="T42" s="47"/>
    </row>
    <row r="43" customFormat="false" ht="15" hidden="false" customHeight="false" outlineLevel="0" collapsed="false">
      <c r="A43" s="42" t="s">
        <v>65</v>
      </c>
      <c r="C43" s="51" t="s">
        <v>66</v>
      </c>
      <c r="F43" s="47" t="s">
        <v>247</v>
      </c>
      <c r="G43" s="47" t="s">
        <v>247</v>
      </c>
      <c r="H43" s="47" t="s">
        <v>246</v>
      </c>
      <c r="I43" s="47" t="s">
        <v>245</v>
      </c>
      <c r="J43" s="47" t="s">
        <v>247</v>
      </c>
      <c r="K43" s="47" t="s">
        <v>247</v>
      </c>
      <c r="L43" s="47" t="s">
        <v>245</v>
      </c>
      <c r="N43" s="47"/>
      <c r="O43" s="47"/>
      <c r="P43" s="47" t="s">
        <v>314</v>
      </c>
      <c r="Q43" s="47" t="s">
        <v>314</v>
      </c>
      <c r="R43" s="47"/>
      <c r="S43" s="47"/>
      <c r="T43" s="47" t="s">
        <v>314</v>
      </c>
    </row>
    <row r="44" customFormat="false" ht="15" hidden="false" customHeight="false" outlineLevel="0" collapsed="false">
      <c r="A44" s="42" t="s">
        <v>71</v>
      </c>
      <c r="C44" s="51" t="s">
        <v>72</v>
      </c>
      <c r="F44" s="47" t="s">
        <v>245</v>
      </c>
      <c r="G44" s="47" t="s">
        <v>245</v>
      </c>
      <c r="H44" s="47" t="s">
        <v>247</v>
      </c>
      <c r="I44" s="47" t="s">
        <v>248</v>
      </c>
      <c r="J44" s="47" t="s">
        <v>247</v>
      </c>
      <c r="K44" s="47" t="s">
        <v>246</v>
      </c>
      <c r="L44" s="47" t="s">
        <v>249</v>
      </c>
      <c r="N44" s="47" t="s">
        <v>314</v>
      </c>
      <c r="O44" s="47" t="s">
        <v>314</v>
      </c>
      <c r="P44" s="47"/>
      <c r="Q44" s="47" t="s">
        <v>347</v>
      </c>
      <c r="R44" s="47"/>
      <c r="S44" s="47" t="s">
        <v>314</v>
      </c>
      <c r="T44" s="47"/>
    </row>
    <row r="45" customFormat="false" ht="15" hidden="false" customHeight="false" outlineLevel="0" collapsed="false">
      <c r="A45" s="42" t="s">
        <v>80</v>
      </c>
      <c r="C45" s="51" t="s">
        <v>81</v>
      </c>
      <c r="F45" s="47" t="s">
        <v>245</v>
      </c>
      <c r="G45" s="47" t="s">
        <v>247</v>
      </c>
      <c r="H45" s="47" t="s">
        <v>247</v>
      </c>
      <c r="I45" s="47" t="s">
        <v>248</v>
      </c>
      <c r="J45" s="47" t="s">
        <v>247</v>
      </c>
      <c r="K45" s="47" t="s">
        <v>246</v>
      </c>
      <c r="L45" s="47" t="s">
        <v>249</v>
      </c>
      <c r="N45" s="47" t="s">
        <v>314</v>
      </c>
      <c r="O45" s="47" t="s">
        <v>301</v>
      </c>
      <c r="P45" s="47"/>
      <c r="Q45" s="47" t="s">
        <v>347</v>
      </c>
      <c r="R45" s="47"/>
      <c r="S45" s="47" t="s">
        <v>314</v>
      </c>
      <c r="T45" s="47"/>
    </row>
    <row r="46" customFormat="false" ht="15" hidden="false" customHeight="false" outlineLevel="0" collapsed="false">
      <c r="A46" s="42" t="s">
        <v>86</v>
      </c>
      <c r="C46" s="51" t="s">
        <v>87</v>
      </c>
      <c r="F46" s="47" t="s">
        <v>245</v>
      </c>
      <c r="G46" s="47" t="s">
        <v>245</v>
      </c>
      <c r="H46" s="47" t="s">
        <v>247</v>
      </c>
      <c r="I46" s="47" t="s">
        <v>248</v>
      </c>
      <c r="J46" s="47" t="s">
        <v>247</v>
      </c>
      <c r="K46" s="47" t="s">
        <v>245</v>
      </c>
      <c r="L46" s="47" t="s">
        <v>249</v>
      </c>
      <c r="N46" s="47" t="s">
        <v>314</v>
      </c>
      <c r="O46" s="47" t="s">
        <v>347</v>
      </c>
      <c r="P46" s="47"/>
      <c r="Q46" s="47" t="s">
        <v>347</v>
      </c>
      <c r="R46" s="47"/>
      <c r="S46" s="47" t="s">
        <v>314</v>
      </c>
      <c r="T46" s="47"/>
    </row>
    <row r="47" customFormat="false" ht="15" hidden="false" customHeight="false" outlineLevel="0" collapsed="false">
      <c r="A47" s="42" t="s">
        <v>93</v>
      </c>
      <c r="C47" s="51" t="s">
        <v>94</v>
      </c>
      <c r="F47" s="47" t="s">
        <v>245</v>
      </c>
      <c r="G47" s="47" t="s">
        <v>247</v>
      </c>
      <c r="H47" s="47" t="s">
        <v>246</v>
      </c>
      <c r="I47" s="47" t="s">
        <v>245</v>
      </c>
      <c r="J47" s="47" t="s">
        <v>247</v>
      </c>
      <c r="K47" s="47" t="s">
        <v>245</v>
      </c>
      <c r="L47" s="47" t="s">
        <v>245</v>
      </c>
      <c r="N47" s="47" t="s">
        <v>314</v>
      </c>
      <c r="O47" s="47"/>
      <c r="P47" s="47" t="s">
        <v>347</v>
      </c>
      <c r="Q47" s="47" t="s">
        <v>314</v>
      </c>
      <c r="R47" s="47"/>
      <c r="S47" s="47" t="s">
        <v>314</v>
      </c>
      <c r="T47" s="47" t="s">
        <v>314</v>
      </c>
    </row>
    <row r="48" customFormat="false" ht="15" hidden="false" customHeight="false" outlineLevel="0" collapsed="false">
      <c r="A48" s="42" t="s">
        <v>98</v>
      </c>
      <c r="C48" s="51" t="s">
        <v>99</v>
      </c>
      <c r="F48" s="47" t="s">
        <v>247</v>
      </c>
      <c r="G48" s="47" t="s">
        <v>245</v>
      </c>
      <c r="H48" s="47" t="s">
        <v>247</v>
      </c>
      <c r="I48" s="47" t="s">
        <v>248</v>
      </c>
      <c r="J48" s="47" t="s">
        <v>247</v>
      </c>
      <c r="K48" s="47" t="s">
        <v>247</v>
      </c>
      <c r="L48" s="47" t="s">
        <v>249</v>
      </c>
      <c r="N48" s="47"/>
      <c r="O48" s="47" t="s">
        <v>314</v>
      </c>
      <c r="P48" s="47"/>
      <c r="Q48" s="47" t="s">
        <v>347</v>
      </c>
      <c r="R48" s="47"/>
      <c r="S48" s="47"/>
      <c r="T48" s="47"/>
    </row>
    <row r="49" customFormat="false" ht="15" hidden="false" customHeight="false" outlineLevel="0" collapsed="false">
      <c r="A49" s="42" t="s">
        <v>106</v>
      </c>
      <c r="C49" s="51" t="s">
        <v>107</v>
      </c>
      <c r="F49" s="47" t="s">
        <v>247</v>
      </c>
      <c r="G49" s="47" t="s">
        <v>247</v>
      </c>
      <c r="H49" s="47" t="s">
        <v>246</v>
      </c>
      <c r="I49" s="47" t="s">
        <v>246</v>
      </c>
      <c r="J49" s="47" t="s">
        <v>247</v>
      </c>
      <c r="K49" s="47" t="s">
        <v>245</v>
      </c>
      <c r="L49" s="47" t="s">
        <v>246</v>
      </c>
      <c r="N49" s="47"/>
      <c r="O49" s="47"/>
      <c r="P49" s="47" t="s">
        <v>314</v>
      </c>
      <c r="Q49" s="47" t="s">
        <v>347</v>
      </c>
      <c r="R49" s="47"/>
      <c r="S49" s="47" t="s">
        <v>314</v>
      </c>
      <c r="T49" s="47" t="s">
        <v>347</v>
      </c>
    </row>
    <row r="50" customFormat="false" ht="15" hidden="false" customHeight="false" outlineLevel="0" collapsed="false">
      <c r="A50" s="42" t="s">
        <v>112</v>
      </c>
      <c r="C50" s="51" t="s">
        <v>113</v>
      </c>
      <c r="F50" s="47" t="s">
        <v>247</v>
      </c>
      <c r="G50" s="47" t="s">
        <v>247</v>
      </c>
      <c r="H50" s="47" t="s">
        <v>245</v>
      </c>
      <c r="I50" s="47" t="s">
        <v>245</v>
      </c>
      <c r="J50" s="47" t="s">
        <v>247</v>
      </c>
      <c r="K50" s="47" t="s">
        <v>246</v>
      </c>
      <c r="L50" s="47" t="s">
        <v>247</v>
      </c>
      <c r="N50" s="47"/>
      <c r="O50" s="47"/>
      <c r="P50" s="47" t="s">
        <v>314</v>
      </c>
      <c r="Q50" s="47" t="s">
        <v>314</v>
      </c>
      <c r="R50" s="47"/>
      <c r="S50" s="47" t="s">
        <v>314</v>
      </c>
      <c r="T50" s="47"/>
    </row>
    <row r="51" customFormat="false" ht="15" hidden="false" customHeight="false" outlineLevel="0" collapsed="false">
      <c r="A51" s="42" t="s">
        <v>117</v>
      </c>
      <c r="C51" s="51" t="s">
        <v>118</v>
      </c>
      <c r="F51" s="47" t="s">
        <v>245</v>
      </c>
      <c r="G51" s="47" t="s">
        <v>247</v>
      </c>
      <c r="H51" s="47" t="s">
        <v>246</v>
      </c>
      <c r="I51" s="47" t="s">
        <v>246</v>
      </c>
      <c r="J51" s="47" t="s">
        <v>247</v>
      </c>
      <c r="K51" s="47" t="s">
        <v>247</v>
      </c>
      <c r="L51" s="47" t="s">
        <v>247</v>
      </c>
      <c r="N51" s="47" t="s">
        <v>314</v>
      </c>
      <c r="O51" s="47"/>
      <c r="P51" s="47" t="s">
        <v>314</v>
      </c>
      <c r="Q51" s="47" t="s">
        <v>314</v>
      </c>
      <c r="R51" s="47"/>
      <c r="S51" s="47"/>
      <c r="T51" s="47"/>
    </row>
    <row r="52" customFormat="false" ht="15" hidden="false" customHeight="false" outlineLevel="0" collapsed="false">
      <c r="A52" s="42" t="s">
        <v>122</v>
      </c>
      <c r="C52" s="51" t="s">
        <v>123</v>
      </c>
      <c r="F52" s="47" t="s">
        <v>247</v>
      </c>
      <c r="G52" s="47" t="s">
        <v>247</v>
      </c>
      <c r="H52" s="47" t="s">
        <v>247</v>
      </c>
      <c r="I52" s="47" t="s">
        <v>245</v>
      </c>
      <c r="J52" s="47" t="s">
        <v>247</v>
      </c>
      <c r="K52" s="47" t="s">
        <v>246</v>
      </c>
      <c r="L52" s="47" t="s">
        <v>247</v>
      </c>
      <c r="N52" s="47"/>
      <c r="O52" s="47"/>
      <c r="P52" s="47"/>
      <c r="Q52" s="47" t="s">
        <v>314</v>
      </c>
      <c r="R52" s="47"/>
      <c r="S52" s="47" t="s">
        <v>314</v>
      </c>
      <c r="T52" s="47"/>
    </row>
    <row r="53" customFormat="false" ht="15" hidden="false" customHeight="false" outlineLevel="0" collapsed="false">
      <c r="A53" s="42" t="s">
        <v>127</v>
      </c>
      <c r="C53" s="51" t="s">
        <v>128</v>
      </c>
      <c r="F53" s="47" t="s">
        <v>246</v>
      </c>
      <c r="G53" s="47" t="s">
        <v>247</v>
      </c>
      <c r="H53" s="47" t="s">
        <v>247</v>
      </c>
      <c r="I53" s="47" t="s">
        <v>245</v>
      </c>
      <c r="J53" s="47" t="s">
        <v>247</v>
      </c>
      <c r="K53" s="47" t="s">
        <v>246</v>
      </c>
      <c r="L53" s="47" t="s">
        <v>247</v>
      </c>
      <c r="N53" s="47" t="s">
        <v>314</v>
      </c>
      <c r="O53" s="47"/>
      <c r="P53" s="47"/>
      <c r="Q53" s="47" t="s">
        <v>314</v>
      </c>
      <c r="R53" s="47"/>
      <c r="S53" s="47" t="s">
        <v>314</v>
      </c>
      <c r="T53" s="47"/>
    </row>
    <row r="56" customFormat="false" ht="15" hidden="false" customHeight="false" outlineLevel="0" collapsed="false">
      <c r="A56" s="7" t="s">
        <v>409</v>
      </c>
      <c r="B56" s="7"/>
      <c r="C56" s="7"/>
      <c r="D56" s="7"/>
      <c r="E56" s="7"/>
      <c r="F56" s="7"/>
      <c r="G56" s="7"/>
      <c r="H56" s="7"/>
      <c r="I56" s="7"/>
      <c r="J56" s="7"/>
    </row>
    <row r="58" customFormat="false" ht="24" hidden="false" customHeight="true" outlineLevel="0" collapsed="false">
      <c r="A58" s="8" t="s">
        <v>410</v>
      </c>
      <c r="B58" s="8" t="s">
        <v>12</v>
      </c>
      <c r="C58" s="8" t="s">
        <v>411</v>
      </c>
      <c r="D58" s="8" t="s">
        <v>412</v>
      </c>
      <c r="E58" s="8" t="s">
        <v>413</v>
      </c>
      <c r="F58" s="8" t="s">
        <v>414</v>
      </c>
      <c r="G58" s="8" t="s">
        <v>415</v>
      </c>
      <c r="H58" s="8" t="s">
        <v>416</v>
      </c>
    </row>
    <row r="59" customFormat="false" ht="15" hidden="false" customHeight="false" outlineLevel="0" collapsed="false">
      <c r="A59" s="42" t="s">
        <v>48</v>
      </c>
      <c r="B59" s="54" t="s">
        <v>50</v>
      </c>
      <c r="C59" s="42" t="s">
        <v>371</v>
      </c>
      <c r="D59" s="54" t="s">
        <v>417</v>
      </c>
      <c r="E59" s="26" t="str">
        <f aca="false">F6</f>
        <v>Yes</v>
      </c>
      <c r="F59" s="26" t="str">
        <f aca="false">IF(F23="","",F23)</f>
        <v>B</v>
      </c>
      <c r="G59" s="55" t="s">
        <v>418</v>
      </c>
      <c r="H59" s="54" t="s">
        <v>419</v>
      </c>
    </row>
    <row r="60" customFormat="false" ht="15" hidden="false" customHeight="false" outlineLevel="0" collapsed="false">
      <c r="A60" s="42" t="s">
        <v>48</v>
      </c>
      <c r="B60" s="54" t="s">
        <v>50</v>
      </c>
      <c r="C60" s="42" t="s">
        <v>372</v>
      </c>
      <c r="D60" s="54" t="s">
        <v>420</v>
      </c>
      <c r="E60" s="26" t="str">
        <f aca="false">G6</f>
        <v>Yes</v>
      </c>
      <c r="F60" s="26" t="str">
        <f aca="false">IF(G23="","",G23)</f>
        <v>B</v>
      </c>
      <c r="G60" s="55" t="s">
        <v>418</v>
      </c>
      <c r="H60" s="54" t="s">
        <v>421</v>
      </c>
    </row>
    <row r="61" customFormat="false" ht="15" hidden="false" customHeight="false" outlineLevel="0" collapsed="false">
      <c r="A61" s="42" t="s">
        <v>48</v>
      </c>
      <c r="B61" s="54" t="s">
        <v>50</v>
      </c>
      <c r="C61" s="42" t="s">
        <v>373</v>
      </c>
      <c r="D61" s="54" t="s">
        <v>422</v>
      </c>
      <c r="E61" s="26" t="str">
        <f aca="false">H6</f>
        <v>Yes</v>
      </c>
      <c r="F61" s="26" t="str">
        <f aca="false">IF(H23="","",H23)</f>
        <v>B</v>
      </c>
      <c r="G61" s="55" t="s">
        <v>418</v>
      </c>
      <c r="H61" s="54" t="s">
        <v>423</v>
      </c>
    </row>
    <row r="62" customFormat="false" ht="15" hidden="false" customHeight="false" outlineLevel="0" collapsed="false">
      <c r="A62" s="42" t="s">
        <v>48</v>
      </c>
      <c r="B62" s="54" t="s">
        <v>50</v>
      </c>
      <c r="C62" s="42" t="s">
        <v>374</v>
      </c>
      <c r="D62" s="54" t="s">
        <v>424</v>
      </c>
      <c r="E62" s="26" t="str">
        <f aca="false">I6</f>
        <v>Yes</v>
      </c>
      <c r="F62" s="26" t="str">
        <f aca="false">IF(I23="","",I23)</f>
        <v>B</v>
      </c>
      <c r="G62" s="55" t="s">
        <v>418</v>
      </c>
      <c r="H62" s="54" t="s">
        <v>425</v>
      </c>
    </row>
    <row r="63" customFormat="false" ht="15" hidden="false" customHeight="false" outlineLevel="0" collapsed="false">
      <c r="A63" s="42" t="s">
        <v>48</v>
      </c>
      <c r="B63" s="54" t="s">
        <v>50</v>
      </c>
      <c r="C63" s="42" t="s">
        <v>375</v>
      </c>
      <c r="D63" s="54" t="s">
        <v>426</v>
      </c>
      <c r="E63" s="26" t="str">
        <f aca="false">J6</f>
        <v>Unknown</v>
      </c>
      <c r="F63" s="26" t="str">
        <f aca="false">IF(J23="","",J23)</f>
        <v/>
      </c>
      <c r="G63" s="42" t="s">
        <v>140</v>
      </c>
      <c r="H63" s="54" t="s">
        <v>427</v>
      </c>
    </row>
    <row r="64" customFormat="false" ht="15" hidden="false" customHeight="false" outlineLevel="0" collapsed="false">
      <c r="A64" s="42" t="s">
        <v>48</v>
      </c>
      <c r="B64" s="54" t="s">
        <v>50</v>
      </c>
      <c r="C64" s="42" t="s">
        <v>376</v>
      </c>
      <c r="D64" s="54" t="s">
        <v>428</v>
      </c>
      <c r="E64" s="26" t="str">
        <f aca="false">K6</f>
        <v>Yes</v>
      </c>
      <c r="F64" s="26" t="str">
        <f aca="false">IF(K23="","",K23)</f>
        <v>B</v>
      </c>
      <c r="G64" s="55" t="s">
        <v>418</v>
      </c>
      <c r="H64" s="54" t="s">
        <v>429</v>
      </c>
    </row>
    <row r="65" customFormat="false" ht="15" hidden="false" customHeight="false" outlineLevel="0" collapsed="false">
      <c r="A65" s="42" t="s">
        <v>48</v>
      </c>
      <c r="B65" s="54" t="s">
        <v>50</v>
      </c>
      <c r="C65" s="42" t="s">
        <v>377</v>
      </c>
      <c r="D65" s="54" t="s">
        <v>430</v>
      </c>
      <c r="E65" s="26" t="str">
        <f aca="false">L6</f>
        <v>Yes</v>
      </c>
      <c r="F65" s="26" t="str">
        <f aca="false">IF(L23="","",L23)</f>
        <v>B</v>
      </c>
      <c r="G65" s="55" t="s">
        <v>418</v>
      </c>
      <c r="H65" s="54" t="s">
        <v>431</v>
      </c>
    </row>
    <row r="66" customFormat="false" ht="15" hidden="false" customHeight="false" outlineLevel="0" collapsed="false">
      <c r="A66" s="42" t="s">
        <v>48</v>
      </c>
      <c r="B66" s="54" t="s">
        <v>50</v>
      </c>
      <c r="C66" s="42" t="s">
        <v>378</v>
      </c>
      <c r="D66" s="54" t="s">
        <v>432</v>
      </c>
      <c r="E66" s="26" t="str">
        <f aca="false">M6</f>
        <v>Yes</v>
      </c>
      <c r="F66" s="26" t="str">
        <f aca="false">IF(M23="","",M23)</f>
        <v>B</v>
      </c>
      <c r="G66" s="55" t="s">
        <v>418</v>
      </c>
      <c r="H66" s="54" t="s">
        <v>433</v>
      </c>
    </row>
    <row r="67" customFormat="false" ht="15" hidden="false" customHeight="false" outlineLevel="0" collapsed="false">
      <c r="A67" s="42" t="s">
        <v>48</v>
      </c>
      <c r="B67" s="54" t="s">
        <v>50</v>
      </c>
      <c r="C67" s="42" t="s">
        <v>379</v>
      </c>
      <c r="D67" s="54" t="s">
        <v>434</v>
      </c>
      <c r="E67" s="26" t="str">
        <f aca="false">N6</f>
        <v>Yes</v>
      </c>
      <c r="F67" s="26" t="str">
        <f aca="false">IF(N23="","",N23)</f>
        <v>B</v>
      </c>
      <c r="G67" s="55" t="s">
        <v>418</v>
      </c>
      <c r="H67" s="54" t="s">
        <v>435</v>
      </c>
    </row>
    <row r="68" customFormat="false" ht="15" hidden="false" customHeight="false" outlineLevel="0" collapsed="false">
      <c r="A68" s="42" t="s">
        <v>48</v>
      </c>
      <c r="B68" s="54" t="s">
        <v>50</v>
      </c>
      <c r="C68" s="42" t="s">
        <v>380</v>
      </c>
      <c r="D68" s="54" t="s">
        <v>436</v>
      </c>
      <c r="E68" s="26" t="str">
        <f aca="false">O6</f>
        <v>Unknown</v>
      </c>
      <c r="F68" s="26" t="str">
        <f aca="false">IF(O23="","",O23)</f>
        <v/>
      </c>
      <c r="G68" s="42" t="s">
        <v>140</v>
      </c>
      <c r="H68" s="54" t="s">
        <v>427</v>
      </c>
    </row>
    <row r="69" customFormat="false" ht="15" hidden="false" customHeight="false" outlineLevel="0" collapsed="false">
      <c r="A69" s="42" t="s">
        <v>48</v>
      </c>
      <c r="B69" s="54" t="s">
        <v>50</v>
      </c>
      <c r="C69" s="42" t="s">
        <v>381</v>
      </c>
      <c r="D69" s="54" t="s">
        <v>437</v>
      </c>
      <c r="E69" s="26" t="str">
        <f aca="false">P6</f>
        <v>Unknown</v>
      </c>
      <c r="F69" s="26" t="str">
        <f aca="false">IF(P23="","",P23)</f>
        <v/>
      </c>
      <c r="G69" s="42" t="s">
        <v>140</v>
      </c>
      <c r="H69" s="54" t="s">
        <v>427</v>
      </c>
    </row>
    <row r="70" customFormat="false" ht="15" hidden="false" customHeight="false" outlineLevel="0" collapsed="false">
      <c r="A70" s="42" t="s">
        <v>48</v>
      </c>
      <c r="B70" s="54" t="s">
        <v>50</v>
      </c>
      <c r="C70" s="42" t="s">
        <v>382</v>
      </c>
      <c r="D70" s="54" t="s">
        <v>438</v>
      </c>
      <c r="E70" s="26" t="str">
        <f aca="false">Q6</f>
        <v>Unknown</v>
      </c>
      <c r="F70" s="26" t="str">
        <f aca="false">IF(Q23="","",Q23)</f>
        <v/>
      </c>
      <c r="G70" s="42" t="s">
        <v>140</v>
      </c>
      <c r="H70" s="54" t="s">
        <v>427</v>
      </c>
    </row>
    <row r="71" customFormat="false" ht="15" hidden="false" customHeight="false" outlineLevel="0" collapsed="false">
      <c r="A71" s="42" t="s">
        <v>48</v>
      </c>
      <c r="B71" s="54" t="s">
        <v>50</v>
      </c>
      <c r="C71" s="42" t="s">
        <v>383</v>
      </c>
      <c r="D71" s="54" t="s">
        <v>439</v>
      </c>
      <c r="E71" s="26" t="str">
        <f aca="false">R6</f>
        <v>No</v>
      </c>
      <c r="F71" s="26" t="str">
        <f aca="false">IF(R23="","",R23)</f>
        <v>C</v>
      </c>
      <c r="G71" s="55" t="s">
        <v>418</v>
      </c>
      <c r="H71" s="54" t="s">
        <v>440</v>
      </c>
    </row>
    <row r="72" customFormat="false" ht="15" hidden="false" customHeight="false" outlineLevel="0" collapsed="false">
      <c r="A72" s="42" t="s">
        <v>48</v>
      </c>
      <c r="B72" s="54" t="s">
        <v>50</v>
      </c>
      <c r="C72" s="42" t="s">
        <v>384</v>
      </c>
      <c r="D72" s="54" t="s">
        <v>441</v>
      </c>
      <c r="E72" s="26" t="str">
        <f aca="false">S6</f>
        <v>No</v>
      </c>
      <c r="F72" s="26" t="str">
        <f aca="false">IF(S23="","",S23)</f>
        <v>C</v>
      </c>
      <c r="G72" s="55" t="s">
        <v>418</v>
      </c>
      <c r="H72" s="54" t="s">
        <v>442</v>
      </c>
    </row>
    <row r="73" customFormat="false" ht="15" hidden="false" customHeight="false" outlineLevel="0" collapsed="false">
      <c r="A73" s="42" t="s">
        <v>48</v>
      </c>
      <c r="B73" s="54" t="s">
        <v>50</v>
      </c>
      <c r="C73" s="42" t="s">
        <v>385</v>
      </c>
      <c r="D73" s="54" t="s">
        <v>443</v>
      </c>
      <c r="E73" s="26" t="str">
        <f aca="false">T6</f>
        <v>No</v>
      </c>
      <c r="F73" s="26" t="str">
        <f aca="false">IF(T23="","",T23)</f>
        <v>B</v>
      </c>
      <c r="G73" s="55" t="s">
        <v>418</v>
      </c>
      <c r="H73" s="54" t="s">
        <v>444</v>
      </c>
    </row>
    <row r="74" customFormat="false" ht="15" hidden="false" customHeight="false" outlineLevel="0" collapsed="false">
      <c r="A74" s="42" t="s">
        <v>48</v>
      </c>
      <c r="B74" s="54" t="s">
        <v>50</v>
      </c>
      <c r="C74" s="42" t="s">
        <v>386</v>
      </c>
      <c r="D74" s="54" t="s">
        <v>445</v>
      </c>
      <c r="E74" s="26" t="str">
        <f aca="false">U6</f>
        <v>No</v>
      </c>
      <c r="F74" s="26" t="str">
        <f aca="false">IF(U23="","",U23)</f>
        <v>B</v>
      </c>
      <c r="G74" s="55" t="s">
        <v>418</v>
      </c>
      <c r="H74" s="54" t="s">
        <v>446</v>
      </c>
    </row>
    <row r="75" customFormat="false" ht="15" hidden="false" customHeight="false" outlineLevel="0" collapsed="false">
      <c r="A75" s="42" t="s">
        <v>48</v>
      </c>
      <c r="B75" s="54" t="s">
        <v>50</v>
      </c>
      <c r="C75" s="42" t="s">
        <v>387</v>
      </c>
      <c r="D75" s="54" t="s">
        <v>447</v>
      </c>
      <c r="E75" s="26" t="str">
        <f aca="false">V6</f>
        <v>Yes</v>
      </c>
      <c r="F75" s="26" t="str">
        <f aca="false">IF(V23="","",V23)</f>
        <v>B</v>
      </c>
      <c r="G75" s="55" t="s">
        <v>418</v>
      </c>
      <c r="H75" s="54" t="s">
        <v>304</v>
      </c>
    </row>
    <row r="76" customFormat="false" ht="15" hidden="false" customHeight="false" outlineLevel="0" collapsed="false">
      <c r="A76" s="42" t="s">
        <v>48</v>
      </c>
      <c r="B76" s="54" t="s">
        <v>50</v>
      </c>
      <c r="C76" s="42" t="s">
        <v>388</v>
      </c>
      <c r="D76" s="54" t="s">
        <v>448</v>
      </c>
      <c r="E76" s="26" t="str">
        <f aca="false">W6</f>
        <v>Unknown</v>
      </c>
      <c r="F76" s="26" t="str">
        <f aca="false">IF(W23="","",W23)</f>
        <v/>
      </c>
      <c r="G76" s="42" t="s">
        <v>140</v>
      </c>
      <c r="H76" s="54" t="s">
        <v>427</v>
      </c>
    </row>
    <row r="77" customFormat="false" ht="15" hidden="false" customHeight="false" outlineLevel="0" collapsed="false">
      <c r="A77" s="42" t="s">
        <v>48</v>
      </c>
      <c r="B77" s="54" t="s">
        <v>50</v>
      </c>
      <c r="C77" s="42" t="s">
        <v>389</v>
      </c>
      <c r="D77" s="54" t="s">
        <v>449</v>
      </c>
      <c r="E77" s="26" t="str">
        <f aca="false">X6</f>
        <v>Yes</v>
      </c>
      <c r="F77" s="26" t="str">
        <f aca="false">IF(X23="","",X23)</f>
        <v>B</v>
      </c>
      <c r="G77" s="55" t="s">
        <v>418</v>
      </c>
      <c r="H77" s="54" t="s">
        <v>450</v>
      </c>
    </row>
    <row r="78" customFormat="false" ht="15" hidden="false" customHeight="false" outlineLevel="0" collapsed="false">
      <c r="A78" s="42" t="s">
        <v>48</v>
      </c>
      <c r="B78" s="54" t="s">
        <v>50</v>
      </c>
      <c r="C78" s="42" t="s">
        <v>390</v>
      </c>
      <c r="D78" s="54" t="s">
        <v>451</v>
      </c>
      <c r="E78" s="26" t="str">
        <f aca="false">Y6</f>
        <v>Yes</v>
      </c>
      <c r="F78" s="26" t="str">
        <f aca="false">IF(Y23="","",Y23)</f>
        <v>C</v>
      </c>
      <c r="G78" s="55" t="s">
        <v>418</v>
      </c>
      <c r="H78" s="54" t="s">
        <v>452</v>
      </c>
    </row>
    <row r="79" customFormat="false" ht="15" hidden="false" customHeight="false" outlineLevel="0" collapsed="false">
      <c r="A79" s="42" t="s">
        <v>48</v>
      </c>
      <c r="B79" s="54" t="s">
        <v>50</v>
      </c>
      <c r="C79" s="42" t="s">
        <v>391</v>
      </c>
      <c r="D79" s="54" t="s">
        <v>453</v>
      </c>
      <c r="E79" s="26" t="str">
        <f aca="false">Z6</f>
        <v>Unknown</v>
      </c>
      <c r="F79" s="26" t="str">
        <f aca="false">IF(Z23="","",Z23)</f>
        <v/>
      </c>
      <c r="G79" s="42" t="s">
        <v>140</v>
      </c>
      <c r="H79" s="54" t="s">
        <v>427</v>
      </c>
    </row>
    <row r="80" customFormat="false" ht="15" hidden="false" customHeight="false" outlineLevel="0" collapsed="false">
      <c r="A80" s="42" t="s">
        <v>48</v>
      </c>
      <c r="B80" s="54" t="s">
        <v>50</v>
      </c>
      <c r="C80" s="42" t="s">
        <v>392</v>
      </c>
      <c r="D80" s="54" t="s">
        <v>454</v>
      </c>
      <c r="E80" s="26" t="str">
        <f aca="false">AA6</f>
        <v>Yes</v>
      </c>
      <c r="F80" s="26" t="str">
        <f aca="false">IF(AA23="","",AA23)</f>
        <v>B</v>
      </c>
      <c r="G80" s="55" t="s">
        <v>418</v>
      </c>
      <c r="H80" s="54" t="s">
        <v>305</v>
      </c>
    </row>
    <row r="81" customFormat="false" ht="15" hidden="false" customHeight="false" outlineLevel="0" collapsed="false">
      <c r="A81" s="42" t="s">
        <v>59</v>
      </c>
      <c r="B81" s="54" t="s">
        <v>60</v>
      </c>
      <c r="C81" s="42" t="s">
        <v>371</v>
      </c>
      <c r="D81" s="54" t="s">
        <v>417</v>
      </c>
      <c r="E81" s="26" t="str">
        <f aca="false">F7</f>
        <v>Unknown</v>
      </c>
      <c r="F81" s="26" t="str">
        <f aca="false">IF(F24="","",F24)</f>
        <v/>
      </c>
      <c r="G81" s="42" t="s">
        <v>140</v>
      </c>
      <c r="H81" s="54" t="s">
        <v>427</v>
      </c>
    </row>
    <row r="82" customFormat="false" ht="15" hidden="false" customHeight="false" outlineLevel="0" collapsed="false">
      <c r="A82" s="42" t="s">
        <v>59</v>
      </c>
      <c r="B82" s="54" t="s">
        <v>60</v>
      </c>
      <c r="C82" s="42" t="s">
        <v>372</v>
      </c>
      <c r="D82" s="54" t="s">
        <v>420</v>
      </c>
      <c r="E82" s="26" t="str">
        <f aca="false">G7</f>
        <v>Unknown</v>
      </c>
      <c r="F82" s="26" t="str">
        <f aca="false">IF(G24="","",G24)</f>
        <v/>
      </c>
      <c r="G82" s="42" t="s">
        <v>140</v>
      </c>
      <c r="H82" s="54" t="s">
        <v>427</v>
      </c>
    </row>
    <row r="83" customFormat="false" ht="15" hidden="false" customHeight="false" outlineLevel="0" collapsed="false">
      <c r="A83" s="42" t="s">
        <v>59</v>
      </c>
      <c r="B83" s="54" t="s">
        <v>60</v>
      </c>
      <c r="C83" s="42" t="s">
        <v>373</v>
      </c>
      <c r="D83" s="54" t="s">
        <v>422</v>
      </c>
      <c r="E83" s="26" t="str">
        <f aca="false">H7</f>
        <v>Unknown</v>
      </c>
      <c r="F83" s="26" t="str">
        <f aca="false">IF(H24="","",H24)</f>
        <v/>
      </c>
      <c r="G83" s="42" t="s">
        <v>140</v>
      </c>
      <c r="H83" s="54" t="s">
        <v>427</v>
      </c>
    </row>
    <row r="84" customFormat="false" ht="15" hidden="false" customHeight="false" outlineLevel="0" collapsed="false">
      <c r="A84" s="42" t="s">
        <v>59</v>
      </c>
      <c r="B84" s="54" t="s">
        <v>60</v>
      </c>
      <c r="C84" s="42" t="s">
        <v>374</v>
      </c>
      <c r="D84" s="54" t="s">
        <v>424</v>
      </c>
      <c r="E84" s="26" t="str">
        <f aca="false">I7</f>
        <v>Unknown</v>
      </c>
      <c r="F84" s="26" t="str">
        <f aca="false">IF(I24="","",I24)</f>
        <v/>
      </c>
      <c r="G84" s="42" t="s">
        <v>140</v>
      </c>
      <c r="H84" s="54" t="s">
        <v>427</v>
      </c>
    </row>
    <row r="85" customFormat="false" ht="15" hidden="false" customHeight="false" outlineLevel="0" collapsed="false">
      <c r="A85" s="42" t="s">
        <v>59</v>
      </c>
      <c r="B85" s="54" t="s">
        <v>60</v>
      </c>
      <c r="C85" s="42" t="s">
        <v>375</v>
      </c>
      <c r="D85" s="54" t="s">
        <v>426</v>
      </c>
      <c r="E85" s="26" t="str">
        <f aca="false">J7</f>
        <v>Unknown</v>
      </c>
      <c r="F85" s="26" t="str">
        <f aca="false">IF(J24="","",J24)</f>
        <v/>
      </c>
      <c r="G85" s="42" t="s">
        <v>140</v>
      </c>
      <c r="H85" s="54" t="s">
        <v>427</v>
      </c>
    </row>
    <row r="86" customFormat="false" ht="15" hidden="false" customHeight="false" outlineLevel="0" collapsed="false">
      <c r="A86" s="42" t="s">
        <v>59</v>
      </c>
      <c r="B86" s="54" t="s">
        <v>60</v>
      </c>
      <c r="C86" s="42" t="s">
        <v>376</v>
      </c>
      <c r="D86" s="54" t="s">
        <v>428</v>
      </c>
      <c r="E86" s="26" t="str">
        <f aca="false">K7</f>
        <v>Unknown</v>
      </c>
      <c r="F86" s="26" t="str">
        <f aca="false">IF(K24="","",K24)</f>
        <v/>
      </c>
      <c r="G86" s="42" t="s">
        <v>140</v>
      </c>
      <c r="H86" s="54" t="s">
        <v>427</v>
      </c>
    </row>
    <row r="87" customFormat="false" ht="15" hidden="false" customHeight="false" outlineLevel="0" collapsed="false">
      <c r="A87" s="42" t="s">
        <v>59</v>
      </c>
      <c r="B87" s="54" t="s">
        <v>60</v>
      </c>
      <c r="C87" s="42" t="s">
        <v>377</v>
      </c>
      <c r="D87" s="54" t="s">
        <v>430</v>
      </c>
      <c r="E87" s="26" t="str">
        <f aca="false">L7</f>
        <v>Unknown</v>
      </c>
      <c r="F87" s="26" t="str">
        <f aca="false">IF(L24="","",L24)</f>
        <v/>
      </c>
      <c r="G87" s="42" t="s">
        <v>140</v>
      </c>
      <c r="H87" s="54" t="s">
        <v>427</v>
      </c>
    </row>
    <row r="88" customFormat="false" ht="15" hidden="false" customHeight="false" outlineLevel="0" collapsed="false">
      <c r="A88" s="42" t="s">
        <v>59</v>
      </c>
      <c r="B88" s="54" t="s">
        <v>60</v>
      </c>
      <c r="C88" s="42" t="s">
        <v>378</v>
      </c>
      <c r="D88" s="54" t="s">
        <v>432</v>
      </c>
      <c r="E88" s="26" t="str">
        <f aca="false">M7</f>
        <v>Unknown</v>
      </c>
      <c r="F88" s="26" t="str">
        <f aca="false">IF(M24="","",M24)</f>
        <v/>
      </c>
      <c r="G88" s="42" t="s">
        <v>140</v>
      </c>
      <c r="H88" s="54" t="s">
        <v>427</v>
      </c>
    </row>
    <row r="89" customFormat="false" ht="15" hidden="false" customHeight="false" outlineLevel="0" collapsed="false">
      <c r="A89" s="42" t="s">
        <v>59</v>
      </c>
      <c r="B89" s="54" t="s">
        <v>60</v>
      </c>
      <c r="C89" s="42" t="s">
        <v>379</v>
      </c>
      <c r="D89" s="54" t="s">
        <v>434</v>
      </c>
      <c r="E89" s="26" t="str">
        <f aca="false">N7</f>
        <v>Unknown</v>
      </c>
      <c r="F89" s="26" t="str">
        <f aca="false">IF(N24="","",N24)</f>
        <v/>
      </c>
      <c r="G89" s="42" t="s">
        <v>140</v>
      </c>
      <c r="H89" s="54" t="s">
        <v>427</v>
      </c>
    </row>
    <row r="90" customFormat="false" ht="15" hidden="false" customHeight="false" outlineLevel="0" collapsed="false">
      <c r="A90" s="42" t="s">
        <v>59</v>
      </c>
      <c r="B90" s="54" t="s">
        <v>60</v>
      </c>
      <c r="C90" s="42" t="s">
        <v>380</v>
      </c>
      <c r="D90" s="54" t="s">
        <v>436</v>
      </c>
      <c r="E90" s="26" t="str">
        <f aca="false">O7</f>
        <v>Yes</v>
      </c>
      <c r="F90" s="26" t="str">
        <f aca="false">IF(O24="","",O24)</f>
        <v>C</v>
      </c>
      <c r="G90" s="55" t="s">
        <v>455</v>
      </c>
      <c r="H90" s="54" t="s">
        <v>456</v>
      </c>
    </row>
    <row r="91" customFormat="false" ht="15" hidden="false" customHeight="false" outlineLevel="0" collapsed="false">
      <c r="A91" s="42" t="s">
        <v>59</v>
      </c>
      <c r="B91" s="54" t="s">
        <v>60</v>
      </c>
      <c r="C91" s="42" t="s">
        <v>381</v>
      </c>
      <c r="D91" s="54" t="s">
        <v>437</v>
      </c>
      <c r="E91" s="26" t="str">
        <f aca="false">P7</f>
        <v>Unknown</v>
      </c>
      <c r="F91" s="26" t="str">
        <f aca="false">IF(P24="","",P24)</f>
        <v/>
      </c>
      <c r="G91" s="42" t="s">
        <v>140</v>
      </c>
      <c r="H91" s="54" t="s">
        <v>427</v>
      </c>
    </row>
    <row r="92" customFormat="false" ht="15" hidden="false" customHeight="false" outlineLevel="0" collapsed="false">
      <c r="A92" s="42" t="s">
        <v>59</v>
      </c>
      <c r="B92" s="54" t="s">
        <v>60</v>
      </c>
      <c r="C92" s="42" t="s">
        <v>382</v>
      </c>
      <c r="D92" s="54" t="s">
        <v>438</v>
      </c>
      <c r="E92" s="26" t="str">
        <f aca="false">Q7</f>
        <v>Unknown</v>
      </c>
      <c r="F92" s="26" t="str">
        <f aca="false">IF(Q24="","",Q24)</f>
        <v/>
      </c>
      <c r="G92" s="42" t="s">
        <v>140</v>
      </c>
      <c r="H92" s="54" t="s">
        <v>427</v>
      </c>
    </row>
    <row r="93" customFormat="false" ht="15" hidden="false" customHeight="false" outlineLevel="0" collapsed="false">
      <c r="A93" s="42" t="s">
        <v>59</v>
      </c>
      <c r="B93" s="54" t="s">
        <v>60</v>
      </c>
      <c r="C93" s="42" t="s">
        <v>383</v>
      </c>
      <c r="D93" s="54" t="s">
        <v>439</v>
      </c>
      <c r="E93" s="26" t="str">
        <f aca="false">R7</f>
        <v>Unknown</v>
      </c>
      <c r="F93" s="26" t="str">
        <f aca="false">IF(R24="","",R24)</f>
        <v/>
      </c>
      <c r="G93" s="42" t="s">
        <v>140</v>
      </c>
      <c r="H93" s="54" t="s">
        <v>427</v>
      </c>
    </row>
    <row r="94" customFormat="false" ht="15" hidden="false" customHeight="false" outlineLevel="0" collapsed="false">
      <c r="A94" s="42" t="s">
        <v>59</v>
      </c>
      <c r="B94" s="54" t="s">
        <v>60</v>
      </c>
      <c r="C94" s="42" t="s">
        <v>384</v>
      </c>
      <c r="D94" s="54" t="s">
        <v>441</v>
      </c>
      <c r="E94" s="26" t="str">
        <f aca="false">S7</f>
        <v>Unknown</v>
      </c>
      <c r="F94" s="26" t="str">
        <f aca="false">IF(S24="","",S24)</f>
        <v/>
      </c>
      <c r="G94" s="42" t="s">
        <v>140</v>
      </c>
      <c r="H94" s="54" t="s">
        <v>427</v>
      </c>
    </row>
    <row r="95" customFormat="false" ht="15" hidden="false" customHeight="false" outlineLevel="0" collapsed="false">
      <c r="A95" s="42" t="s">
        <v>59</v>
      </c>
      <c r="B95" s="54" t="s">
        <v>60</v>
      </c>
      <c r="C95" s="42" t="s">
        <v>385</v>
      </c>
      <c r="D95" s="54" t="s">
        <v>443</v>
      </c>
      <c r="E95" s="26" t="str">
        <f aca="false">T7</f>
        <v>Yes</v>
      </c>
      <c r="F95" s="26" t="str">
        <f aca="false">IF(T24="","",T24)</f>
        <v>C</v>
      </c>
      <c r="G95" s="55" t="s">
        <v>455</v>
      </c>
      <c r="H95" s="54" t="s">
        <v>456</v>
      </c>
    </row>
    <row r="96" customFormat="false" ht="15" hidden="false" customHeight="false" outlineLevel="0" collapsed="false">
      <c r="A96" s="42" t="s">
        <v>59</v>
      </c>
      <c r="B96" s="54" t="s">
        <v>60</v>
      </c>
      <c r="C96" s="42" t="s">
        <v>386</v>
      </c>
      <c r="D96" s="54" t="s">
        <v>445</v>
      </c>
      <c r="E96" s="26" t="str">
        <f aca="false">U7</f>
        <v>Conditional</v>
      </c>
      <c r="F96" s="26" t="str">
        <f aca="false">IF(U24="","",U24)</f>
        <v>C</v>
      </c>
      <c r="G96" s="55" t="s">
        <v>455</v>
      </c>
      <c r="H96" s="54" t="s">
        <v>457</v>
      </c>
    </row>
    <row r="97" customFormat="false" ht="15" hidden="false" customHeight="false" outlineLevel="0" collapsed="false">
      <c r="A97" s="42" t="s">
        <v>59</v>
      </c>
      <c r="B97" s="54" t="s">
        <v>60</v>
      </c>
      <c r="C97" s="42" t="s">
        <v>387</v>
      </c>
      <c r="D97" s="54" t="s">
        <v>447</v>
      </c>
      <c r="E97" s="26" t="str">
        <f aca="false">V7</f>
        <v>Unknown</v>
      </c>
      <c r="F97" s="26" t="str">
        <f aca="false">IF(V24="","",V24)</f>
        <v/>
      </c>
      <c r="G97" s="42" t="s">
        <v>140</v>
      </c>
      <c r="H97" s="54" t="s">
        <v>427</v>
      </c>
    </row>
    <row r="98" customFormat="false" ht="15" hidden="false" customHeight="false" outlineLevel="0" collapsed="false">
      <c r="A98" s="42" t="s">
        <v>59</v>
      </c>
      <c r="B98" s="54" t="s">
        <v>60</v>
      </c>
      <c r="C98" s="42" t="s">
        <v>388</v>
      </c>
      <c r="D98" s="54" t="s">
        <v>448</v>
      </c>
      <c r="E98" s="26" t="str">
        <f aca="false">W7</f>
        <v>Unknown</v>
      </c>
      <c r="F98" s="26" t="str">
        <f aca="false">IF(W24="","",W24)</f>
        <v/>
      </c>
      <c r="G98" s="42" t="s">
        <v>140</v>
      </c>
      <c r="H98" s="54" t="s">
        <v>427</v>
      </c>
    </row>
    <row r="99" customFormat="false" ht="15" hidden="false" customHeight="false" outlineLevel="0" collapsed="false">
      <c r="A99" s="42" t="s">
        <v>59</v>
      </c>
      <c r="B99" s="54" t="s">
        <v>60</v>
      </c>
      <c r="C99" s="42" t="s">
        <v>389</v>
      </c>
      <c r="D99" s="54" t="s">
        <v>449</v>
      </c>
      <c r="E99" s="26" t="str">
        <f aca="false">X7</f>
        <v>Unknown</v>
      </c>
      <c r="F99" s="26" t="str">
        <f aca="false">IF(X24="","",X24)</f>
        <v/>
      </c>
      <c r="G99" s="42" t="s">
        <v>140</v>
      </c>
      <c r="H99" s="54" t="s">
        <v>427</v>
      </c>
    </row>
    <row r="100" customFormat="false" ht="15" hidden="false" customHeight="false" outlineLevel="0" collapsed="false">
      <c r="A100" s="42" t="s">
        <v>59</v>
      </c>
      <c r="B100" s="54" t="s">
        <v>60</v>
      </c>
      <c r="C100" s="42" t="s">
        <v>390</v>
      </c>
      <c r="D100" s="54" t="s">
        <v>451</v>
      </c>
      <c r="E100" s="26" t="str">
        <f aca="false">Y7</f>
        <v>Unknown</v>
      </c>
      <c r="F100" s="26" t="str">
        <f aca="false">IF(Y24="","",Y24)</f>
        <v/>
      </c>
      <c r="G100" s="42" t="s">
        <v>140</v>
      </c>
      <c r="H100" s="54" t="s">
        <v>427</v>
      </c>
    </row>
    <row r="101" customFormat="false" ht="15" hidden="false" customHeight="false" outlineLevel="0" collapsed="false">
      <c r="A101" s="42" t="s">
        <v>59</v>
      </c>
      <c r="B101" s="54" t="s">
        <v>60</v>
      </c>
      <c r="C101" s="42" t="s">
        <v>391</v>
      </c>
      <c r="D101" s="54" t="s">
        <v>453</v>
      </c>
      <c r="E101" s="26" t="str">
        <f aca="false">Z7</f>
        <v>Unknown</v>
      </c>
      <c r="F101" s="26" t="str">
        <f aca="false">IF(Z24="","",Z24)</f>
        <v/>
      </c>
      <c r="G101" s="42" t="s">
        <v>140</v>
      </c>
      <c r="H101" s="54" t="s">
        <v>427</v>
      </c>
    </row>
    <row r="102" customFormat="false" ht="15" hidden="false" customHeight="false" outlineLevel="0" collapsed="false">
      <c r="A102" s="42" t="s">
        <v>59</v>
      </c>
      <c r="B102" s="54" t="s">
        <v>60</v>
      </c>
      <c r="C102" s="42" t="s">
        <v>392</v>
      </c>
      <c r="D102" s="54" t="s">
        <v>454</v>
      </c>
      <c r="E102" s="26" t="str">
        <f aca="false">AA7</f>
        <v>Unknown</v>
      </c>
      <c r="F102" s="26" t="str">
        <f aca="false">IF(AA24="","",AA24)</f>
        <v/>
      </c>
      <c r="G102" s="42" t="s">
        <v>140</v>
      </c>
      <c r="H102" s="54" t="s">
        <v>427</v>
      </c>
    </row>
    <row r="103" customFormat="false" ht="15" hidden="false" customHeight="false" outlineLevel="0" collapsed="false">
      <c r="A103" s="42" t="s">
        <v>65</v>
      </c>
      <c r="B103" s="54" t="s">
        <v>66</v>
      </c>
      <c r="C103" s="42" t="s">
        <v>371</v>
      </c>
      <c r="D103" s="54" t="s">
        <v>417</v>
      </c>
      <c r="E103" s="26" t="str">
        <f aca="false">F8</f>
        <v>Unknown</v>
      </c>
      <c r="F103" s="26" t="str">
        <f aca="false">IF(F25="","",F25)</f>
        <v/>
      </c>
      <c r="G103" s="42" t="s">
        <v>140</v>
      </c>
      <c r="H103" s="54" t="s">
        <v>427</v>
      </c>
    </row>
    <row r="104" customFormat="false" ht="15" hidden="false" customHeight="false" outlineLevel="0" collapsed="false">
      <c r="A104" s="42" t="s">
        <v>65</v>
      </c>
      <c r="B104" s="54" t="s">
        <v>66</v>
      </c>
      <c r="C104" s="42" t="s">
        <v>372</v>
      </c>
      <c r="D104" s="54" t="s">
        <v>420</v>
      </c>
      <c r="E104" s="26" t="str">
        <f aca="false">G8</f>
        <v>Unknown</v>
      </c>
      <c r="F104" s="26" t="str">
        <f aca="false">IF(G25="","",G25)</f>
        <v/>
      </c>
      <c r="G104" s="42" t="s">
        <v>140</v>
      </c>
      <c r="H104" s="54" t="s">
        <v>427</v>
      </c>
    </row>
    <row r="105" customFormat="false" ht="15" hidden="false" customHeight="false" outlineLevel="0" collapsed="false">
      <c r="A105" s="42" t="s">
        <v>65</v>
      </c>
      <c r="B105" s="54" t="s">
        <v>66</v>
      </c>
      <c r="C105" s="42" t="s">
        <v>373</v>
      </c>
      <c r="D105" s="54" t="s">
        <v>422</v>
      </c>
      <c r="E105" s="26" t="str">
        <f aca="false">H8</f>
        <v>Unknown</v>
      </c>
      <c r="F105" s="26" t="str">
        <f aca="false">IF(H25="","",H25)</f>
        <v/>
      </c>
      <c r="G105" s="42" t="s">
        <v>140</v>
      </c>
      <c r="H105" s="54" t="s">
        <v>427</v>
      </c>
    </row>
    <row r="106" customFormat="false" ht="15" hidden="false" customHeight="false" outlineLevel="0" collapsed="false">
      <c r="A106" s="42" t="s">
        <v>65</v>
      </c>
      <c r="B106" s="54" t="s">
        <v>66</v>
      </c>
      <c r="C106" s="42" t="s">
        <v>374</v>
      </c>
      <c r="D106" s="54" t="s">
        <v>424</v>
      </c>
      <c r="E106" s="26" t="str">
        <f aca="false">I8</f>
        <v>Unknown</v>
      </c>
      <c r="F106" s="26" t="str">
        <f aca="false">IF(I25="","",I25)</f>
        <v/>
      </c>
      <c r="G106" s="42" t="s">
        <v>140</v>
      </c>
      <c r="H106" s="54" t="s">
        <v>427</v>
      </c>
    </row>
    <row r="107" customFormat="false" ht="15" hidden="false" customHeight="false" outlineLevel="0" collapsed="false">
      <c r="A107" s="42" t="s">
        <v>65</v>
      </c>
      <c r="B107" s="54" t="s">
        <v>66</v>
      </c>
      <c r="C107" s="42" t="s">
        <v>375</v>
      </c>
      <c r="D107" s="54" t="s">
        <v>426</v>
      </c>
      <c r="E107" s="26" t="str">
        <f aca="false">J8</f>
        <v>Unknown</v>
      </c>
      <c r="F107" s="26" t="str">
        <f aca="false">IF(J25="","",J25)</f>
        <v/>
      </c>
      <c r="G107" s="42" t="s">
        <v>140</v>
      </c>
      <c r="H107" s="54" t="s">
        <v>427</v>
      </c>
    </row>
    <row r="108" customFormat="false" ht="15" hidden="false" customHeight="false" outlineLevel="0" collapsed="false">
      <c r="A108" s="42" t="s">
        <v>65</v>
      </c>
      <c r="B108" s="54" t="s">
        <v>66</v>
      </c>
      <c r="C108" s="42" t="s">
        <v>376</v>
      </c>
      <c r="D108" s="54" t="s">
        <v>428</v>
      </c>
      <c r="E108" s="26" t="str">
        <f aca="false">K8</f>
        <v>Unknown</v>
      </c>
      <c r="F108" s="26" t="str">
        <f aca="false">IF(K25="","",K25)</f>
        <v/>
      </c>
      <c r="G108" s="42" t="s">
        <v>140</v>
      </c>
      <c r="H108" s="54" t="s">
        <v>427</v>
      </c>
    </row>
    <row r="109" customFormat="false" ht="15" hidden="false" customHeight="false" outlineLevel="0" collapsed="false">
      <c r="A109" s="42" t="s">
        <v>65</v>
      </c>
      <c r="B109" s="54" t="s">
        <v>66</v>
      </c>
      <c r="C109" s="42" t="s">
        <v>377</v>
      </c>
      <c r="D109" s="54" t="s">
        <v>430</v>
      </c>
      <c r="E109" s="26" t="str">
        <f aca="false">L8</f>
        <v>Unknown</v>
      </c>
      <c r="F109" s="26" t="str">
        <f aca="false">IF(L25="","",L25)</f>
        <v/>
      </c>
      <c r="G109" s="42" t="s">
        <v>140</v>
      </c>
      <c r="H109" s="54" t="s">
        <v>427</v>
      </c>
    </row>
    <row r="110" customFormat="false" ht="15" hidden="false" customHeight="false" outlineLevel="0" collapsed="false">
      <c r="A110" s="42" t="s">
        <v>65</v>
      </c>
      <c r="B110" s="54" t="s">
        <v>66</v>
      </c>
      <c r="C110" s="42" t="s">
        <v>378</v>
      </c>
      <c r="D110" s="54" t="s">
        <v>432</v>
      </c>
      <c r="E110" s="26" t="str">
        <f aca="false">M8</f>
        <v>Unknown</v>
      </c>
      <c r="F110" s="26" t="str">
        <f aca="false">IF(M25="","",M25)</f>
        <v/>
      </c>
      <c r="G110" s="42" t="s">
        <v>140</v>
      </c>
      <c r="H110" s="54" t="s">
        <v>427</v>
      </c>
    </row>
    <row r="111" customFormat="false" ht="15" hidden="false" customHeight="false" outlineLevel="0" collapsed="false">
      <c r="A111" s="42" t="s">
        <v>65</v>
      </c>
      <c r="B111" s="54" t="s">
        <v>66</v>
      </c>
      <c r="C111" s="42" t="s">
        <v>379</v>
      </c>
      <c r="D111" s="54" t="s">
        <v>434</v>
      </c>
      <c r="E111" s="26" t="str">
        <f aca="false">N8</f>
        <v>Unknown</v>
      </c>
      <c r="F111" s="26" t="str">
        <f aca="false">IF(N25="","",N25)</f>
        <v/>
      </c>
      <c r="G111" s="42" t="s">
        <v>140</v>
      </c>
      <c r="H111" s="54" t="s">
        <v>427</v>
      </c>
    </row>
    <row r="112" customFormat="false" ht="15" hidden="false" customHeight="false" outlineLevel="0" collapsed="false">
      <c r="A112" s="42" t="s">
        <v>65</v>
      </c>
      <c r="B112" s="54" t="s">
        <v>66</v>
      </c>
      <c r="C112" s="42" t="s">
        <v>380</v>
      </c>
      <c r="D112" s="54" t="s">
        <v>436</v>
      </c>
      <c r="E112" s="26" t="str">
        <f aca="false">O8</f>
        <v>Yes</v>
      </c>
      <c r="F112" s="26" t="str">
        <f aca="false">IF(O25="","",O25)</f>
        <v>B</v>
      </c>
      <c r="G112" s="55" t="s">
        <v>458</v>
      </c>
      <c r="H112" s="54" t="s">
        <v>459</v>
      </c>
    </row>
    <row r="113" customFormat="false" ht="15" hidden="false" customHeight="false" outlineLevel="0" collapsed="false">
      <c r="A113" s="42" t="s">
        <v>65</v>
      </c>
      <c r="B113" s="54" t="s">
        <v>66</v>
      </c>
      <c r="C113" s="42" t="s">
        <v>381</v>
      </c>
      <c r="D113" s="54" t="s">
        <v>437</v>
      </c>
      <c r="E113" s="26" t="str">
        <f aca="false">P8</f>
        <v>Yes</v>
      </c>
      <c r="F113" s="26" t="str">
        <f aca="false">IF(P25="","",P25)</f>
        <v>B</v>
      </c>
      <c r="G113" s="55" t="s">
        <v>458</v>
      </c>
      <c r="H113" s="54" t="s">
        <v>460</v>
      </c>
    </row>
    <row r="114" customFormat="false" ht="15" hidden="false" customHeight="false" outlineLevel="0" collapsed="false">
      <c r="A114" s="42" t="s">
        <v>65</v>
      </c>
      <c r="B114" s="54" t="s">
        <v>66</v>
      </c>
      <c r="C114" s="42" t="s">
        <v>382</v>
      </c>
      <c r="D114" s="54" t="s">
        <v>438</v>
      </c>
      <c r="E114" s="26" t="str">
        <f aca="false">Q8</f>
        <v>Conditional</v>
      </c>
      <c r="F114" s="26" t="str">
        <f aca="false">IF(Q25="","",Q25)</f>
        <v>B</v>
      </c>
      <c r="G114" s="55" t="s">
        <v>458</v>
      </c>
      <c r="H114" s="54" t="s">
        <v>461</v>
      </c>
    </row>
    <row r="115" customFormat="false" ht="15" hidden="false" customHeight="false" outlineLevel="0" collapsed="false">
      <c r="A115" s="42" t="s">
        <v>65</v>
      </c>
      <c r="B115" s="54" t="s">
        <v>66</v>
      </c>
      <c r="C115" s="42" t="s">
        <v>383</v>
      </c>
      <c r="D115" s="54" t="s">
        <v>439</v>
      </c>
      <c r="E115" s="26" t="str">
        <f aca="false">R8</f>
        <v>Yes</v>
      </c>
      <c r="F115" s="26" t="str">
        <f aca="false">IF(R25="","",R25)</f>
        <v>B</v>
      </c>
      <c r="G115" s="55" t="s">
        <v>458</v>
      </c>
      <c r="H115" s="54" t="s">
        <v>462</v>
      </c>
    </row>
    <row r="116" customFormat="false" ht="15" hidden="false" customHeight="false" outlineLevel="0" collapsed="false">
      <c r="A116" s="42" t="s">
        <v>65</v>
      </c>
      <c r="B116" s="54" t="s">
        <v>66</v>
      </c>
      <c r="C116" s="42" t="s">
        <v>384</v>
      </c>
      <c r="D116" s="54" t="s">
        <v>441</v>
      </c>
      <c r="E116" s="26" t="str">
        <f aca="false">S8</f>
        <v>Unknown</v>
      </c>
      <c r="F116" s="26" t="str">
        <f aca="false">IF(S25="","",S25)</f>
        <v/>
      </c>
      <c r="G116" s="42" t="s">
        <v>140</v>
      </c>
      <c r="H116" s="54" t="s">
        <v>427</v>
      </c>
    </row>
    <row r="117" customFormat="false" ht="15" hidden="false" customHeight="false" outlineLevel="0" collapsed="false">
      <c r="A117" s="42" t="s">
        <v>65</v>
      </c>
      <c r="B117" s="54" t="s">
        <v>66</v>
      </c>
      <c r="C117" s="42" t="s">
        <v>385</v>
      </c>
      <c r="D117" s="54" t="s">
        <v>443</v>
      </c>
      <c r="E117" s="26" t="str">
        <f aca="false">T8</f>
        <v>Yes</v>
      </c>
      <c r="F117" s="26" t="str">
        <f aca="false">IF(T25="","",T25)</f>
        <v>B</v>
      </c>
      <c r="G117" s="55" t="s">
        <v>458</v>
      </c>
      <c r="H117" s="54" t="s">
        <v>312</v>
      </c>
    </row>
    <row r="118" customFormat="false" ht="15" hidden="false" customHeight="false" outlineLevel="0" collapsed="false">
      <c r="A118" s="42" t="s">
        <v>65</v>
      </c>
      <c r="B118" s="54" t="s">
        <v>66</v>
      </c>
      <c r="C118" s="42" t="s">
        <v>386</v>
      </c>
      <c r="D118" s="54" t="s">
        <v>445</v>
      </c>
      <c r="E118" s="26" t="str">
        <f aca="false">U8</f>
        <v>Yes</v>
      </c>
      <c r="F118" s="26" t="str">
        <f aca="false">IF(U25="","",U25)</f>
        <v>B</v>
      </c>
      <c r="G118" s="55" t="s">
        <v>458</v>
      </c>
      <c r="H118" s="54" t="s">
        <v>463</v>
      </c>
    </row>
    <row r="119" customFormat="false" ht="15" hidden="false" customHeight="false" outlineLevel="0" collapsed="false">
      <c r="A119" s="42" t="s">
        <v>65</v>
      </c>
      <c r="B119" s="54" t="s">
        <v>66</v>
      </c>
      <c r="C119" s="42" t="s">
        <v>387</v>
      </c>
      <c r="D119" s="54" t="s">
        <v>447</v>
      </c>
      <c r="E119" s="26" t="str">
        <f aca="false">V8</f>
        <v>Yes</v>
      </c>
      <c r="F119" s="26" t="str">
        <f aca="false">IF(V25="","",V25)</f>
        <v>B</v>
      </c>
      <c r="G119" s="55" t="s">
        <v>458</v>
      </c>
      <c r="H119" s="54" t="s">
        <v>304</v>
      </c>
    </row>
    <row r="120" customFormat="false" ht="15" hidden="false" customHeight="false" outlineLevel="0" collapsed="false">
      <c r="A120" s="42" t="s">
        <v>65</v>
      </c>
      <c r="B120" s="54" t="s">
        <v>66</v>
      </c>
      <c r="C120" s="42" t="s">
        <v>388</v>
      </c>
      <c r="D120" s="54" t="s">
        <v>448</v>
      </c>
      <c r="E120" s="26" t="str">
        <f aca="false">W8</f>
        <v>Unknown</v>
      </c>
      <c r="F120" s="26" t="str">
        <f aca="false">IF(W25="","",W25)</f>
        <v/>
      </c>
      <c r="G120" s="42" t="s">
        <v>140</v>
      </c>
      <c r="H120" s="54" t="s">
        <v>427</v>
      </c>
    </row>
    <row r="121" customFormat="false" ht="15" hidden="false" customHeight="false" outlineLevel="0" collapsed="false">
      <c r="A121" s="42" t="s">
        <v>65</v>
      </c>
      <c r="B121" s="54" t="s">
        <v>66</v>
      </c>
      <c r="C121" s="42" t="s">
        <v>389</v>
      </c>
      <c r="D121" s="54" t="s">
        <v>449</v>
      </c>
      <c r="E121" s="26" t="str">
        <f aca="false">X8</f>
        <v>Unknown</v>
      </c>
      <c r="F121" s="26" t="str">
        <f aca="false">IF(X25="","",X25)</f>
        <v/>
      </c>
      <c r="G121" s="42" t="s">
        <v>140</v>
      </c>
      <c r="H121" s="54" t="s">
        <v>427</v>
      </c>
    </row>
    <row r="122" customFormat="false" ht="15" hidden="false" customHeight="false" outlineLevel="0" collapsed="false">
      <c r="A122" s="42" t="s">
        <v>65</v>
      </c>
      <c r="B122" s="54" t="s">
        <v>66</v>
      </c>
      <c r="C122" s="42" t="s">
        <v>390</v>
      </c>
      <c r="D122" s="54" t="s">
        <v>451</v>
      </c>
      <c r="E122" s="26" t="str">
        <f aca="false">Y8</f>
        <v>Yes</v>
      </c>
      <c r="F122" s="26" t="str">
        <f aca="false">IF(Y25="","",Y25)</f>
        <v>C</v>
      </c>
      <c r="G122" s="55" t="s">
        <v>458</v>
      </c>
      <c r="H122" s="54" t="s">
        <v>451</v>
      </c>
    </row>
    <row r="123" customFormat="false" ht="15" hidden="false" customHeight="false" outlineLevel="0" collapsed="false">
      <c r="A123" s="42" t="s">
        <v>65</v>
      </c>
      <c r="B123" s="54" t="s">
        <v>66</v>
      </c>
      <c r="C123" s="42" t="s">
        <v>391</v>
      </c>
      <c r="D123" s="54" t="s">
        <v>453</v>
      </c>
      <c r="E123" s="26" t="str">
        <f aca="false">Z8</f>
        <v>Unknown</v>
      </c>
      <c r="F123" s="26" t="str">
        <f aca="false">IF(Z25="","",Z25)</f>
        <v/>
      </c>
      <c r="G123" s="42" t="s">
        <v>140</v>
      </c>
      <c r="H123" s="54" t="s">
        <v>427</v>
      </c>
    </row>
    <row r="124" customFormat="false" ht="15" hidden="false" customHeight="false" outlineLevel="0" collapsed="false">
      <c r="A124" s="42" t="s">
        <v>65</v>
      </c>
      <c r="B124" s="54" t="s">
        <v>66</v>
      </c>
      <c r="C124" s="42" t="s">
        <v>392</v>
      </c>
      <c r="D124" s="54" t="s">
        <v>454</v>
      </c>
      <c r="E124" s="26" t="str">
        <f aca="false">AA8</f>
        <v>Yes</v>
      </c>
      <c r="F124" s="26" t="str">
        <f aca="false">IF(AA25="","",AA25)</f>
        <v>B</v>
      </c>
      <c r="G124" s="55" t="s">
        <v>458</v>
      </c>
      <c r="H124" s="54" t="s">
        <v>316</v>
      </c>
    </row>
    <row r="125" customFormat="false" ht="15" hidden="false" customHeight="false" outlineLevel="0" collapsed="false">
      <c r="A125" s="42" t="s">
        <v>71</v>
      </c>
      <c r="B125" s="54" t="s">
        <v>72</v>
      </c>
      <c r="C125" s="42" t="s">
        <v>371</v>
      </c>
      <c r="D125" s="54" t="s">
        <v>417</v>
      </c>
      <c r="E125" s="26" t="str">
        <f aca="false">F9</f>
        <v>Yes</v>
      </c>
      <c r="F125" s="26" t="str">
        <f aca="false">IF(F26="","",F26)</f>
        <v>B</v>
      </c>
      <c r="G125" s="55" t="s">
        <v>464</v>
      </c>
      <c r="H125" s="54" t="s">
        <v>465</v>
      </c>
    </row>
    <row r="126" customFormat="false" ht="15" hidden="false" customHeight="false" outlineLevel="0" collapsed="false">
      <c r="A126" s="42" t="s">
        <v>71</v>
      </c>
      <c r="B126" s="54" t="s">
        <v>72</v>
      </c>
      <c r="C126" s="42" t="s">
        <v>372</v>
      </c>
      <c r="D126" s="54" t="s">
        <v>420</v>
      </c>
      <c r="E126" s="26" t="str">
        <f aca="false">G9</f>
        <v>Yes</v>
      </c>
      <c r="F126" s="26" t="str">
        <f aca="false">IF(G26="","",G26)</f>
        <v>B</v>
      </c>
      <c r="G126" s="55" t="s">
        <v>464</v>
      </c>
      <c r="H126" s="54"/>
    </row>
    <row r="127" customFormat="false" ht="15" hidden="false" customHeight="false" outlineLevel="0" collapsed="false">
      <c r="A127" s="42" t="s">
        <v>71</v>
      </c>
      <c r="B127" s="54" t="s">
        <v>72</v>
      </c>
      <c r="C127" s="42" t="s">
        <v>373</v>
      </c>
      <c r="D127" s="54" t="s">
        <v>422</v>
      </c>
      <c r="E127" s="26" t="str">
        <f aca="false">H9</f>
        <v>Yes</v>
      </c>
      <c r="F127" s="26" t="str">
        <f aca="false">IF(H26="","",H26)</f>
        <v>B</v>
      </c>
      <c r="G127" s="55" t="s">
        <v>464</v>
      </c>
      <c r="H127" s="54" t="s">
        <v>466</v>
      </c>
    </row>
    <row r="128" customFormat="false" ht="15" hidden="false" customHeight="false" outlineLevel="0" collapsed="false">
      <c r="A128" s="42" t="s">
        <v>71</v>
      </c>
      <c r="B128" s="54" t="s">
        <v>72</v>
      </c>
      <c r="C128" s="42" t="s">
        <v>374</v>
      </c>
      <c r="D128" s="54" t="s">
        <v>424</v>
      </c>
      <c r="E128" s="26" t="str">
        <f aca="false">I9</f>
        <v>Yes</v>
      </c>
      <c r="F128" s="26" t="str">
        <f aca="false">IF(I26="","",I26)</f>
        <v>B</v>
      </c>
      <c r="G128" s="55" t="s">
        <v>464</v>
      </c>
      <c r="H128" s="54"/>
    </row>
    <row r="129" customFormat="false" ht="15" hidden="false" customHeight="false" outlineLevel="0" collapsed="false">
      <c r="A129" s="42" t="s">
        <v>71</v>
      </c>
      <c r="B129" s="54" t="s">
        <v>72</v>
      </c>
      <c r="C129" s="42" t="s">
        <v>375</v>
      </c>
      <c r="D129" s="54" t="s">
        <v>426</v>
      </c>
      <c r="E129" s="26" t="str">
        <f aca="false">J9</f>
        <v>Conditional</v>
      </c>
      <c r="F129" s="26" t="str">
        <f aca="false">IF(J26="","",J26)</f>
        <v>B</v>
      </c>
      <c r="G129" s="55" t="s">
        <v>467</v>
      </c>
      <c r="H129" s="54" t="s">
        <v>468</v>
      </c>
    </row>
    <row r="130" customFormat="false" ht="15" hidden="false" customHeight="false" outlineLevel="0" collapsed="false">
      <c r="A130" s="42" t="s">
        <v>71</v>
      </c>
      <c r="B130" s="54" t="s">
        <v>72</v>
      </c>
      <c r="C130" s="42" t="s">
        <v>376</v>
      </c>
      <c r="D130" s="54" t="s">
        <v>428</v>
      </c>
      <c r="E130" s="26" t="str">
        <f aca="false">K9</f>
        <v>Yes</v>
      </c>
      <c r="F130" s="26" t="str">
        <f aca="false">IF(K26="","",K26)</f>
        <v>B</v>
      </c>
      <c r="G130" s="55" t="s">
        <v>467</v>
      </c>
      <c r="H130" s="54"/>
    </row>
    <row r="131" customFormat="false" ht="15" hidden="false" customHeight="false" outlineLevel="0" collapsed="false">
      <c r="A131" s="42" t="s">
        <v>71</v>
      </c>
      <c r="B131" s="54" t="s">
        <v>72</v>
      </c>
      <c r="C131" s="42" t="s">
        <v>377</v>
      </c>
      <c r="D131" s="54" t="s">
        <v>430</v>
      </c>
      <c r="E131" s="26" t="str">
        <f aca="false">L9</f>
        <v>Yes</v>
      </c>
      <c r="F131" s="26" t="str">
        <f aca="false">IF(L26="","",L26)</f>
        <v>B</v>
      </c>
      <c r="G131" s="55" t="s">
        <v>464</v>
      </c>
      <c r="H131" s="54" t="s">
        <v>469</v>
      </c>
    </row>
    <row r="132" customFormat="false" ht="15" hidden="false" customHeight="false" outlineLevel="0" collapsed="false">
      <c r="A132" s="42" t="s">
        <v>71</v>
      </c>
      <c r="B132" s="54" t="s">
        <v>72</v>
      </c>
      <c r="C132" s="42" t="s">
        <v>378</v>
      </c>
      <c r="D132" s="54" t="s">
        <v>432</v>
      </c>
      <c r="E132" s="26" t="str">
        <f aca="false">M9</f>
        <v>Yes</v>
      </c>
      <c r="F132" s="26" t="str">
        <f aca="false">IF(M26="","",M26)</f>
        <v>C</v>
      </c>
      <c r="G132" s="55" t="s">
        <v>464</v>
      </c>
      <c r="H132" s="54" t="s">
        <v>470</v>
      </c>
    </row>
    <row r="133" customFormat="false" ht="15" hidden="false" customHeight="false" outlineLevel="0" collapsed="false">
      <c r="A133" s="42" t="s">
        <v>71</v>
      </c>
      <c r="B133" s="54" t="s">
        <v>72</v>
      </c>
      <c r="C133" s="42" t="s">
        <v>379</v>
      </c>
      <c r="D133" s="54" t="s">
        <v>434</v>
      </c>
      <c r="E133" s="26" t="str">
        <f aca="false">N9</f>
        <v>Yes</v>
      </c>
      <c r="F133" s="26" t="str">
        <f aca="false">IF(N26="","",N26)</f>
        <v>B</v>
      </c>
      <c r="G133" s="55" t="s">
        <v>464</v>
      </c>
      <c r="H133" s="54"/>
    </row>
    <row r="134" customFormat="false" ht="15" hidden="false" customHeight="false" outlineLevel="0" collapsed="false">
      <c r="A134" s="42" t="s">
        <v>71</v>
      </c>
      <c r="B134" s="54" t="s">
        <v>72</v>
      </c>
      <c r="C134" s="42" t="s">
        <v>380</v>
      </c>
      <c r="D134" s="54" t="s">
        <v>436</v>
      </c>
      <c r="E134" s="26" t="str">
        <f aca="false">O9</f>
        <v>Unknown</v>
      </c>
      <c r="F134" s="26" t="str">
        <f aca="false">IF(O26="","",O26)</f>
        <v/>
      </c>
      <c r="G134" s="42" t="s">
        <v>140</v>
      </c>
      <c r="H134" s="54" t="s">
        <v>427</v>
      </c>
    </row>
    <row r="135" customFormat="false" ht="15" hidden="false" customHeight="false" outlineLevel="0" collapsed="false">
      <c r="A135" s="42" t="s">
        <v>71</v>
      </c>
      <c r="B135" s="54" t="s">
        <v>72</v>
      </c>
      <c r="C135" s="42" t="s">
        <v>381</v>
      </c>
      <c r="D135" s="54" t="s">
        <v>437</v>
      </c>
      <c r="E135" s="26" t="str">
        <f aca="false">P9</f>
        <v>Unknown</v>
      </c>
      <c r="F135" s="26" t="str">
        <f aca="false">IF(P26="","",P26)</f>
        <v/>
      </c>
      <c r="G135" s="42" t="s">
        <v>140</v>
      </c>
      <c r="H135" s="54" t="s">
        <v>427</v>
      </c>
    </row>
    <row r="136" customFormat="false" ht="15" hidden="false" customHeight="false" outlineLevel="0" collapsed="false">
      <c r="A136" s="42" t="s">
        <v>71</v>
      </c>
      <c r="B136" s="54" t="s">
        <v>72</v>
      </c>
      <c r="C136" s="42" t="s">
        <v>382</v>
      </c>
      <c r="D136" s="54" t="s">
        <v>438</v>
      </c>
      <c r="E136" s="26" t="str">
        <f aca="false">Q9</f>
        <v>Unknown</v>
      </c>
      <c r="F136" s="26" t="str">
        <f aca="false">IF(Q26="","",Q26)</f>
        <v/>
      </c>
      <c r="G136" s="42" t="s">
        <v>140</v>
      </c>
      <c r="H136" s="54" t="s">
        <v>427</v>
      </c>
    </row>
    <row r="137" customFormat="false" ht="15" hidden="false" customHeight="false" outlineLevel="0" collapsed="false">
      <c r="A137" s="42" t="s">
        <v>71</v>
      </c>
      <c r="B137" s="54" t="s">
        <v>72</v>
      </c>
      <c r="C137" s="42" t="s">
        <v>383</v>
      </c>
      <c r="D137" s="54" t="s">
        <v>439</v>
      </c>
      <c r="E137" s="26" t="str">
        <f aca="false">R9</f>
        <v>No</v>
      </c>
      <c r="F137" s="26" t="str">
        <f aca="false">IF(R26="","",R26)</f>
        <v>C</v>
      </c>
      <c r="G137" s="55" t="s">
        <v>464</v>
      </c>
      <c r="H137" s="54" t="s">
        <v>471</v>
      </c>
    </row>
    <row r="138" customFormat="false" ht="15" hidden="false" customHeight="false" outlineLevel="0" collapsed="false">
      <c r="A138" s="42" t="s">
        <v>71</v>
      </c>
      <c r="B138" s="54" t="s">
        <v>72</v>
      </c>
      <c r="C138" s="42" t="s">
        <v>384</v>
      </c>
      <c r="D138" s="54" t="s">
        <v>441</v>
      </c>
      <c r="E138" s="26" t="str">
        <f aca="false">S9</f>
        <v>No</v>
      </c>
      <c r="F138" s="26" t="str">
        <f aca="false">IF(S26="","",S26)</f>
        <v>C</v>
      </c>
      <c r="G138" s="55" t="s">
        <v>464</v>
      </c>
      <c r="H138" s="54" t="s">
        <v>472</v>
      </c>
    </row>
    <row r="139" customFormat="false" ht="15" hidden="false" customHeight="false" outlineLevel="0" collapsed="false">
      <c r="A139" s="42" t="s">
        <v>71</v>
      </c>
      <c r="B139" s="54" t="s">
        <v>72</v>
      </c>
      <c r="C139" s="42" t="s">
        <v>385</v>
      </c>
      <c r="D139" s="54" t="s">
        <v>443</v>
      </c>
      <c r="E139" s="26" t="str">
        <f aca="false">T9</f>
        <v>No</v>
      </c>
      <c r="F139" s="26" t="str">
        <f aca="false">IF(T26="","",T26)</f>
        <v>B</v>
      </c>
      <c r="G139" s="55" t="s">
        <v>464</v>
      </c>
      <c r="H139" s="54" t="s">
        <v>320</v>
      </c>
    </row>
    <row r="140" customFormat="false" ht="15" hidden="false" customHeight="false" outlineLevel="0" collapsed="false">
      <c r="A140" s="42" t="s">
        <v>71</v>
      </c>
      <c r="B140" s="54" t="s">
        <v>72</v>
      </c>
      <c r="C140" s="42" t="s">
        <v>386</v>
      </c>
      <c r="D140" s="54" t="s">
        <v>445</v>
      </c>
      <c r="E140" s="26" t="str">
        <f aca="false">U9</f>
        <v>No</v>
      </c>
      <c r="F140" s="26" t="str">
        <f aca="false">IF(U26="","",U26)</f>
        <v>B</v>
      </c>
      <c r="G140" s="55" t="s">
        <v>464</v>
      </c>
      <c r="H140" s="54" t="s">
        <v>329</v>
      </c>
    </row>
    <row r="141" customFormat="false" ht="15" hidden="false" customHeight="false" outlineLevel="0" collapsed="false">
      <c r="A141" s="42" t="s">
        <v>71</v>
      </c>
      <c r="B141" s="54" t="s">
        <v>72</v>
      </c>
      <c r="C141" s="42" t="s">
        <v>387</v>
      </c>
      <c r="D141" s="54" t="s">
        <v>447</v>
      </c>
      <c r="E141" s="26" t="str">
        <f aca="false">V9</f>
        <v>Yes</v>
      </c>
      <c r="F141" s="26" t="str">
        <f aca="false">IF(V26="","",V26)</f>
        <v>B</v>
      </c>
      <c r="G141" s="55" t="s">
        <v>464</v>
      </c>
      <c r="H141" s="54"/>
    </row>
    <row r="142" customFormat="false" ht="15" hidden="false" customHeight="false" outlineLevel="0" collapsed="false">
      <c r="A142" s="42" t="s">
        <v>71</v>
      </c>
      <c r="B142" s="54" t="s">
        <v>72</v>
      </c>
      <c r="C142" s="42" t="s">
        <v>388</v>
      </c>
      <c r="D142" s="54" t="s">
        <v>448</v>
      </c>
      <c r="E142" s="26" t="str">
        <f aca="false">W9</f>
        <v>Yes</v>
      </c>
      <c r="F142" s="26" t="str">
        <f aca="false">IF(W26="","",W26)</f>
        <v>B</v>
      </c>
      <c r="G142" s="55" t="s">
        <v>467</v>
      </c>
      <c r="H142" s="54"/>
    </row>
    <row r="143" customFormat="false" ht="15" hidden="false" customHeight="false" outlineLevel="0" collapsed="false">
      <c r="A143" s="42" t="s">
        <v>71</v>
      </c>
      <c r="B143" s="54" t="s">
        <v>72</v>
      </c>
      <c r="C143" s="42" t="s">
        <v>389</v>
      </c>
      <c r="D143" s="54" t="s">
        <v>449</v>
      </c>
      <c r="E143" s="26" t="str">
        <f aca="false">X9</f>
        <v>Yes</v>
      </c>
      <c r="F143" s="26" t="str">
        <f aca="false">IF(X26="","",X26)</f>
        <v>B</v>
      </c>
      <c r="G143" s="55" t="s">
        <v>467</v>
      </c>
      <c r="H143" s="54" t="s">
        <v>473</v>
      </c>
    </row>
    <row r="144" customFormat="false" ht="15" hidden="false" customHeight="false" outlineLevel="0" collapsed="false">
      <c r="A144" s="42" t="s">
        <v>71</v>
      </c>
      <c r="B144" s="54" t="s">
        <v>72</v>
      </c>
      <c r="C144" s="42" t="s">
        <v>390</v>
      </c>
      <c r="D144" s="54" t="s">
        <v>451</v>
      </c>
      <c r="E144" s="26" t="str">
        <f aca="false">Y9</f>
        <v>Yes</v>
      </c>
      <c r="F144" s="26" t="str">
        <f aca="false">IF(Y26="","",Y26)</f>
        <v>C</v>
      </c>
      <c r="G144" s="55" t="s">
        <v>464</v>
      </c>
      <c r="H144" s="54"/>
    </row>
    <row r="145" customFormat="false" ht="15" hidden="false" customHeight="false" outlineLevel="0" collapsed="false">
      <c r="A145" s="42" t="s">
        <v>71</v>
      </c>
      <c r="B145" s="54" t="s">
        <v>72</v>
      </c>
      <c r="C145" s="42" t="s">
        <v>391</v>
      </c>
      <c r="D145" s="54" t="s">
        <v>453</v>
      </c>
      <c r="E145" s="26" t="str">
        <f aca="false">Z9</f>
        <v>Unknown</v>
      </c>
      <c r="F145" s="26" t="str">
        <f aca="false">IF(Z26="","",Z26)</f>
        <v/>
      </c>
      <c r="G145" s="42" t="s">
        <v>140</v>
      </c>
      <c r="H145" s="54" t="s">
        <v>427</v>
      </c>
    </row>
    <row r="146" customFormat="false" ht="15" hidden="false" customHeight="false" outlineLevel="0" collapsed="false">
      <c r="A146" s="42" t="s">
        <v>71</v>
      </c>
      <c r="B146" s="54" t="s">
        <v>72</v>
      </c>
      <c r="C146" s="42" t="s">
        <v>392</v>
      </c>
      <c r="D146" s="54" t="s">
        <v>454</v>
      </c>
      <c r="E146" s="26" t="str">
        <f aca="false">AA9</f>
        <v>Yes</v>
      </c>
      <c r="F146" s="26" t="str">
        <f aca="false">IF(AA26="","",AA26)</f>
        <v>B</v>
      </c>
      <c r="G146" s="55" t="s">
        <v>464</v>
      </c>
      <c r="H146" s="54" t="s">
        <v>305</v>
      </c>
    </row>
    <row r="147" customFormat="false" ht="15" hidden="false" customHeight="false" outlineLevel="0" collapsed="false">
      <c r="A147" s="42" t="s">
        <v>80</v>
      </c>
      <c r="B147" s="54" t="s">
        <v>81</v>
      </c>
      <c r="C147" s="42" t="s">
        <v>371</v>
      </c>
      <c r="D147" s="54" t="s">
        <v>417</v>
      </c>
      <c r="E147" s="26" t="str">
        <f aca="false">F10</f>
        <v>Yes</v>
      </c>
      <c r="F147" s="26" t="str">
        <f aca="false">IF(F27="","",F27)</f>
        <v>B</v>
      </c>
      <c r="G147" s="55" t="s">
        <v>467</v>
      </c>
      <c r="H147" s="54" t="s">
        <v>330</v>
      </c>
    </row>
    <row r="148" customFormat="false" ht="15" hidden="false" customHeight="false" outlineLevel="0" collapsed="false">
      <c r="A148" s="42" t="s">
        <v>80</v>
      </c>
      <c r="B148" s="54" t="s">
        <v>81</v>
      </c>
      <c r="C148" s="42" t="s">
        <v>372</v>
      </c>
      <c r="D148" s="54" t="s">
        <v>420</v>
      </c>
      <c r="E148" s="26" t="str">
        <f aca="false">G10</f>
        <v>Yes</v>
      </c>
      <c r="F148" s="26" t="str">
        <f aca="false">IF(G27="","",G27)</f>
        <v>B</v>
      </c>
      <c r="G148" s="55" t="s">
        <v>474</v>
      </c>
      <c r="H148" s="54"/>
    </row>
    <row r="149" customFormat="false" ht="15" hidden="false" customHeight="false" outlineLevel="0" collapsed="false">
      <c r="A149" s="42" t="s">
        <v>80</v>
      </c>
      <c r="B149" s="54" t="s">
        <v>81</v>
      </c>
      <c r="C149" s="42" t="s">
        <v>373</v>
      </c>
      <c r="D149" s="54" t="s">
        <v>422</v>
      </c>
      <c r="E149" s="26" t="str">
        <f aca="false">H10</f>
        <v>Unknown</v>
      </c>
      <c r="F149" s="26" t="str">
        <f aca="false">IF(H27="","",H27)</f>
        <v>X</v>
      </c>
      <c r="G149" s="55" t="s">
        <v>475</v>
      </c>
      <c r="H149" s="54" t="s">
        <v>476</v>
      </c>
    </row>
    <row r="150" customFormat="false" ht="15" hidden="false" customHeight="false" outlineLevel="0" collapsed="false">
      <c r="A150" s="42" t="s">
        <v>80</v>
      </c>
      <c r="B150" s="54" t="s">
        <v>81</v>
      </c>
      <c r="C150" s="42" t="s">
        <v>374</v>
      </c>
      <c r="D150" s="54" t="s">
        <v>424</v>
      </c>
      <c r="E150" s="26" t="str">
        <f aca="false">I10</f>
        <v>Yes</v>
      </c>
      <c r="F150" s="26" t="str">
        <f aca="false">IF(I27="","",I27)</f>
        <v>B</v>
      </c>
      <c r="G150" s="55" t="s">
        <v>474</v>
      </c>
      <c r="H150" s="54"/>
    </row>
    <row r="151" customFormat="false" ht="15" hidden="false" customHeight="false" outlineLevel="0" collapsed="false">
      <c r="A151" s="42" t="s">
        <v>80</v>
      </c>
      <c r="B151" s="54" t="s">
        <v>81</v>
      </c>
      <c r="C151" s="42" t="s">
        <v>375</v>
      </c>
      <c r="D151" s="54" t="s">
        <v>426</v>
      </c>
      <c r="E151" s="26" t="str">
        <f aca="false">J10</f>
        <v>Conditional</v>
      </c>
      <c r="F151" s="26" t="str">
        <f aca="false">IF(J27="","",J27)</f>
        <v>B</v>
      </c>
      <c r="G151" s="55" t="s">
        <v>467</v>
      </c>
      <c r="H151" s="54" t="s">
        <v>468</v>
      </c>
    </row>
    <row r="152" customFormat="false" ht="15" hidden="false" customHeight="false" outlineLevel="0" collapsed="false">
      <c r="A152" s="42" t="s">
        <v>80</v>
      </c>
      <c r="B152" s="54" t="s">
        <v>81</v>
      </c>
      <c r="C152" s="42" t="s">
        <v>376</v>
      </c>
      <c r="D152" s="54" t="s">
        <v>428</v>
      </c>
      <c r="E152" s="26" t="str">
        <f aca="false">K10</f>
        <v>Yes</v>
      </c>
      <c r="F152" s="26" t="str">
        <f aca="false">IF(K27="","",K27)</f>
        <v>B</v>
      </c>
      <c r="G152" s="55" t="s">
        <v>467</v>
      </c>
      <c r="H152" s="54"/>
    </row>
    <row r="153" customFormat="false" ht="15" hidden="false" customHeight="false" outlineLevel="0" collapsed="false">
      <c r="A153" s="42" t="s">
        <v>80</v>
      </c>
      <c r="B153" s="54" t="s">
        <v>81</v>
      </c>
      <c r="C153" s="42" t="s">
        <v>377</v>
      </c>
      <c r="D153" s="54" t="s">
        <v>430</v>
      </c>
      <c r="E153" s="26" t="str">
        <f aca="false">L10</f>
        <v>Yes</v>
      </c>
      <c r="F153" s="26" t="str">
        <f aca="false">IF(L27="","",L27)</f>
        <v>B</v>
      </c>
      <c r="G153" s="55" t="s">
        <v>474</v>
      </c>
      <c r="H153" s="54"/>
    </row>
    <row r="154" customFormat="false" ht="15" hidden="false" customHeight="false" outlineLevel="0" collapsed="false">
      <c r="A154" s="42" t="s">
        <v>80</v>
      </c>
      <c r="B154" s="54" t="s">
        <v>81</v>
      </c>
      <c r="C154" s="42" t="s">
        <v>378</v>
      </c>
      <c r="D154" s="54" t="s">
        <v>432</v>
      </c>
      <c r="E154" s="26" t="str">
        <f aca="false">M10</f>
        <v>Yes</v>
      </c>
      <c r="F154" s="26" t="str">
        <f aca="false">IF(M27="","",M27)</f>
        <v>B</v>
      </c>
      <c r="G154" s="55" t="s">
        <v>474</v>
      </c>
      <c r="H154" s="54" t="s">
        <v>477</v>
      </c>
    </row>
    <row r="155" customFormat="false" ht="15" hidden="false" customHeight="false" outlineLevel="0" collapsed="false">
      <c r="A155" s="42" t="s">
        <v>80</v>
      </c>
      <c r="B155" s="54" t="s">
        <v>81</v>
      </c>
      <c r="C155" s="42" t="s">
        <v>379</v>
      </c>
      <c r="D155" s="54" t="s">
        <v>434</v>
      </c>
      <c r="E155" s="26" t="str">
        <f aca="false">N10</f>
        <v>Yes</v>
      </c>
      <c r="F155" s="26" t="str">
        <f aca="false">IF(N27="","",N27)</f>
        <v>B</v>
      </c>
      <c r="G155" s="55" t="s">
        <v>474</v>
      </c>
      <c r="H155" s="54"/>
    </row>
    <row r="156" customFormat="false" ht="15" hidden="false" customHeight="false" outlineLevel="0" collapsed="false">
      <c r="A156" s="42" t="s">
        <v>80</v>
      </c>
      <c r="B156" s="54" t="s">
        <v>81</v>
      </c>
      <c r="C156" s="42" t="s">
        <v>380</v>
      </c>
      <c r="D156" s="54" t="s">
        <v>436</v>
      </c>
      <c r="E156" s="26" t="str">
        <f aca="false">O10</f>
        <v>Unknown</v>
      </c>
      <c r="F156" s="26" t="str">
        <f aca="false">IF(O27="","",O27)</f>
        <v/>
      </c>
      <c r="G156" s="42" t="s">
        <v>140</v>
      </c>
      <c r="H156" s="54" t="s">
        <v>427</v>
      </c>
    </row>
    <row r="157" customFormat="false" ht="15" hidden="false" customHeight="false" outlineLevel="0" collapsed="false">
      <c r="A157" s="42" t="s">
        <v>80</v>
      </c>
      <c r="B157" s="54" t="s">
        <v>81</v>
      </c>
      <c r="C157" s="42" t="s">
        <v>381</v>
      </c>
      <c r="D157" s="54" t="s">
        <v>437</v>
      </c>
      <c r="E157" s="26" t="str">
        <f aca="false">P10</f>
        <v>Unknown</v>
      </c>
      <c r="F157" s="26" t="str">
        <f aca="false">IF(P27="","",P27)</f>
        <v/>
      </c>
      <c r="G157" s="42" t="s">
        <v>140</v>
      </c>
      <c r="H157" s="54" t="s">
        <v>427</v>
      </c>
    </row>
    <row r="158" customFormat="false" ht="15" hidden="false" customHeight="false" outlineLevel="0" collapsed="false">
      <c r="A158" s="42" t="s">
        <v>80</v>
      </c>
      <c r="B158" s="54" t="s">
        <v>81</v>
      </c>
      <c r="C158" s="42" t="s">
        <v>382</v>
      </c>
      <c r="D158" s="54" t="s">
        <v>438</v>
      </c>
      <c r="E158" s="26" t="str">
        <f aca="false">Q10</f>
        <v>Unknown</v>
      </c>
      <c r="F158" s="26" t="str">
        <f aca="false">IF(Q27="","",Q27)</f>
        <v/>
      </c>
      <c r="G158" s="42" t="s">
        <v>140</v>
      </c>
      <c r="H158" s="54" t="s">
        <v>427</v>
      </c>
    </row>
    <row r="159" customFormat="false" ht="15" hidden="false" customHeight="false" outlineLevel="0" collapsed="false">
      <c r="A159" s="42" t="s">
        <v>80</v>
      </c>
      <c r="B159" s="54" t="s">
        <v>81</v>
      </c>
      <c r="C159" s="42" t="s">
        <v>383</v>
      </c>
      <c r="D159" s="54" t="s">
        <v>439</v>
      </c>
      <c r="E159" s="26" t="str">
        <f aca="false">R10</f>
        <v>No</v>
      </c>
      <c r="F159" s="26" t="str">
        <f aca="false">IF(R27="","",R27)</f>
        <v>C</v>
      </c>
      <c r="G159" s="55" t="s">
        <v>474</v>
      </c>
      <c r="H159" s="54" t="s">
        <v>471</v>
      </c>
    </row>
    <row r="160" customFormat="false" ht="15" hidden="false" customHeight="false" outlineLevel="0" collapsed="false">
      <c r="A160" s="42" t="s">
        <v>80</v>
      </c>
      <c r="B160" s="54" t="s">
        <v>81</v>
      </c>
      <c r="C160" s="42" t="s">
        <v>384</v>
      </c>
      <c r="D160" s="54" t="s">
        <v>441</v>
      </c>
      <c r="E160" s="26" t="str">
        <f aca="false">S10</f>
        <v>No</v>
      </c>
      <c r="F160" s="26" t="str">
        <f aca="false">IF(S27="","",S27)</f>
        <v>C</v>
      </c>
      <c r="G160" s="55" t="s">
        <v>474</v>
      </c>
      <c r="H160" s="54" t="s">
        <v>472</v>
      </c>
    </row>
    <row r="161" customFormat="false" ht="15" hidden="false" customHeight="false" outlineLevel="0" collapsed="false">
      <c r="A161" s="42" t="s">
        <v>80</v>
      </c>
      <c r="B161" s="54" t="s">
        <v>81</v>
      </c>
      <c r="C161" s="42" t="s">
        <v>385</v>
      </c>
      <c r="D161" s="54" t="s">
        <v>443</v>
      </c>
      <c r="E161" s="26" t="str">
        <f aca="false">T10</f>
        <v>No</v>
      </c>
      <c r="F161" s="26" t="str">
        <f aca="false">IF(T27="","",T27)</f>
        <v>B</v>
      </c>
      <c r="G161" s="55" t="s">
        <v>474</v>
      </c>
      <c r="H161" s="54" t="s">
        <v>320</v>
      </c>
    </row>
    <row r="162" customFormat="false" ht="15" hidden="false" customHeight="false" outlineLevel="0" collapsed="false">
      <c r="A162" s="42" t="s">
        <v>80</v>
      </c>
      <c r="B162" s="54" t="s">
        <v>81</v>
      </c>
      <c r="C162" s="42" t="s">
        <v>386</v>
      </c>
      <c r="D162" s="54" t="s">
        <v>445</v>
      </c>
      <c r="E162" s="26" t="str">
        <f aca="false">U10</f>
        <v>No</v>
      </c>
      <c r="F162" s="26" t="str">
        <f aca="false">IF(U27="","",U27)</f>
        <v>B</v>
      </c>
      <c r="G162" s="55" t="s">
        <v>474</v>
      </c>
      <c r="H162" s="54" t="s">
        <v>329</v>
      </c>
    </row>
    <row r="163" customFormat="false" ht="15" hidden="false" customHeight="false" outlineLevel="0" collapsed="false">
      <c r="A163" s="42" t="s">
        <v>80</v>
      </c>
      <c r="B163" s="54" t="s">
        <v>81</v>
      </c>
      <c r="C163" s="42" t="s">
        <v>387</v>
      </c>
      <c r="D163" s="54" t="s">
        <v>447</v>
      </c>
      <c r="E163" s="26" t="str">
        <f aca="false">V10</f>
        <v>Yes</v>
      </c>
      <c r="F163" s="26" t="str">
        <f aca="false">IF(V27="","",V27)</f>
        <v>B</v>
      </c>
      <c r="G163" s="55" t="s">
        <v>474</v>
      </c>
      <c r="H163" s="54"/>
    </row>
    <row r="164" customFormat="false" ht="15" hidden="false" customHeight="false" outlineLevel="0" collapsed="false">
      <c r="A164" s="42" t="s">
        <v>80</v>
      </c>
      <c r="B164" s="54" t="s">
        <v>81</v>
      </c>
      <c r="C164" s="42" t="s">
        <v>388</v>
      </c>
      <c r="D164" s="54" t="s">
        <v>448</v>
      </c>
      <c r="E164" s="26" t="str">
        <f aca="false">W10</f>
        <v>Yes</v>
      </c>
      <c r="F164" s="26" t="str">
        <f aca="false">IF(W27="","",W27)</f>
        <v>B</v>
      </c>
      <c r="G164" s="55" t="s">
        <v>467</v>
      </c>
      <c r="H164" s="54"/>
    </row>
    <row r="165" customFormat="false" ht="15" hidden="false" customHeight="false" outlineLevel="0" collapsed="false">
      <c r="A165" s="42" t="s">
        <v>80</v>
      </c>
      <c r="B165" s="54" t="s">
        <v>81</v>
      </c>
      <c r="C165" s="42" t="s">
        <v>389</v>
      </c>
      <c r="D165" s="54" t="s">
        <v>449</v>
      </c>
      <c r="E165" s="26" t="str">
        <f aca="false">X10</f>
        <v>Yes</v>
      </c>
      <c r="F165" s="26" t="str">
        <f aca="false">IF(X27="","",X27)</f>
        <v>B</v>
      </c>
      <c r="G165" s="55" t="s">
        <v>467</v>
      </c>
      <c r="H165" s="54" t="s">
        <v>473</v>
      </c>
    </row>
    <row r="166" customFormat="false" ht="15" hidden="false" customHeight="false" outlineLevel="0" collapsed="false">
      <c r="A166" s="42" t="s">
        <v>80</v>
      </c>
      <c r="B166" s="54" t="s">
        <v>81</v>
      </c>
      <c r="C166" s="42" t="s">
        <v>390</v>
      </c>
      <c r="D166" s="54" t="s">
        <v>451</v>
      </c>
      <c r="E166" s="26" t="str">
        <f aca="false">Y10</f>
        <v>Yes</v>
      </c>
      <c r="F166" s="26" t="str">
        <f aca="false">IF(Y27="","",Y27)</f>
        <v>C</v>
      </c>
      <c r="G166" s="55" t="s">
        <v>474</v>
      </c>
      <c r="H166" s="54"/>
    </row>
    <row r="167" customFormat="false" ht="15" hidden="false" customHeight="false" outlineLevel="0" collapsed="false">
      <c r="A167" s="42" t="s">
        <v>80</v>
      </c>
      <c r="B167" s="54" t="s">
        <v>81</v>
      </c>
      <c r="C167" s="42" t="s">
        <v>391</v>
      </c>
      <c r="D167" s="54" t="s">
        <v>453</v>
      </c>
      <c r="E167" s="26" t="str">
        <f aca="false">Z10</f>
        <v>Unknown</v>
      </c>
      <c r="F167" s="26" t="str">
        <f aca="false">IF(Z27="","",Z27)</f>
        <v/>
      </c>
      <c r="G167" s="42" t="s">
        <v>140</v>
      </c>
      <c r="H167" s="54" t="s">
        <v>427</v>
      </c>
    </row>
    <row r="168" customFormat="false" ht="15" hidden="false" customHeight="false" outlineLevel="0" collapsed="false">
      <c r="A168" s="42" t="s">
        <v>80</v>
      </c>
      <c r="B168" s="54" t="s">
        <v>81</v>
      </c>
      <c r="C168" s="42" t="s">
        <v>392</v>
      </c>
      <c r="D168" s="54" t="s">
        <v>454</v>
      </c>
      <c r="E168" s="26" t="str">
        <f aca="false">AA10</f>
        <v>Yes</v>
      </c>
      <c r="F168" s="26" t="str">
        <f aca="false">IF(AA27="","",AA27)</f>
        <v>B</v>
      </c>
      <c r="G168" s="55" t="s">
        <v>474</v>
      </c>
      <c r="H168" s="54" t="s">
        <v>305</v>
      </c>
    </row>
    <row r="169" customFormat="false" ht="15" hidden="false" customHeight="false" outlineLevel="0" collapsed="false">
      <c r="A169" s="42" t="s">
        <v>86</v>
      </c>
      <c r="B169" s="54" t="s">
        <v>87</v>
      </c>
      <c r="C169" s="42" t="s">
        <v>371</v>
      </c>
      <c r="D169" s="54" t="s">
        <v>417</v>
      </c>
      <c r="E169" s="26" t="str">
        <f aca="false">F11</f>
        <v>Yes</v>
      </c>
      <c r="F169" s="26" t="str">
        <f aca="false">IF(F28="","",F28)</f>
        <v>B</v>
      </c>
      <c r="G169" s="55" t="s">
        <v>467</v>
      </c>
      <c r="H169" s="54" t="s">
        <v>478</v>
      </c>
    </row>
    <row r="170" customFormat="false" ht="15" hidden="false" customHeight="false" outlineLevel="0" collapsed="false">
      <c r="A170" s="42" t="s">
        <v>86</v>
      </c>
      <c r="B170" s="54" t="s">
        <v>87</v>
      </c>
      <c r="C170" s="42" t="s">
        <v>372</v>
      </c>
      <c r="D170" s="54" t="s">
        <v>420</v>
      </c>
      <c r="E170" s="26" t="str">
        <f aca="false">G11</f>
        <v>Unknown</v>
      </c>
      <c r="F170" s="26" t="str">
        <f aca="false">IF(G28="","",G28)</f>
        <v/>
      </c>
      <c r="G170" s="42" t="s">
        <v>140</v>
      </c>
      <c r="H170" s="54" t="s">
        <v>427</v>
      </c>
    </row>
    <row r="171" customFormat="false" ht="15" hidden="false" customHeight="false" outlineLevel="0" collapsed="false">
      <c r="A171" s="42" t="s">
        <v>86</v>
      </c>
      <c r="B171" s="54" t="s">
        <v>87</v>
      </c>
      <c r="C171" s="42" t="s">
        <v>373</v>
      </c>
      <c r="D171" s="54" t="s">
        <v>422</v>
      </c>
      <c r="E171" s="26" t="str">
        <f aca="false">H11</f>
        <v>Yes</v>
      </c>
      <c r="F171" s="26" t="str">
        <f aca="false">IF(H28="","",H28)</f>
        <v>B</v>
      </c>
      <c r="G171" s="55" t="s">
        <v>467</v>
      </c>
      <c r="H171" s="54" t="s">
        <v>479</v>
      </c>
    </row>
    <row r="172" customFormat="false" ht="15" hidden="false" customHeight="false" outlineLevel="0" collapsed="false">
      <c r="A172" s="42" t="s">
        <v>86</v>
      </c>
      <c r="B172" s="54" t="s">
        <v>87</v>
      </c>
      <c r="C172" s="42" t="s">
        <v>374</v>
      </c>
      <c r="D172" s="54" t="s">
        <v>424</v>
      </c>
      <c r="E172" s="26" t="str">
        <f aca="false">I11</f>
        <v>Yes</v>
      </c>
      <c r="F172" s="26" t="str">
        <f aca="false">IF(I28="","",I28)</f>
        <v>B</v>
      </c>
      <c r="G172" s="55" t="s">
        <v>467</v>
      </c>
      <c r="H172" s="54"/>
    </row>
    <row r="173" customFormat="false" ht="15" hidden="false" customHeight="false" outlineLevel="0" collapsed="false">
      <c r="A173" s="42" t="s">
        <v>86</v>
      </c>
      <c r="B173" s="54" t="s">
        <v>87</v>
      </c>
      <c r="C173" s="42" t="s">
        <v>375</v>
      </c>
      <c r="D173" s="54" t="s">
        <v>426</v>
      </c>
      <c r="E173" s="26" t="str">
        <f aca="false">J11</f>
        <v>Yes</v>
      </c>
      <c r="F173" s="26" t="str">
        <f aca="false">IF(J28="","",J28)</f>
        <v>B</v>
      </c>
      <c r="G173" s="55" t="s">
        <v>467</v>
      </c>
      <c r="H173" s="54" t="s">
        <v>480</v>
      </c>
    </row>
    <row r="174" customFormat="false" ht="15" hidden="false" customHeight="false" outlineLevel="0" collapsed="false">
      <c r="A174" s="42" t="s">
        <v>86</v>
      </c>
      <c r="B174" s="54" t="s">
        <v>87</v>
      </c>
      <c r="C174" s="42" t="s">
        <v>376</v>
      </c>
      <c r="D174" s="54" t="s">
        <v>428</v>
      </c>
      <c r="E174" s="26" t="str">
        <f aca="false">K11</f>
        <v>Unknown</v>
      </c>
      <c r="F174" s="26" t="str">
        <f aca="false">IF(K28="","",K28)</f>
        <v/>
      </c>
      <c r="G174" s="42" t="s">
        <v>140</v>
      </c>
      <c r="H174" s="54" t="s">
        <v>427</v>
      </c>
    </row>
    <row r="175" customFormat="false" ht="15" hidden="false" customHeight="false" outlineLevel="0" collapsed="false">
      <c r="A175" s="42" t="s">
        <v>86</v>
      </c>
      <c r="B175" s="54" t="s">
        <v>87</v>
      </c>
      <c r="C175" s="42" t="s">
        <v>377</v>
      </c>
      <c r="D175" s="54" t="s">
        <v>430</v>
      </c>
      <c r="E175" s="26" t="str">
        <f aca="false">L11</f>
        <v>Yes</v>
      </c>
      <c r="F175" s="26" t="str">
        <f aca="false">IF(L28="","",L28)</f>
        <v>C</v>
      </c>
      <c r="G175" s="55" t="s">
        <v>467</v>
      </c>
      <c r="H175" s="54" t="s">
        <v>481</v>
      </c>
    </row>
    <row r="176" customFormat="false" ht="15" hidden="false" customHeight="false" outlineLevel="0" collapsed="false">
      <c r="A176" s="42" t="s">
        <v>86</v>
      </c>
      <c r="B176" s="54" t="s">
        <v>87</v>
      </c>
      <c r="C176" s="42" t="s">
        <v>378</v>
      </c>
      <c r="D176" s="54" t="s">
        <v>432</v>
      </c>
      <c r="E176" s="26" t="str">
        <f aca="false">M11</f>
        <v>Yes</v>
      </c>
      <c r="F176" s="26" t="str">
        <f aca="false">IF(M28="","",M28)</f>
        <v>C</v>
      </c>
      <c r="G176" s="55" t="s">
        <v>467</v>
      </c>
      <c r="H176" s="54" t="s">
        <v>482</v>
      </c>
    </row>
    <row r="177" customFormat="false" ht="15" hidden="false" customHeight="false" outlineLevel="0" collapsed="false">
      <c r="A177" s="42" t="s">
        <v>86</v>
      </c>
      <c r="B177" s="54" t="s">
        <v>87</v>
      </c>
      <c r="C177" s="42" t="s">
        <v>379</v>
      </c>
      <c r="D177" s="54" t="s">
        <v>434</v>
      </c>
      <c r="E177" s="26" t="str">
        <f aca="false">N11</f>
        <v>Yes</v>
      </c>
      <c r="F177" s="26" t="str">
        <f aca="false">IF(N28="","",N28)</f>
        <v>B</v>
      </c>
      <c r="G177" s="55" t="s">
        <v>467</v>
      </c>
      <c r="H177" s="54" t="s">
        <v>483</v>
      </c>
    </row>
    <row r="178" customFormat="false" ht="15" hidden="false" customHeight="false" outlineLevel="0" collapsed="false">
      <c r="A178" s="42" t="s">
        <v>86</v>
      </c>
      <c r="B178" s="54" t="s">
        <v>87</v>
      </c>
      <c r="C178" s="42" t="s">
        <v>380</v>
      </c>
      <c r="D178" s="54" t="s">
        <v>436</v>
      </c>
      <c r="E178" s="26" t="str">
        <f aca="false">O11</f>
        <v>Unknown</v>
      </c>
      <c r="F178" s="26" t="str">
        <f aca="false">IF(O28="","",O28)</f>
        <v/>
      </c>
      <c r="G178" s="42" t="s">
        <v>140</v>
      </c>
      <c r="H178" s="54" t="s">
        <v>427</v>
      </c>
    </row>
    <row r="179" customFormat="false" ht="15" hidden="false" customHeight="false" outlineLevel="0" collapsed="false">
      <c r="A179" s="42" t="s">
        <v>86</v>
      </c>
      <c r="B179" s="54" t="s">
        <v>87</v>
      </c>
      <c r="C179" s="42" t="s">
        <v>381</v>
      </c>
      <c r="D179" s="54" t="s">
        <v>437</v>
      </c>
      <c r="E179" s="26" t="str">
        <f aca="false">P11</f>
        <v>Unknown</v>
      </c>
      <c r="F179" s="26" t="str">
        <f aca="false">IF(P28="","",P28)</f>
        <v/>
      </c>
      <c r="G179" s="42" t="s">
        <v>140</v>
      </c>
      <c r="H179" s="54" t="s">
        <v>427</v>
      </c>
    </row>
    <row r="180" customFormat="false" ht="15" hidden="false" customHeight="false" outlineLevel="0" collapsed="false">
      <c r="A180" s="42" t="s">
        <v>86</v>
      </c>
      <c r="B180" s="54" t="s">
        <v>87</v>
      </c>
      <c r="C180" s="42" t="s">
        <v>382</v>
      </c>
      <c r="D180" s="54" t="s">
        <v>438</v>
      </c>
      <c r="E180" s="26" t="str">
        <f aca="false">Q11</f>
        <v>Unknown</v>
      </c>
      <c r="F180" s="26" t="str">
        <f aca="false">IF(Q28="","",Q28)</f>
        <v/>
      </c>
      <c r="G180" s="42" t="s">
        <v>140</v>
      </c>
      <c r="H180" s="54" t="s">
        <v>427</v>
      </c>
    </row>
    <row r="181" customFormat="false" ht="15" hidden="false" customHeight="false" outlineLevel="0" collapsed="false">
      <c r="A181" s="42" t="s">
        <v>86</v>
      </c>
      <c r="B181" s="54" t="s">
        <v>87</v>
      </c>
      <c r="C181" s="42" t="s">
        <v>383</v>
      </c>
      <c r="D181" s="54" t="s">
        <v>439</v>
      </c>
      <c r="E181" s="26" t="str">
        <f aca="false">R11</f>
        <v>No</v>
      </c>
      <c r="F181" s="26" t="str">
        <f aca="false">IF(R28="","",R28)</f>
        <v>C</v>
      </c>
      <c r="G181" s="55" t="s">
        <v>484</v>
      </c>
      <c r="H181" s="54" t="s">
        <v>485</v>
      </c>
    </row>
    <row r="182" customFormat="false" ht="15" hidden="false" customHeight="false" outlineLevel="0" collapsed="false">
      <c r="A182" s="42" t="s">
        <v>86</v>
      </c>
      <c r="B182" s="54" t="s">
        <v>87</v>
      </c>
      <c r="C182" s="42" t="s">
        <v>384</v>
      </c>
      <c r="D182" s="54" t="s">
        <v>441</v>
      </c>
      <c r="E182" s="26" t="str">
        <f aca="false">S11</f>
        <v>No</v>
      </c>
      <c r="F182" s="26" t="str">
        <f aca="false">IF(S28="","",S28)</f>
        <v>C</v>
      </c>
      <c r="G182" s="55" t="s">
        <v>484</v>
      </c>
      <c r="H182" s="54" t="s">
        <v>472</v>
      </c>
    </row>
    <row r="183" customFormat="false" ht="15" hidden="false" customHeight="false" outlineLevel="0" collapsed="false">
      <c r="A183" s="42" t="s">
        <v>86</v>
      </c>
      <c r="B183" s="54" t="s">
        <v>87</v>
      </c>
      <c r="C183" s="42" t="s">
        <v>385</v>
      </c>
      <c r="D183" s="54" t="s">
        <v>443</v>
      </c>
      <c r="E183" s="26" t="str">
        <f aca="false">T11</f>
        <v>No</v>
      </c>
      <c r="F183" s="26" t="str">
        <f aca="false">IF(T28="","",T28)</f>
        <v>B</v>
      </c>
      <c r="G183" s="55" t="s">
        <v>484</v>
      </c>
      <c r="H183" s="54" t="s">
        <v>486</v>
      </c>
    </row>
    <row r="184" customFormat="false" ht="15" hidden="false" customHeight="false" outlineLevel="0" collapsed="false">
      <c r="A184" s="42" t="s">
        <v>86</v>
      </c>
      <c r="B184" s="54" t="s">
        <v>87</v>
      </c>
      <c r="C184" s="42" t="s">
        <v>386</v>
      </c>
      <c r="D184" s="54" t="s">
        <v>445</v>
      </c>
      <c r="E184" s="26" t="str">
        <f aca="false">U11</f>
        <v>No</v>
      </c>
      <c r="F184" s="26" t="str">
        <f aca="false">IF(U28="","",U28)</f>
        <v>B</v>
      </c>
      <c r="G184" s="55" t="s">
        <v>484</v>
      </c>
      <c r="H184" s="54" t="s">
        <v>329</v>
      </c>
    </row>
    <row r="185" customFormat="false" ht="15" hidden="false" customHeight="false" outlineLevel="0" collapsed="false">
      <c r="A185" s="42" t="s">
        <v>86</v>
      </c>
      <c r="B185" s="54" t="s">
        <v>87</v>
      </c>
      <c r="C185" s="42" t="s">
        <v>387</v>
      </c>
      <c r="D185" s="54" t="s">
        <v>447</v>
      </c>
      <c r="E185" s="26" t="str">
        <f aca="false">V11</f>
        <v>No</v>
      </c>
      <c r="F185" s="26" t="str">
        <f aca="false">IF(V28="","",V28)</f>
        <v>B</v>
      </c>
      <c r="G185" s="55" t="s">
        <v>467</v>
      </c>
      <c r="H185" s="54" t="s">
        <v>487</v>
      </c>
    </row>
    <row r="186" customFormat="false" ht="15" hidden="false" customHeight="false" outlineLevel="0" collapsed="false">
      <c r="A186" s="42" t="s">
        <v>86</v>
      </c>
      <c r="B186" s="54" t="s">
        <v>87</v>
      </c>
      <c r="C186" s="42" t="s">
        <v>388</v>
      </c>
      <c r="D186" s="54" t="s">
        <v>448</v>
      </c>
      <c r="E186" s="26" t="str">
        <f aca="false">W11</f>
        <v>Unknown</v>
      </c>
      <c r="F186" s="26" t="str">
        <f aca="false">IF(W28="","",W28)</f>
        <v/>
      </c>
      <c r="G186" s="42" t="s">
        <v>140</v>
      </c>
      <c r="H186" s="54" t="s">
        <v>427</v>
      </c>
    </row>
    <row r="187" customFormat="false" ht="15" hidden="false" customHeight="false" outlineLevel="0" collapsed="false">
      <c r="A187" s="42" t="s">
        <v>86</v>
      </c>
      <c r="B187" s="54" t="s">
        <v>87</v>
      </c>
      <c r="C187" s="42" t="s">
        <v>389</v>
      </c>
      <c r="D187" s="54" t="s">
        <v>449</v>
      </c>
      <c r="E187" s="26" t="str">
        <f aca="false">X11</f>
        <v>Unknown</v>
      </c>
      <c r="F187" s="26" t="str">
        <f aca="false">IF(X28="","",X28)</f>
        <v/>
      </c>
      <c r="G187" s="42" t="s">
        <v>140</v>
      </c>
      <c r="H187" s="54" t="s">
        <v>427</v>
      </c>
    </row>
    <row r="188" customFormat="false" ht="15" hidden="false" customHeight="false" outlineLevel="0" collapsed="false">
      <c r="A188" s="42" t="s">
        <v>86</v>
      </c>
      <c r="B188" s="54" t="s">
        <v>87</v>
      </c>
      <c r="C188" s="42" t="s">
        <v>390</v>
      </c>
      <c r="D188" s="54" t="s">
        <v>451</v>
      </c>
      <c r="E188" s="26" t="str">
        <f aca="false">Y11</f>
        <v>Yes</v>
      </c>
      <c r="F188" s="26" t="str">
        <f aca="false">IF(Y28="","",Y28)</f>
        <v>C</v>
      </c>
      <c r="G188" s="55" t="s">
        <v>467</v>
      </c>
      <c r="H188" s="54"/>
    </row>
    <row r="189" customFormat="false" ht="15" hidden="false" customHeight="false" outlineLevel="0" collapsed="false">
      <c r="A189" s="42" t="s">
        <v>86</v>
      </c>
      <c r="B189" s="54" t="s">
        <v>87</v>
      </c>
      <c r="C189" s="42" t="s">
        <v>391</v>
      </c>
      <c r="D189" s="54" t="s">
        <v>453</v>
      </c>
      <c r="E189" s="26" t="str">
        <f aca="false">Z11</f>
        <v>Unknown</v>
      </c>
      <c r="F189" s="26" t="str">
        <f aca="false">IF(Z28="","",Z28)</f>
        <v/>
      </c>
      <c r="G189" s="42" t="s">
        <v>140</v>
      </c>
      <c r="H189" s="54" t="s">
        <v>427</v>
      </c>
    </row>
    <row r="190" customFormat="false" ht="15" hidden="false" customHeight="false" outlineLevel="0" collapsed="false">
      <c r="A190" s="42" t="s">
        <v>86</v>
      </c>
      <c r="B190" s="54" t="s">
        <v>87</v>
      </c>
      <c r="C190" s="42" t="s">
        <v>392</v>
      </c>
      <c r="D190" s="54" t="s">
        <v>454</v>
      </c>
      <c r="E190" s="26" t="str">
        <f aca="false">AA11</f>
        <v>No</v>
      </c>
      <c r="F190" s="26" t="str">
        <f aca="false">IF(AA28="","",AA28)</f>
        <v>B</v>
      </c>
      <c r="G190" s="55" t="s">
        <v>484</v>
      </c>
      <c r="H190" s="54" t="s">
        <v>488</v>
      </c>
    </row>
    <row r="191" customFormat="false" ht="15" hidden="false" customHeight="false" outlineLevel="0" collapsed="false">
      <c r="A191" s="42" t="s">
        <v>93</v>
      </c>
      <c r="B191" s="54" t="s">
        <v>94</v>
      </c>
      <c r="C191" s="42" t="s">
        <v>371</v>
      </c>
      <c r="D191" s="54" t="s">
        <v>417</v>
      </c>
      <c r="E191" s="26" t="str">
        <f aca="false">F12</f>
        <v>Yes</v>
      </c>
      <c r="F191" s="26" t="str">
        <f aca="false">IF(F29="","",F29)</f>
        <v>B</v>
      </c>
      <c r="G191" s="55" t="s">
        <v>489</v>
      </c>
      <c r="H191" s="54" t="s">
        <v>490</v>
      </c>
    </row>
    <row r="192" customFormat="false" ht="15" hidden="false" customHeight="false" outlineLevel="0" collapsed="false">
      <c r="A192" s="42" t="s">
        <v>93</v>
      </c>
      <c r="B192" s="54" t="s">
        <v>94</v>
      </c>
      <c r="C192" s="42" t="s">
        <v>372</v>
      </c>
      <c r="D192" s="54" t="s">
        <v>420</v>
      </c>
      <c r="E192" s="26" t="str">
        <f aca="false">G12</f>
        <v>Unknown</v>
      </c>
      <c r="F192" s="26" t="str">
        <f aca="false">IF(G29="","",G29)</f>
        <v/>
      </c>
      <c r="G192" s="42" t="s">
        <v>140</v>
      </c>
      <c r="H192" s="54" t="s">
        <v>427</v>
      </c>
    </row>
    <row r="193" customFormat="false" ht="15" hidden="false" customHeight="false" outlineLevel="0" collapsed="false">
      <c r="A193" s="42" t="s">
        <v>93</v>
      </c>
      <c r="B193" s="54" t="s">
        <v>94</v>
      </c>
      <c r="C193" s="42" t="s">
        <v>373</v>
      </c>
      <c r="D193" s="54" t="s">
        <v>422</v>
      </c>
      <c r="E193" s="26" t="str">
        <f aca="false">H12</f>
        <v>Unknown</v>
      </c>
      <c r="F193" s="26" t="str">
        <f aca="false">IF(H29="","",H29)</f>
        <v/>
      </c>
      <c r="G193" s="42" t="s">
        <v>140</v>
      </c>
      <c r="H193" s="54" t="s">
        <v>427</v>
      </c>
    </row>
    <row r="194" customFormat="false" ht="15" hidden="false" customHeight="false" outlineLevel="0" collapsed="false">
      <c r="A194" s="42" t="s">
        <v>93</v>
      </c>
      <c r="B194" s="54" t="s">
        <v>94</v>
      </c>
      <c r="C194" s="42" t="s">
        <v>374</v>
      </c>
      <c r="D194" s="54" t="s">
        <v>424</v>
      </c>
      <c r="E194" s="26" t="str">
        <f aca="false">I12</f>
        <v>Yes</v>
      </c>
      <c r="F194" s="26" t="str">
        <f aca="false">IF(I29="","",I29)</f>
        <v>B</v>
      </c>
      <c r="G194" s="55" t="s">
        <v>489</v>
      </c>
      <c r="H194" s="54" t="s">
        <v>491</v>
      </c>
    </row>
    <row r="195" customFormat="false" ht="15" hidden="false" customHeight="false" outlineLevel="0" collapsed="false">
      <c r="A195" s="42" t="s">
        <v>93</v>
      </c>
      <c r="B195" s="54" t="s">
        <v>94</v>
      </c>
      <c r="C195" s="42" t="s">
        <v>375</v>
      </c>
      <c r="D195" s="54" t="s">
        <v>426</v>
      </c>
      <c r="E195" s="26" t="str">
        <f aca="false">J12</f>
        <v>Yes</v>
      </c>
      <c r="F195" s="26" t="str">
        <f aca="false">IF(J29="","",J29)</f>
        <v>B</v>
      </c>
      <c r="G195" s="55" t="s">
        <v>489</v>
      </c>
      <c r="H195" s="54" t="s">
        <v>492</v>
      </c>
    </row>
    <row r="196" customFormat="false" ht="15" hidden="false" customHeight="false" outlineLevel="0" collapsed="false">
      <c r="A196" s="42" t="s">
        <v>93</v>
      </c>
      <c r="B196" s="54" t="s">
        <v>94</v>
      </c>
      <c r="C196" s="42" t="s">
        <v>376</v>
      </c>
      <c r="D196" s="54" t="s">
        <v>428</v>
      </c>
      <c r="E196" s="26" t="str">
        <f aca="false">K12</f>
        <v>Unknown</v>
      </c>
      <c r="F196" s="26" t="str">
        <f aca="false">IF(K29="","",K29)</f>
        <v/>
      </c>
      <c r="G196" s="42" t="s">
        <v>140</v>
      </c>
      <c r="H196" s="54" t="s">
        <v>427</v>
      </c>
    </row>
    <row r="197" customFormat="false" ht="15" hidden="false" customHeight="false" outlineLevel="0" collapsed="false">
      <c r="A197" s="42" t="s">
        <v>93</v>
      </c>
      <c r="B197" s="54" t="s">
        <v>94</v>
      </c>
      <c r="C197" s="42" t="s">
        <v>377</v>
      </c>
      <c r="D197" s="54" t="s">
        <v>430</v>
      </c>
      <c r="E197" s="26" t="str">
        <f aca="false">L12</f>
        <v>Yes</v>
      </c>
      <c r="F197" s="26" t="str">
        <f aca="false">IF(L29="","",L29)</f>
        <v>B</v>
      </c>
      <c r="G197" s="55" t="s">
        <v>489</v>
      </c>
      <c r="H197" s="54"/>
    </row>
    <row r="198" customFormat="false" ht="15" hidden="false" customHeight="false" outlineLevel="0" collapsed="false">
      <c r="A198" s="42" t="s">
        <v>93</v>
      </c>
      <c r="B198" s="54" t="s">
        <v>94</v>
      </c>
      <c r="C198" s="42" t="s">
        <v>378</v>
      </c>
      <c r="D198" s="54" t="s">
        <v>432</v>
      </c>
      <c r="E198" s="26" t="str">
        <f aca="false">M12</f>
        <v>Yes</v>
      </c>
      <c r="F198" s="26" t="str">
        <f aca="false">IF(M29="","",M29)</f>
        <v>C</v>
      </c>
      <c r="G198" s="55" t="s">
        <v>467</v>
      </c>
      <c r="H198" s="54" t="s">
        <v>482</v>
      </c>
    </row>
    <row r="199" customFormat="false" ht="15" hidden="false" customHeight="false" outlineLevel="0" collapsed="false">
      <c r="A199" s="42" t="s">
        <v>93</v>
      </c>
      <c r="B199" s="54" t="s">
        <v>94</v>
      </c>
      <c r="C199" s="42" t="s">
        <v>379</v>
      </c>
      <c r="D199" s="54" t="s">
        <v>434</v>
      </c>
      <c r="E199" s="26" t="str">
        <f aca="false">N12</f>
        <v>Unknown</v>
      </c>
      <c r="F199" s="26" t="str">
        <f aca="false">IF(N29="","",N29)</f>
        <v/>
      </c>
      <c r="G199" s="42" t="s">
        <v>140</v>
      </c>
      <c r="H199" s="54" t="s">
        <v>427</v>
      </c>
    </row>
    <row r="200" customFormat="false" ht="15" hidden="false" customHeight="false" outlineLevel="0" collapsed="false">
      <c r="A200" s="42" t="s">
        <v>93</v>
      </c>
      <c r="B200" s="54" t="s">
        <v>94</v>
      </c>
      <c r="C200" s="42" t="s">
        <v>380</v>
      </c>
      <c r="D200" s="54" t="s">
        <v>436</v>
      </c>
      <c r="E200" s="26" t="str">
        <f aca="false">O12</f>
        <v>Yes</v>
      </c>
      <c r="F200" s="26" t="str">
        <f aca="false">IF(O29="","",O29)</f>
        <v>C</v>
      </c>
      <c r="G200" s="55" t="s">
        <v>489</v>
      </c>
      <c r="H200" s="54" t="s">
        <v>493</v>
      </c>
    </row>
    <row r="201" customFormat="false" ht="15" hidden="false" customHeight="false" outlineLevel="0" collapsed="false">
      <c r="A201" s="42" t="s">
        <v>93</v>
      </c>
      <c r="B201" s="54" t="s">
        <v>94</v>
      </c>
      <c r="C201" s="42" t="s">
        <v>381</v>
      </c>
      <c r="D201" s="54" t="s">
        <v>437</v>
      </c>
      <c r="E201" s="26" t="str">
        <f aca="false">P12</f>
        <v>Yes</v>
      </c>
      <c r="F201" s="26" t="str">
        <f aca="false">IF(P29="","",P29)</f>
        <v>B</v>
      </c>
      <c r="G201" s="55" t="s">
        <v>489</v>
      </c>
      <c r="H201" s="54"/>
    </row>
    <row r="202" customFormat="false" ht="15" hidden="false" customHeight="false" outlineLevel="0" collapsed="false">
      <c r="A202" s="42" t="s">
        <v>93</v>
      </c>
      <c r="B202" s="54" t="s">
        <v>94</v>
      </c>
      <c r="C202" s="42" t="s">
        <v>382</v>
      </c>
      <c r="D202" s="54" t="s">
        <v>438</v>
      </c>
      <c r="E202" s="26" t="str">
        <f aca="false">Q12</f>
        <v>Yes</v>
      </c>
      <c r="F202" s="26" t="str">
        <f aca="false">IF(Q29="","",Q29)</f>
        <v>B</v>
      </c>
      <c r="G202" s="55" t="s">
        <v>489</v>
      </c>
      <c r="H202" s="54" t="s">
        <v>494</v>
      </c>
    </row>
    <row r="203" customFormat="false" ht="15" hidden="false" customHeight="false" outlineLevel="0" collapsed="false">
      <c r="A203" s="42" t="s">
        <v>93</v>
      </c>
      <c r="B203" s="54" t="s">
        <v>94</v>
      </c>
      <c r="C203" s="42" t="s">
        <v>383</v>
      </c>
      <c r="D203" s="54" t="s">
        <v>439</v>
      </c>
      <c r="E203" s="26" t="str">
        <f aca="false">R12</f>
        <v>Yes</v>
      </c>
      <c r="F203" s="26" t="str">
        <f aca="false">IF(R29="","",R29)</f>
        <v>B</v>
      </c>
      <c r="G203" s="55" t="s">
        <v>489</v>
      </c>
      <c r="H203" s="54" t="s">
        <v>495</v>
      </c>
    </row>
    <row r="204" customFormat="false" ht="15" hidden="false" customHeight="false" outlineLevel="0" collapsed="false">
      <c r="A204" s="42" t="s">
        <v>93</v>
      </c>
      <c r="B204" s="54" t="s">
        <v>94</v>
      </c>
      <c r="C204" s="42" t="s">
        <v>384</v>
      </c>
      <c r="D204" s="54" t="s">
        <v>441</v>
      </c>
      <c r="E204" s="26" t="str">
        <f aca="false">S12</f>
        <v>Unknown</v>
      </c>
      <c r="F204" s="26" t="str">
        <f aca="false">IF(S29="","",S29)</f>
        <v/>
      </c>
      <c r="G204" s="42" t="s">
        <v>140</v>
      </c>
      <c r="H204" s="54" t="s">
        <v>427</v>
      </c>
    </row>
    <row r="205" customFormat="false" ht="15" hidden="false" customHeight="false" outlineLevel="0" collapsed="false">
      <c r="A205" s="42" t="s">
        <v>93</v>
      </c>
      <c r="B205" s="54" t="s">
        <v>94</v>
      </c>
      <c r="C205" s="42" t="s">
        <v>385</v>
      </c>
      <c r="D205" s="54" t="s">
        <v>443</v>
      </c>
      <c r="E205" s="26" t="str">
        <f aca="false">T12</f>
        <v>Yes</v>
      </c>
      <c r="F205" s="26" t="str">
        <f aca="false">IF(T29="","",T29)</f>
        <v>B</v>
      </c>
      <c r="G205" s="55" t="s">
        <v>489</v>
      </c>
      <c r="H205" s="54" t="s">
        <v>496</v>
      </c>
    </row>
    <row r="206" customFormat="false" ht="15" hidden="false" customHeight="false" outlineLevel="0" collapsed="false">
      <c r="A206" s="42" t="s">
        <v>93</v>
      </c>
      <c r="B206" s="54" t="s">
        <v>94</v>
      </c>
      <c r="C206" s="42" t="s">
        <v>386</v>
      </c>
      <c r="D206" s="54" t="s">
        <v>445</v>
      </c>
      <c r="E206" s="26" t="str">
        <f aca="false">U12</f>
        <v>Yes</v>
      </c>
      <c r="F206" s="26" t="str">
        <f aca="false">IF(U29="","",U29)</f>
        <v>B</v>
      </c>
      <c r="G206" s="55" t="s">
        <v>489</v>
      </c>
      <c r="H206" s="54"/>
    </row>
    <row r="207" customFormat="false" ht="15" hidden="false" customHeight="false" outlineLevel="0" collapsed="false">
      <c r="A207" s="42" t="s">
        <v>93</v>
      </c>
      <c r="B207" s="54" t="s">
        <v>94</v>
      </c>
      <c r="C207" s="42" t="s">
        <v>387</v>
      </c>
      <c r="D207" s="54" t="s">
        <v>447</v>
      </c>
      <c r="E207" s="26" t="str">
        <f aca="false">V12</f>
        <v>No</v>
      </c>
      <c r="F207" s="26" t="str">
        <f aca="false">IF(V29="","",V29)</f>
        <v>B</v>
      </c>
      <c r="G207" s="55" t="s">
        <v>489</v>
      </c>
      <c r="H207" s="54" t="s">
        <v>497</v>
      </c>
    </row>
    <row r="208" customFormat="false" ht="15" hidden="false" customHeight="false" outlineLevel="0" collapsed="false">
      <c r="A208" s="42" t="s">
        <v>93</v>
      </c>
      <c r="B208" s="54" t="s">
        <v>94</v>
      </c>
      <c r="C208" s="42" t="s">
        <v>388</v>
      </c>
      <c r="D208" s="54" t="s">
        <v>448</v>
      </c>
      <c r="E208" s="26" t="str">
        <f aca="false">W12</f>
        <v>Unknown</v>
      </c>
      <c r="F208" s="26" t="str">
        <f aca="false">IF(W29="","",W29)</f>
        <v/>
      </c>
      <c r="G208" s="42" t="s">
        <v>140</v>
      </c>
      <c r="H208" s="54" t="s">
        <v>427</v>
      </c>
    </row>
    <row r="209" customFormat="false" ht="15" hidden="false" customHeight="false" outlineLevel="0" collapsed="false">
      <c r="A209" s="42" t="s">
        <v>93</v>
      </c>
      <c r="B209" s="54" t="s">
        <v>94</v>
      </c>
      <c r="C209" s="42" t="s">
        <v>389</v>
      </c>
      <c r="D209" s="54" t="s">
        <v>449</v>
      </c>
      <c r="E209" s="26" t="str">
        <f aca="false">X12</f>
        <v>Yes</v>
      </c>
      <c r="F209" s="26" t="str">
        <f aca="false">IF(X29="","",X29)</f>
        <v>B</v>
      </c>
      <c r="G209" s="55" t="s">
        <v>489</v>
      </c>
      <c r="H209" s="54" t="s">
        <v>498</v>
      </c>
    </row>
    <row r="210" customFormat="false" ht="15" hidden="false" customHeight="false" outlineLevel="0" collapsed="false">
      <c r="A210" s="42" t="s">
        <v>93</v>
      </c>
      <c r="B210" s="54" t="s">
        <v>94</v>
      </c>
      <c r="C210" s="42" t="s">
        <v>390</v>
      </c>
      <c r="D210" s="54" t="s">
        <v>451</v>
      </c>
      <c r="E210" s="26" t="str">
        <f aca="false">Y12</f>
        <v>Yes</v>
      </c>
      <c r="F210" s="26" t="str">
        <f aca="false">IF(Y29="","",Y29)</f>
        <v>C</v>
      </c>
      <c r="G210" s="55" t="s">
        <v>489</v>
      </c>
      <c r="H210" s="54"/>
    </row>
    <row r="211" customFormat="false" ht="15" hidden="false" customHeight="false" outlineLevel="0" collapsed="false">
      <c r="A211" s="42" t="s">
        <v>93</v>
      </c>
      <c r="B211" s="54" t="s">
        <v>94</v>
      </c>
      <c r="C211" s="42" t="s">
        <v>391</v>
      </c>
      <c r="D211" s="54" t="s">
        <v>453</v>
      </c>
      <c r="E211" s="26" t="str">
        <f aca="false">Z12</f>
        <v>Unknown</v>
      </c>
      <c r="F211" s="26" t="str">
        <f aca="false">IF(Z29="","",Z29)</f>
        <v/>
      </c>
      <c r="G211" s="42" t="s">
        <v>140</v>
      </c>
      <c r="H211" s="54" t="s">
        <v>427</v>
      </c>
    </row>
    <row r="212" customFormat="false" ht="15" hidden="false" customHeight="false" outlineLevel="0" collapsed="false">
      <c r="A212" s="42" t="s">
        <v>93</v>
      </c>
      <c r="B212" s="54" t="s">
        <v>94</v>
      </c>
      <c r="C212" s="42" t="s">
        <v>392</v>
      </c>
      <c r="D212" s="54" t="s">
        <v>454</v>
      </c>
      <c r="E212" s="26" t="str">
        <f aca="false">AA12</f>
        <v>Unknown</v>
      </c>
      <c r="F212" s="26" t="str">
        <f aca="false">IF(AA29="","",AA29)</f>
        <v/>
      </c>
      <c r="G212" s="42" t="s">
        <v>140</v>
      </c>
      <c r="H212" s="54" t="s">
        <v>427</v>
      </c>
    </row>
    <row r="213" customFormat="false" ht="15" hidden="false" customHeight="false" outlineLevel="0" collapsed="false">
      <c r="A213" s="42" t="s">
        <v>98</v>
      </c>
      <c r="B213" s="54" t="s">
        <v>99</v>
      </c>
      <c r="C213" s="42" t="s">
        <v>371</v>
      </c>
      <c r="D213" s="54" t="s">
        <v>417</v>
      </c>
      <c r="E213" s="26" t="str">
        <f aca="false">F13</f>
        <v>Yes</v>
      </c>
      <c r="F213" s="26" t="str">
        <f aca="false">IF(F30="","",F30)</f>
        <v>C</v>
      </c>
      <c r="G213" s="55" t="s">
        <v>499</v>
      </c>
      <c r="H213" s="54" t="s">
        <v>500</v>
      </c>
    </row>
    <row r="214" customFormat="false" ht="15" hidden="false" customHeight="false" outlineLevel="0" collapsed="false">
      <c r="A214" s="42" t="s">
        <v>98</v>
      </c>
      <c r="B214" s="54" t="s">
        <v>99</v>
      </c>
      <c r="C214" s="42" t="s">
        <v>372</v>
      </c>
      <c r="D214" s="54" t="s">
        <v>420</v>
      </c>
      <c r="E214" s="26" t="str">
        <f aca="false">G13</f>
        <v>Yes</v>
      </c>
      <c r="F214" s="26" t="str">
        <f aca="false">IF(G30="","",G30)</f>
        <v>B</v>
      </c>
      <c r="G214" s="55" t="s">
        <v>499</v>
      </c>
      <c r="H214" s="54"/>
    </row>
    <row r="215" customFormat="false" ht="15" hidden="false" customHeight="false" outlineLevel="0" collapsed="false">
      <c r="A215" s="42" t="s">
        <v>98</v>
      </c>
      <c r="B215" s="54" t="s">
        <v>99</v>
      </c>
      <c r="C215" s="42" t="s">
        <v>373</v>
      </c>
      <c r="D215" s="54" t="s">
        <v>422</v>
      </c>
      <c r="E215" s="26" t="str">
        <f aca="false">H13</f>
        <v>Yes</v>
      </c>
      <c r="F215" s="26" t="str">
        <f aca="false">IF(H30="","",H30)</f>
        <v>B</v>
      </c>
      <c r="G215" s="55" t="s">
        <v>499</v>
      </c>
      <c r="H215" s="54" t="s">
        <v>501</v>
      </c>
    </row>
    <row r="216" customFormat="false" ht="15" hidden="false" customHeight="false" outlineLevel="0" collapsed="false">
      <c r="A216" s="42" t="s">
        <v>98</v>
      </c>
      <c r="B216" s="54" t="s">
        <v>99</v>
      </c>
      <c r="C216" s="42" t="s">
        <v>374</v>
      </c>
      <c r="D216" s="54" t="s">
        <v>424</v>
      </c>
      <c r="E216" s="26" t="str">
        <f aca="false">I13</f>
        <v>Unknown</v>
      </c>
      <c r="F216" s="26" t="str">
        <f aca="false">IF(I30="","",I30)</f>
        <v/>
      </c>
      <c r="G216" s="42" t="s">
        <v>140</v>
      </c>
      <c r="H216" s="54" t="s">
        <v>427</v>
      </c>
    </row>
    <row r="217" customFormat="false" ht="15" hidden="false" customHeight="false" outlineLevel="0" collapsed="false">
      <c r="A217" s="42" t="s">
        <v>98</v>
      </c>
      <c r="B217" s="54" t="s">
        <v>99</v>
      </c>
      <c r="C217" s="42" t="s">
        <v>375</v>
      </c>
      <c r="D217" s="54" t="s">
        <v>426</v>
      </c>
      <c r="E217" s="26" t="str">
        <f aca="false">J13</f>
        <v>Unknown</v>
      </c>
      <c r="F217" s="26" t="str">
        <f aca="false">IF(J30="","",J30)</f>
        <v/>
      </c>
      <c r="G217" s="42" t="s">
        <v>140</v>
      </c>
      <c r="H217" s="54" t="s">
        <v>427</v>
      </c>
    </row>
    <row r="218" customFormat="false" ht="15" hidden="false" customHeight="false" outlineLevel="0" collapsed="false">
      <c r="A218" s="42" t="s">
        <v>98</v>
      </c>
      <c r="B218" s="54" t="s">
        <v>99</v>
      </c>
      <c r="C218" s="42" t="s">
        <v>376</v>
      </c>
      <c r="D218" s="54" t="s">
        <v>428</v>
      </c>
      <c r="E218" s="26" t="str">
        <f aca="false">K13</f>
        <v>Unknown</v>
      </c>
      <c r="F218" s="26" t="str">
        <f aca="false">IF(K30="","",K30)</f>
        <v/>
      </c>
      <c r="G218" s="42" t="s">
        <v>140</v>
      </c>
      <c r="H218" s="54" t="s">
        <v>427</v>
      </c>
    </row>
    <row r="219" customFormat="false" ht="15" hidden="false" customHeight="false" outlineLevel="0" collapsed="false">
      <c r="A219" s="42" t="s">
        <v>98</v>
      </c>
      <c r="B219" s="54" t="s">
        <v>99</v>
      </c>
      <c r="C219" s="42" t="s">
        <v>377</v>
      </c>
      <c r="D219" s="54" t="s">
        <v>430</v>
      </c>
      <c r="E219" s="26" t="str">
        <f aca="false">L13</f>
        <v>Unknown</v>
      </c>
      <c r="F219" s="26" t="str">
        <f aca="false">IF(L30="","",L30)</f>
        <v/>
      </c>
      <c r="G219" s="42" t="s">
        <v>140</v>
      </c>
      <c r="H219" s="54" t="s">
        <v>427</v>
      </c>
    </row>
    <row r="220" customFormat="false" ht="15" hidden="false" customHeight="false" outlineLevel="0" collapsed="false">
      <c r="A220" s="42" t="s">
        <v>98</v>
      </c>
      <c r="B220" s="54" t="s">
        <v>99</v>
      </c>
      <c r="C220" s="42" t="s">
        <v>378</v>
      </c>
      <c r="D220" s="54" t="s">
        <v>432</v>
      </c>
      <c r="E220" s="26" t="str">
        <f aca="false">M13</f>
        <v>Unknown</v>
      </c>
      <c r="F220" s="26" t="str">
        <f aca="false">IF(M30="","",M30)</f>
        <v/>
      </c>
      <c r="G220" s="42" t="s">
        <v>140</v>
      </c>
      <c r="H220" s="54" t="s">
        <v>427</v>
      </c>
    </row>
    <row r="221" customFormat="false" ht="15" hidden="false" customHeight="false" outlineLevel="0" collapsed="false">
      <c r="A221" s="42" t="s">
        <v>98</v>
      </c>
      <c r="B221" s="54" t="s">
        <v>99</v>
      </c>
      <c r="C221" s="42" t="s">
        <v>379</v>
      </c>
      <c r="D221" s="54" t="s">
        <v>434</v>
      </c>
      <c r="E221" s="26" t="str">
        <f aca="false">N13</f>
        <v>Unknown</v>
      </c>
      <c r="F221" s="26" t="str">
        <f aca="false">IF(N30="","",N30)</f>
        <v/>
      </c>
      <c r="G221" s="42" t="s">
        <v>140</v>
      </c>
      <c r="H221" s="54" t="s">
        <v>427</v>
      </c>
    </row>
    <row r="222" customFormat="false" ht="15" hidden="false" customHeight="false" outlineLevel="0" collapsed="false">
      <c r="A222" s="42" t="s">
        <v>98</v>
      </c>
      <c r="B222" s="54" t="s">
        <v>99</v>
      </c>
      <c r="C222" s="42" t="s">
        <v>380</v>
      </c>
      <c r="D222" s="54" t="s">
        <v>436</v>
      </c>
      <c r="E222" s="26" t="str">
        <f aca="false">O13</f>
        <v>Unknown</v>
      </c>
      <c r="F222" s="26" t="str">
        <f aca="false">IF(O30="","",O30)</f>
        <v/>
      </c>
      <c r="G222" s="42" t="s">
        <v>140</v>
      </c>
      <c r="H222" s="54" t="s">
        <v>427</v>
      </c>
    </row>
    <row r="223" customFormat="false" ht="15" hidden="false" customHeight="false" outlineLevel="0" collapsed="false">
      <c r="A223" s="42" t="s">
        <v>98</v>
      </c>
      <c r="B223" s="54" t="s">
        <v>99</v>
      </c>
      <c r="C223" s="42" t="s">
        <v>381</v>
      </c>
      <c r="D223" s="54" t="s">
        <v>437</v>
      </c>
      <c r="E223" s="26" t="str">
        <f aca="false">P13</f>
        <v>Unknown</v>
      </c>
      <c r="F223" s="26" t="str">
        <f aca="false">IF(P30="","",P30)</f>
        <v/>
      </c>
      <c r="G223" s="42" t="s">
        <v>140</v>
      </c>
      <c r="H223" s="54" t="s">
        <v>427</v>
      </c>
    </row>
    <row r="224" customFormat="false" ht="15" hidden="false" customHeight="false" outlineLevel="0" collapsed="false">
      <c r="A224" s="42" t="s">
        <v>98</v>
      </c>
      <c r="B224" s="54" t="s">
        <v>99</v>
      </c>
      <c r="C224" s="42" t="s">
        <v>382</v>
      </c>
      <c r="D224" s="54" t="s">
        <v>438</v>
      </c>
      <c r="E224" s="26" t="str">
        <f aca="false">Q13</f>
        <v>Unknown</v>
      </c>
      <c r="F224" s="26" t="str">
        <f aca="false">IF(Q30="","",Q30)</f>
        <v/>
      </c>
      <c r="G224" s="42" t="s">
        <v>140</v>
      </c>
      <c r="H224" s="54" t="s">
        <v>427</v>
      </c>
    </row>
    <row r="225" customFormat="false" ht="15" hidden="false" customHeight="false" outlineLevel="0" collapsed="false">
      <c r="A225" s="42" t="s">
        <v>98</v>
      </c>
      <c r="B225" s="54" t="s">
        <v>99</v>
      </c>
      <c r="C225" s="42" t="s">
        <v>383</v>
      </c>
      <c r="D225" s="54" t="s">
        <v>439</v>
      </c>
      <c r="E225" s="26" t="str">
        <f aca="false">R13</f>
        <v>No</v>
      </c>
      <c r="F225" s="26" t="str">
        <f aca="false">IF(R30="","",R30)</f>
        <v>C</v>
      </c>
      <c r="G225" s="55" t="s">
        <v>499</v>
      </c>
      <c r="H225" s="54" t="s">
        <v>471</v>
      </c>
    </row>
    <row r="226" customFormat="false" ht="15" hidden="false" customHeight="false" outlineLevel="0" collapsed="false">
      <c r="A226" s="42" t="s">
        <v>98</v>
      </c>
      <c r="B226" s="54" t="s">
        <v>99</v>
      </c>
      <c r="C226" s="42" t="s">
        <v>384</v>
      </c>
      <c r="D226" s="54" t="s">
        <v>441</v>
      </c>
      <c r="E226" s="26" t="str">
        <f aca="false">S13</f>
        <v>No</v>
      </c>
      <c r="F226" s="26" t="str">
        <f aca="false">IF(S30="","",S30)</f>
        <v>C</v>
      </c>
      <c r="G226" s="55" t="s">
        <v>499</v>
      </c>
      <c r="H226" s="54" t="s">
        <v>472</v>
      </c>
    </row>
    <row r="227" customFormat="false" ht="15" hidden="false" customHeight="false" outlineLevel="0" collapsed="false">
      <c r="A227" s="42" t="s">
        <v>98</v>
      </c>
      <c r="B227" s="54" t="s">
        <v>99</v>
      </c>
      <c r="C227" s="42" t="s">
        <v>385</v>
      </c>
      <c r="D227" s="54" t="s">
        <v>443</v>
      </c>
      <c r="E227" s="26" t="str">
        <f aca="false">T13</f>
        <v>No</v>
      </c>
      <c r="F227" s="26" t="str">
        <f aca="false">IF(T30="","",T30)</f>
        <v>B</v>
      </c>
      <c r="G227" s="55" t="s">
        <v>499</v>
      </c>
      <c r="H227" s="54" t="s">
        <v>300</v>
      </c>
    </row>
    <row r="228" customFormat="false" ht="15" hidden="false" customHeight="false" outlineLevel="0" collapsed="false">
      <c r="A228" s="42" t="s">
        <v>98</v>
      </c>
      <c r="B228" s="54" t="s">
        <v>99</v>
      </c>
      <c r="C228" s="42" t="s">
        <v>386</v>
      </c>
      <c r="D228" s="54" t="s">
        <v>445</v>
      </c>
      <c r="E228" s="26" t="str">
        <f aca="false">U13</f>
        <v>No</v>
      </c>
      <c r="F228" s="26" t="str">
        <f aca="false">IF(U30="","",U30)</f>
        <v>B</v>
      </c>
      <c r="G228" s="55" t="s">
        <v>499</v>
      </c>
      <c r="H228" s="54" t="s">
        <v>329</v>
      </c>
    </row>
    <row r="229" customFormat="false" ht="15" hidden="false" customHeight="false" outlineLevel="0" collapsed="false">
      <c r="A229" s="42" t="s">
        <v>98</v>
      </c>
      <c r="B229" s="54" t="s">
        <v>99</v>
      </c>
      <c r="C229" s="42" t="s">
        <v>387</v>
      </c>
      <c r="D229" s="54" t="s">
        <v>447</v>
      </c>
      <c r="E229" s="26" t="str">
        <f aca="false">V13</f>
        <v>Yes</v>
      </c>
      <c r="F229" s="26" t="str">
        <f aca="false">IF(V30="","",V30)</f>
        <v>B</v>
      </c>
      <c r="G229" s="55" t="s">
        <v>499</v>
      </c>
      <c r="H229" s="54"/>
    </row>
    <row r="230" customFormat="false" ht="15" hidden="false" customHeight="false" outlineLevel="0" collapsed="false">
      <c r="A230" s="42" t="s">
        <v>98</v>
      </c>
      <c r="B230" s="54" t="s">
        <v>99</v>
      </c>
      <c r="C230" s="42" t="s">
        <v>388</v>
      </c>
      <c r="D230" s="54" t="s">
        <v>448</v>
      </c>
      <c r="E230" s="26" t="str">
        <f aca="false">W13</f>
        <v>Unknown</v>
      </c>
      <c r="F230" s="26" t="str">
        <f aca="false">IF(W30="","",W30)</f>
        <v/>
      </c>
      <c r="G230" s="42" t="s">
        <v>140</v>
      </c>
      <c r="H230" s="54" t="s">
        <v>427</v>
      </c>
    </row>
    <row r="231" customFormat="false" ht="15" hidden="false" customHeight="false" outlineLevel="0" collapsed="false">
      <c r="A231" s="42" t="s">
        <v>98</v>
      </c>
      <c r="B231" s="54" t="s">
        <v>99</v>
      </c>
      <c r="C231" s="42" t="s">
        <v>389</v>
      </c>
      <c r="D231" s="54" t="s">
        <v>449</v>
      </c>
      <c r="E231" s="26" t="str">
        <f aca="false">X13</f>
        <v>Yes</v>
      </c>
      <c r="F231" s="26" t="str">
        <f aca="false">IF(X30="","",X30)</f>
        <v>B</v>
      </c>
      <c r="G231" s="55" t="s">
        <v>499</v>
      </c>
      <c r="H231" s="54" t="s">
        <v>502</v>
      </c>
    </row>
    <row r="232" customFormat="false" ht="15" hidden="false" customHeight="false" outlineLevel="0" collapsed="false">
      <c r="A232" s="42" t="s">
        <v>98</v>
      </c>
      <c r="B232" s="54" t="s">
        <v>99</v>
      </c>
      <c r="C232" s="42" t="s">
        <v>390</v>
      </c>
      <c r="D232" s="54" t="s">
        <v>451</v>
      </c>
      <c r="E232" s="26" t="str">
        <f aca="false">Y13</f>
        <v>Yes</v>
      </c>
      <c r="F232" s="26" t="str">
        <f aca="false">IF(Y30="","",Y30)</f>
        <v>C</v>
      </c>
      <c r="G232" s="55" t="s">
        <v>499</v>
      </c>
      <c r="H232" s="54"/>
    </row>
    <row r="233" customFormat="false" ht="15" hidden="false" customHeight="false" outlineLevel="0" collapsed="false">
      <c r="A233" s="42" t="s">
        <v>98</v>
      </c>
      <c r="B233" s="54" t="s">
        <v>99</v>
      </c>
      <c r="C233" s="42" t="s">
        <v>391</v>
      </c>
      <c r="D233" s="54" t="s">
        <v>453</v>
      </c>
      <c r="E233" s="26" t="str">
        <f aca="false">Z13</f>
        <v>Unknown</v>
      </c>
      <c r="F233" s="26" t="str">
        <f aca="false">IF(Z30="","",Z30)</f>
        <v/>
      </c>
      <c r="G233" s="42" t="s">
        <v>140</v>
      </c>
      <c r="H233" s="54" t="s">
        <v>427</v>
      </c>
    </row>
    <row r="234" customFormat="false" ht="15" hidden="false" customHeight="false" outlineLevel="0" collapsed="false">
      <c r="A234" s="42" t="s">
        <v>98</v>
      </c>
      <c r="B234" s="54" t="s">
        <v>99</v>
      </c>
      <c r="C234" s="42" t="s">
        <v>392</v>
      </c>
      <c r="D234" s="54" t="s">
        <v>454</v>
      </c>
      <c r="E234" s="26" t="str">
        <f aca="false">AA13</f>
        <v>Unknown</v>
      </c>
      <c r="F234" s="26" t="str">
        <f aca="false">IF(AA30="","",AA30)</f>
        <v/>
      </c>
      <c r="G234" s="42" t="s">
        <v>140</v>
      </c>
      <c r="H234" s="54" t="s">
        <v>427</v>
      </c>
    </row>
    <row r="235" customFormat="false" ht="15" hidden="false" customHeight="false" outlineLevel="0" collapsed="false">
      <c r="A235" s="42" t="s">
        <v>106</v>
      </c>
      <c r="B235" s="54" t="s">
        <v>107</v>
      </c>
      <c r="C235" s="42" t="s">
        <v>371</v>
      </c>
      <c r="D235" s="54" t="s">
        <v>417</v>
      </c>
      <c r="E235" s="26" t="str">
        <f aca="false">F14</f>
        <v>Unknown</v>
      </c>
      <c r="F235" s="26" t="str">
        <f aca="false">IF(F31="","",F31)</f>
        <v/>
      </c>
      <c r="G235" s="42" t="s">
        <v>140</v>
      </c>
      <c r="H235" s="54" t="s">
        <v>427</v>
      </c>
    </row>
    <row r="236" customFormat="false" ht="15" hidden="false" customHeight="false" outlineLevel="0" collapsed="false">
      <c r="A236" s="42" t="s">
        <v>106</v>
      </c>
      <c r="B236" s="54" t="s">
        <v>107</v>
      </c>
      <c r="C236" s="42" t="s">
        <v>372</v>
      </c>
      <c r="D236" s="54" t="s">
        <v>420</v>
      </c>
      <c r="E236" s="26" t="str">
        <f aca="false">G14</f>
        <v>Unknown</v>
      </c>
      <c r="F236" s="26" t="str">
        <f aca="false">IF(G31="","",G31)</f>
        <v/>
      </c>
      <c r="G236" s="42" t="s">
        <v>140</v>
      </c>
      <c r="H236" s="54" t="s">
        <v>427</v>
      </c>
    </row>
    <row r="237" customFormat="false" ht="15" hidden="false" customHeight="false" outlineLevel="0" collapsed="false">
      <c r="A237" s="42" t="s">
        <v>106</v>
      </c>
      <c r="B237" s="54" t="s">
        <v>107</v>
      </c>
      <c r="C237" s="42" t="s">
        <v>373</v>
      </c>
      <c r="D237" s="54" t="s">
        <v>422</v>
      </c>
      <c r="E237" s="26" t="str">
        <f aca="false">H14</f>
        <v>Unknown</v>
      </c>
      <c r="F237" s="26" t="str">
        <f aca="false">IF(H31="","",H31)</f>
        <v/>
      </c>
      <c r="G237" s="42" t="s">
        <v>140</v>
      </c>
      <c r="H237" s="54" t="s">
        <v>427</v>
      </c>
    </row>
    <row r="238" customFormat="false" ht="15" hidden="false" customHeight="false" outlineLevel="0" collapsed="false">
      <c r="A238" s="42" t="s">
        <v>106</v>
      </c>
      <c r="B238" s="54" t="s">
        <v>107</v>
      </c>
      <c r="C238" s="42" t="s">
        <v>374</v>
      </c>
      <c r="D238" s="54" t="s">
        <v>424</v>
      </c>
      <c r="E238" s="26" t="str">
        <f aca="false">I14</f>
        <v>Unknown</v>
      </c>
      <c r="F238" s="26" t="str">
        <f aca="false">IF(I31="","",I31)</f>
        <v/>
      </c>
      <c r="G238" s="42" t="s">
        <v>140</v>
      </c>
      <c r="H238" s="54" t="s">
        <v>427</v>
      </c>
    </row>
    <row r="239" customFormat="false" ht="15" hidden="false" customHeight="false" outlineLevel="0" collapsed="false">
      <c r="A239" s="42" t="s">
        <v>106</v>
      </c>
      <c r="B239" s="54" t="s">
        <v>107</v>
      </c>
      <c r="C239" s="42" t="s">
        <v>375</v>
      </c>
      <c r="D239" s="54" t="s">
        <v>426</v>
      </c>
      <c r="E239" s="26" t="str">
        <f aca="false">J14</f>
        <v>Yes</v>
      </c>
      <c r="F239" s="26" t="str">
        <f aca="false">IF(J31="","",J31)</f>
        <v>B</v>
      </c>
      <c r="G239" s="55" t="s">
        <v>503</v>
      </c>
      <c r="H239" s="54" t="s">
        <v>504</v>
      </c>
    </row>
    <row r="240" customFormat="false" ht="15" hidden="false" customHeight="false" outlineLevel="0" collapsed="false">
      <c r="A240" s="42" t="s">
        <v>106</v>
      </c>
      <c r="B240" s="54" t="s">
        <v>107</v>
      </c>
      <c r="C240" s="42" t="s">
        <v>376</v>
      </c>
      <c r="D240" s="54" t="s">
        <v>428</v>
      </c>
      <c r="E240" s="26" t="str">
        <f aca="false">K14</f>
        <v>Unknown</v>
      </c>
      <c r="F240" s="26" t="str">
        <f aca="false">IF(K31="","",K31)</f>
        <v/>
      </c>
      <c r="G240" s="42" t="s">
        <v>140</v>
      </c>
      <c r="H240" s="54" t="s">
        <v>427</v>
      </c>
    </row>
    <row r="241" customFormat="false" ht="15" hidden="false" customHeight="false" outlineLevel="0" collapsed="false">
      <c r="A241" s="42" t="s">
        <v>106</v>
      </c>
      <c r="B241" s="54" t="s">
        <v>107</v>
      </c>
      <c r="C241" s="42" t="s">
        <v>377</v>
      </c>
      <c r="D241" s="54" t="s">
        <v>430</v>
      </c>
      <c r="E241" s="26" t="str">
        <f aca="false">L14</f>
        <v>Unknown</v>
      </c>
      <c r="F241" s="26" t="str">
        <f aca="false">IF(L31="","",L31)</f>
        <v/>
      </c>
      <c r="G241" s="42" t="s">
        <v>140</v>
      </c>
      <c r="H241" s="54" t="s">
        <v>427</v>
      </c>
    </row>
    <row r="242" customFormat="false" ht="15" hidden="false" customHeight="false" outlineLevel="0" collapsed="false">
      <c r="A242" s="42" t="s">
        <v>106</v>
      </c>
      <c r="B242" s="54" t="s">
        <v>107</v>
      </c>
      <c r="C242" s="42" t="s">
        <v>378</v>
      </c>
      <c r="D242" s="54" t="s">
        <v>432</v>
      </c>
      <c r="E242" s="26" t="str">
        <f aca="false">M14</f>
        <v>Unknown</v>
      </c>
      <c r="F242" s="26" t="str">
        <f aca="false">IF(M31="","",M31)</f>
        <v/>
      </c>
      <c r="G242" s="42" t="s">
        <v>140</v>
      </c>
      <c r="H242" s="54" t="s">
        <v>427</v>
      </c>
    </row>
    <row r="243" customFormat="false" ht="15" hidden="false" customHeight="false" outlineLevel="0" collapsed="false">
      <c r="A243" s="42" t="s">
        <v>106</v>
      </c>
      <c r="B243" s="54" t="s">
        <v>107</v>
      </c>
      <c r="C243" s="42" t="s">
        <v>379</v>
      </c>
      <c r="D243" s="54" t="s">
        <v>434</v>
      </c>
      <c r="E243" s="26" t="str">
        <f aca="false">N14</f>
        <v>Unknown</v>
      </c>
      <c r="F243" s="26" t="str">
        <f aca="false">IF(N31="","",N31)</f>
        <v/>
      </c>
      <c r="G243" s="42" t="s">
        <v>140</v>
      </c>
      <c r="H243" s="54" t="s">
        <v>427</v>
      </c>
    </row>
    <row r="244" customFormat="false" ht="15" hidden="false" customHeight="false" outlineLevel="0" collapsed="false">
      <c r="A244" s="42" t="s">
        <v>106</v>
      </c>
      <c r="B244" s="54" t="s">
        <v>107</v>
      </c>
      <c r="C244" s="42" t="s">
        <v>380</v>
      </c>
      <c r="D244" s="54" t="s">
        <v>436</v>
      </c>
      <c r="E244" s="26" t="str">
        <f aca="false">O14</f>
        <v>Yes</v>
      </c>
      <c r="F244" s="26" t="str">
        <f aca="false">IF(O31="","",O31)</f>
        <v>B</v>
      </c>
      <c r="G244" s="55" t="s">
        <v>503</v>
      </c>
      <c r="H244" s="54" t="s">
        <v>505</v>
      </c>
    </row>
    <row r="245" customFormat="false" ht="15" hidden="false" customHeight="false" outlineLevel="0" collapsed="false">
      <c r="A245" s="42" t="s">
        <v>106</v>
      </c>
      <c r="B245" s="54" t="s">
        <v>107</v>
      </c>
      <c r="C245" s="42" t="s">
        <v>381</v>
      </c>
      <c r="D245" s="54" t="s">
        <v>437</v>
      </c>
      <c r="E245" s="26" t="str">
        <f aca="false">P14</f>
        <v>Yes</v>
      </c>
      <c r="F245" s="26" t="str">
        <f aca="false">IF(P31="","",P31)</f>
        <v>B</v>
      </c>
      <c r="G245" s="55" t="s">
        <v>503</v>
      </c>
      <c r="H245" s="54" t="s">
        <v>506</v>
      </c>
    </row>
    <row r="246" customFormat="false" ht="15" hidden="false" customHeight="false" outlineLevel="0" collapsed="false">
      <c r="A246" s="42" t="s">
        <v>106</v>
      </c>
      <c r="B246" s="54" t="s">
        <v>107</v>
      </c>
      <c r="C246" s="42" t="s">
        <v>382</v>
      </c>
      <c r="D246" s="54" t="s">
        <v>438</v>
      </c>
      <c r="E246" s="26" t="str">
        <f aca="false">Q14</f>
        <v>Yes</v>
      </c>
      <c r="F246" s="26" t="str">
        <f aca="false">IF(Q31="","",Q31)</f>
        <v>B</v>
      </c>
      <c r="G246" s="55" t="s">
        <v>503</v>
      </c>
      <c r="H246" s="54" t="s">
        <v>507</v>
      </c>
    </row>
    <row r="247" customFormat="false" ht="15" hidden="false" customHeight="false" outlineLevel="0" collapsed="false">
      <c r="A247" s="42" t="s">
        <v>106</v>
      </c>
      <c r="B247" s="54" t="s">
        <v>107</v>
      </c>
      <c r="C247" s="42" t="s">
        <v>383</v>
      </c>
      <c r="D247" s="54" t="s">
        <v>439</v>
      </c>
      <c r="E247" s="26" t="str">
        <f aca="false">R14</f>
        <v>Yes</v>
      </c>
      <c r="F247" s="26" t="str">
        <f aca="false">IF(R31="","",R31)</f>
        <v>C</v>
      </c>
      <c r="G247" s="55" t="s">
        <v>489</v>
      </c>
      <c r="H247" s="54" t="s">
        <v>508</v>
      </c>
    </row>
    <row r="248" customFormat="false" ht="15" hidden="false" customHeight="false" outlineLevel="0" collapsed="false">
      <c r="A248" s="42" t="s">
        <v>106</v>
      </c>
      <c r="B248" s="54" t="s">
        <v>107</v>
      </c>
      <c r="C248" s="42" t="s">
        <v>384</v>
      </c>
      <c r="D248" s="54" t="s">
        <v>441</v>
      </c>
      <c r="E248" s="26" t="str">
        <f aca="false">S14</f>
        <v>Unknown</v>
      </c>
      <c r="F248" s="26" t="str">
        <f aca="false">IF(S31="","",S31)</f>
        <v/>
      </c>
      <c r="G248" s="42" t="s">
        <v>140</v>
      </c>
      <c r="H248" s="54" t="s">
        <v>427</v>
      </c>
    </row>
    <row r="249" customFormat="false" ht="15" hidden="false" customHeight="false" outlineLevel="0" collapsed="false">
      <c r="A249" s="42" t="s">
        <v>106</v>
      </c>
      <c r="B249" s="54" t="s">
        <v>107</v>
      </c>
      <c r="C249" s="42" t="s">
        <v>385</v>
      </c>
      <c r="D249" s="54" t="s">
        <v>443</v>
      </c>
      <c r="E249" s="26" t="str">
        <f aca="false">T14</f>
        <v>Yes</v>
      </c>
      <c r="F249" s="26" t="str">
        <f aca="false">IF(T31="","",T31)</f>
        <v>B</v>
      </c>
      <c r="G249" s="55" t="s">
        <v>503</v>
      </c>
      <c r="H249" s="54" t="s">
        <v>463</v>
      </c>
    </row>
    <row r="250" customFormat="false" ht="15" hidden="false" customHeight="false" outlineLevel="0" collapsed="false">
      <c r="A250" s="42" t="s">
        <v>106</v>
      </c>
      <c r="B250" s="54" t="s">
        <v>107</v>
      </c>
      <c r="C250" s="42" t="s">
        <v>386</v>
      </c>
      <c r="D250" s="54" t="s">
        <v>445</v>
      </c>
      <c r="E250" s="26" t="str">
        <f aca="false">U14</f>
        <v>Yes</v>
      </c>
      <c r="F250" s="26" t="str">
        <f aca="false">IF(U31="","",U31)</f>
        <v>B</v>
      </c>
      <c r="G250" s="55" t="s">
        <v>503</v>
      </c>
      <c r="H250" s="54"/>
    </row>
    <row r="251" customFormat="false" ht="15" hidden="false" customHeight="false" outlineLevel="0" collapsed="false">
      <c r="A251" s="42" t="s">
        <v>106</v>
      </c>
      <c r="B251" s="54" t="s">
        <v>107</v>
      </c>
      <c r="C251" s="42" t="s">
        <v>387</v>
      </c>
      <c r="D251" s="54" t="s">
        <v>447</v>
      </c>
      <c r="E251" s="26" t="str">
        <f aca="false">V14</f>
        <v>No</v>
      </c>
      <c r="F251" s="26" t="str">
        <f aca="false">IF(V31="","",V31)</f>
        <v>C</v>
      </c>
      <c r="G251" s="55" t="s">
        <v>509</v>
      </c>
      <c r="H251" s="54" t="s">
        <v>353</v>
      </c>
    </row>
    <row r="252" customFormat="false" ht="15" hidden="false" customHeight="false" outlineLevel="0" collapsed="false">
      <c r="A252" s="42" t="s">
        <v>106</v>
      </c>
      <c r="B252" s="54" t="s">
        <v>107</v>
      </c>
      <c r="C252" s="42" t="s">
        <v>388</v>
      </c>
      <c r="D252" s="54" t="s">
        <v>448</v>
      </c>
      <c r="E252" s="26" t="str">
        <f aca="false">W14</f>
        <v>Unknown</v>
      </c>
      <c r="F252" s="26" t="str">
        <f aca="false">IF(W31="","",W31)</f>
        <v/>
      </c>
      <c r="G252" s="42" t="s">
        <v>140</v>
      </c>
      <c r="H252" s="54" t="s">
        <v>427</v>
      </c>
    </row>
    <row r="253" customFormat="false" ht="15" hidden="false" customHeight="false" outlineLevel="0" collapsed="false">
      <c r="A253" s="42" t="s">
        <v>106</v>
      </c>
      <c r="B253" s="54" t="s">
        <v>107</v>
      </c>
      <c r="C253" s="42" t="s">
        <v>389</v>
      </c>
      <c r="D253" s="54" t="s">
        <v>449</v>
      </c>
      <c r="E253" s="26" t="str">
        <f aca="false">X14</f>
        <v>Yes</v>
      </c>
      <c r="F253" s="26" t="str">
        <f aca="false">IF(X31="","",X31)</f>
        <v>C</v>
      </c>
      <c r="G253" s="55" t="s">
        <v>503</v>
      </c>
      <c r="H253" s="54" t="s">
        <v>510</v>
      </c>
    </row>
    <row r="254" customFormat="false" ht="15" hidden="false" customHeight="false" outlineLevel="0" collapsed="false">
      <c r="A254" s="42" t="s">
        <v>106</v>
      </c>
      <c r="B254" s="54" t="s">
        <v>107</v>
      </c>
      <c r="C254" s="42" t="s">
        <v>390</v>
      </c>
      <c r="D254" s="54" t="s">
        <v>451</v>
      </c>
      <c r="E254" s="26" t="str">
        <f aca="false">Y14</f>
        <v>Yes</v>
      </c>
      <c r="F254" s="26" t="str">
        <f aca="false">IF(Y31="","",Y31)</f>
        <v>C</v>
      </c>
      <c r="G254" s="55" t="s">
        <v>503</v>
      </c>
      <c r="H254" s="54"/>
    </row>
    <row r="255" customFormat="false" ht="15" hidden="false" customHeight="false" outlineLevel="0" collapsed="false">
      <c r="A255" s="42" t="s">
        <v>106</v>
      </c>
      <c r="B255" s="54" t="s">
        <v>107</v>
      </c>
      <c r="C255" s="42" t="s">
        <v>391</v>
      </c>
      <c r="D255" s="54" t="s">
        <v>453</v>
      </c>
      <c r="E255" s="26" t="str">
        <f aca="false">Z14</f>
        <v>Unknown</v>
      </c>
      <c r="F255" s="26" t="str">
        <f aca="false">IF(Z31="","",Z31)</f>
        <v/>
      </c>
      <c r="G255" s="42" t="s">
        <v>140</v>
      </c>
      <c r="H255" s="54" t="s">
        <v>427</v>
      </c>
    </row>
    <row r="256" customFormat="false" ht="15" hidden="false" customHeight="false" outlineLevel="0" collapsed="false">
      <c r="A256" s="42" t="s">
        <v>106</v>
      </c>
      <c r="B256" s="54" t="s">
        <v>107</v>
      </c>
      <c r="C256" s="42" t="s">
        <v>392</v>
      </c>
      <c r="D256" s="54" t="s">
        <v>454</v>
      </c>
      <c r="E256" s="26" t="str">
        <f aca="false">AA14</f>
        <v>Yes</v>
      </c>
      <c r="F256" s="26" t="str">
        <f aca="false">IF(AA31="","",AA31)</f>
        <v>C</v>
      </c>
      <c r="G256" s="55" t="s">
        <v>509</v>
      </c>
      <c r="H256" s="54" t="s">
        <v>350</v>
      </c>
    </row>
    <row r="257" customFormat="false" ht="15" hidden="false" customHeight="false" outlineLevel="0" collapsed="false">
      <c r="A257" s="42" t="s">
        <v>112</v>
      </c>
      <c r="B257" s="54" t="s">
        <v>113</v>
      </c>
      <c r="C257" s="42" t="s">
        <v>371</v>
      </c>
      <c r="D257" s="54" t="s">
        <v>417</v>
      </c>
      <c r="E257" s="26" t="str">
        <f aca="false">F15</f>
        <v>Yes</v>
      </c>
      <c r="F257" s="26" t="str">
        <f aca="false">IF(F32="","",F32)</f>
        <v>B</v>
      </c>
      <c r="G257" s="55" t="s">
        <v>511</v>
      </c>
      <c r="H257" s="54"/>
    </row>
    <row r="258" customFormat="false" ht="15" hidden="false" customHeight="false" outlineLevel="0" collapsed="false">
      <c r="A258" s="42" t="s">
        <v>112</v>
      </c>
      <c r="B258" s="54" t="s">
        <v>113</v>
      </c>
      <c r="C258" s="42" t="s">
        <v>372</v>
      </c>
      <c r="D258" s="54" t="s">
        <v>420</v>
      </c>
      <c r="E258" s="26" t="str">
        <f aca="false">G15</f>
        <v>Yes</v>
      </c>
      <c r="F258" s="26" t="str">
        <f aca="false">IF(G32="","",G32)</f>
        <v>B</v>
      </c>
      <c r="G258" s="55" t="s">
        <v>511</v>
      </c>
      <c r="H258" s="54"/>
    </row>
    <row r="259" customFormat="false" ht="15" hidden="false" customHeight="false" outlineLevel="0" collapsed="false">
      <c r="A259" s="42" t="s">
        <v>112</v>
      </c>
      <c r="B259" s="54" t="s">
        <v>113</v>
      </c>
      <c r="C259" s="42" t="s">
        <v>373</v>
      </c>
      <c r="D259" s="54" t="s">
        <v>422</v>
      </c>
      <c r="E259" s="26" t="str">
        <f aca="false">H15</f>
        <v>Unknown</v>
      </c>
      <c r="F259" s="26" t="str">
        <f aca="false">IF(H32="","",H32)</f>
        <v/>
      </c>
      <c r="G259" s="42" t="s">
        <v>140</v>
      </c>
      <c r="H259" s="54" t="s">
        <v>427</v>
      </c>
    </row>
    <row r="260" customFormat="false" ht="15" hidden="false" customHeight="false" outlineLevel="0" collapsed="false">
      <c r="A260" s="42" t="s">
        <v>112</v>
      </c>
      <c r="B260" s="54" t="s">
        <v>113</v>
      </c>
      <c r="C260" s="42" t="s">
        <v>374</v>
      </c>
      <c r="D260" s="54" t="s">
        <v>424</v>
      </c>
      <c r="E260" s="26" t="str">
        <f aca="false">I15</f>
        <v>Yes</v>
      </c>
      <c r="F260" s="26" t="str">
        <f aca="false">IF(I32="","",I32)</f>
        <v>B</v>
      </c>
      <c r="G260" s="55" t="s">
        <v>511</v>
      </c>
      <c r="H260" s="54"/>
    </row>
    <row r="261" customFormat="false" ht="15" hidden="false" customHeight="false" outlineLevel="0" collapsed="false">
      <c r="A261" s="42" t="s">
        <v>112</v>
      </c>
      <c r="B261" s="54" t="s">
        <v>113</v>
      </c>
      <c r="C261" s="42" t="s">
        <v>375</v>
      </c>
      <c r="D261" s="54" t="s">
        <v>426</v>
      </c>
      <c r="E261" s="26" t="str">
        <f aca="false">J15</f>
        <v>Conditional</v>
      </c>
      <c r="F261" s="26" t="str">
        <f aca="false">IF(J32="","",J32)</f>
        <v>B</v>
      </c>
      <c r="G261" s="55" t="s">
        <v>511</v>
      </c>
      <c r="H261" s="54" t="s">
        <v>512</v>
      </c>
    </row>
    <row r="262" customFormat="false" ht="15" hidden="false" customHeight="false" outlineLevel="0" collapsed="false">
      <c r="A262" s="42" t="s">
        <v>112</v>
      </c>
      <c r="B262" s="54" t="s">
        <v>113</v>
      </c>
      <c r="C262" s="42" t="s">
        <v>376</v>
      </c>
      <c r="D262" s="54" t="s">
        <v>428</v>
      </c>
      <c r="E262" s="26" t="str">
        <f aca="false">K15</f>
        <v>Unknown</v>
      </c>
      <c r="F262" s="26" t="str">
        <f aca="false">IF(K32="","",K32)</f>
        <v/>
      </c>
      <c r="G262" s="42" t="s">
        <v>140</v>
      </c>
      <c r="H262" s="54" t="s">
        <v>427</v>
      </c>
    </row>
    <row r="263" customFormat="false" ht="15" hidden="false" customHeight="false" outlineLevel="0" collapsed="false">
      <c r="A263" s="42" t="s">
        <v>112</v>
      </c>
      <c r="B263" s="54" t="s">
        <v>113</v>
      </c>
      <c r="C263" s="42" t="s">
        <v>377</v>
      </c>
      <c r="D263" s="54" t="s">
        <v>430</v>
      </c>
      <c r="E263" s="26" t="str">
        <f aca="false">L15</f>
        <v>Yes</v>
      </c>
      <c r="F263" s="26" t="str">
        <f aca="false">IF(L32="","",L32)</f>
        <v>B</v>
      </c>
      <c r="G263" s="55" t="s">
        <v>511</v>
      </c>
      <c r="H263" s="54"/>
    </row>
    <row r="264" customFormat="false" ht="15" hidden="false" customHeight="false" outlineLevel="0" collapsed="false">
      <c r="A264" s="42" t="s">
        <v>112</v>
      </c>
      <c r="B264" s="54" t="s">
        <v>113</v>
      </c>
      <c r="C264" s="42" t="s">
        <v>378</v>
      </c>
      <c r="D264" s="54" t="s">
        <v>432</v>
      </c>
      <c r="E264" s="26" t="str">
        <f aca="false">M15</f>
        <v>Unknown</v>
      </c>
      <c r="F264" s="26" t="str">
        <f aca="false">IF(M32="","",M32)</f>
        <v/>
      </c>
      <c r="G264" s="42" t="s">
        <v>140</v>
      </c>
      <c r="H264" s="54" t="s">
        <v>427</v>
      </c>
    </row>
    <row r="265" customFormat="false" ht="15" hidden="false" customHeight="false" outlineLevel="0" collapsed="false">
      <c r="A265" s="42" t="s">
        <v>112</v>
      </c>
      <c r="B265" s="54" t="s">
        <v>113</v>
      </c>
      <c r="C265" s="42" t="s">
        <v>379</v>
      </c>
      <c r="D265" s="54" t="s">
        <v>434</v>
      </c>
      <c r="E265" s="26" t="str">
        <f aca="false">N15</f>
        <v>Unknown</v>
      </c>
      <c r="F265" s="26" t="str">
        <f aca="false">IF(N32="","",N32)</f>
        <v/>
      </c>
      <c r="G265" s="42" t="s">
        <v>140</v>
      </c>
      <c r="H265" s="54" t="s">
        <v>427</v>
      </c>
    </row>
    <row r="266" customFormat="false" ht="15" hidden="false" customHeight="false" outlineLevel="0" collapsed="false">
      <c r="A266" s="42" t="s">
        <v>112</v>
      </c>
      <c r="B266" s="54" t="s">
        <v>113</v>
      </c>
      <c r="C266" s="42" t="s">
        <v>380</v>
      </c>
      <c r="D266" s="54" t="s">
        <v>436</v>
      </c>
      <c r="E266" s="26" t="str">
        <f aca="false">O15</f>
        <v>Yes</v>
      </c>
      <c r="F266" s="26" t="str">
        <f aca="false">IF(O32="","",O32)</f>
        <v>B</v>
      </c>
      <c r="G266" s="55" t="s">
        <v>511</v>
      </c>
      <c r="H266" s="54" t="s">
        <v>513</v>
      </c>
    </row>
    <row r="267" customFormat="false" ht="15" hidden="false" customHeight="false" outlineLevel="0" collapsed="false">
      <c r="A267" s="42" t="s">
        <v>112</v>
      </c>
      <c r="B267" s="54" t="s">
        <v>113</v>
      </c>
      <c r="C267" s="42" t="s">
        <v>381</v>
      </c>
      <c r="D267" s="54" t="s">
        <v>437</v>
      </c>
      <c r="E267" s="26" t="str">
        <f aca="false">P15</f>
        <v>Yes</v>
      </c>
      <c r="F267" s="26" t="str">
        <f aca="false">IF(P32="","",P32)</f>
        <v>B</v>
      </c>
      <c r="G267" s="55" t="s">
        <v>511</v>
      </c>
      <c r="H267" s="54"/>
    </row>
    <row r="268" customFormat="false" ht="15" hidden="false" customHeight="false" outlineLevel="0" collapsed="false">
      <c r="A268" s="42" t="s">
        <v>112</v>
      </c>
      <c r="B268" s="54" t="s">
        <v>113</v>
      </c>
      <c r="C268" s="42" t="s">
        <v>382</v>
      </c>
      <c r="D268" s="54" t="s">
        <v>438</v>
      </c>
      <c r="E268" s="26" t="str">
        <f aca="false">Q15</f>
        <v>Yes</v>
      </c>
      <c r="F268" s="26" t="str">
        <f aca="false">IF(Q32="","",Q32)</f>
        <v>B</v>
      </c>
      <c r="G268" s="55" t="s">
        <v>511</v>
      </c>
      <c r="H268" s="54" t="s">
        <v>514</v>
      </c>
    </row>
    <row r="269" customFormat="false" ht="15" hidden="false" customHeight="false" outlineLevel="0" collapsed="false">
      <c r="A269" s="42" t="s">
        <v>112</v>
      </c>
      <c r="B269" s="54" t="s">
        <v>113</v>
      </c>
      <c r="C269" s="42" t="s">
        <v>383</v>
      </c>
      <c r="D269" s="54" t="s">
        <v>439</v>
      </c>
      <c r="E269" s="26" t="str">
        <f aca="false">R15</f>
        <v>Yes</v>
      </c>
      <c r="F269" s="26" t="str">
        <f aca="false">IF(R32="","",R32)</f>
        <v>B</v>
      </c>
      <c r="G269" s="55" t="s">
        <v>511</v>
      </c>
      <c r="H269" s="54" t="s">
        <v>515</v>
      </c>
    </row>
    <row r="270" customFormat="false" ht="15" hidden="false" customHeight="false" outlineLevel="0" collapsed="false">
      <c r="A270" s="42" t="s">
        <v>112</v>
      </c>
      <c r="B270" s="54" t="s">
        <v>113</v>
      </c>
      <c r="C270" s="42" t="s">
        <v>384</v>
      </c>
      <c r="D270" s="54" t="s">
        <v>441</v>
      </c>
      <c r="E270" s="26" t="str">
        <f aca="false">S15</f>
        <v>Unknown</v>
      </c>
      <c r="F270" s="26" t="str">
        <f aca="false">IF(S32="","",S32)</f>
        <v/>
      </c>
      <c r="G270" s="42" t="s">
        <v>140</v>
      </c>
      <c r="H270" s="54" t="s">
        <v>427</v>
      </c>
    </row>
    <row r="271" customFormat="false" ht="15" hidden="false" customHeight="false" outlineLevel="0" collapsed="false">
      <c r="A271" s="42" t="s">
        <v>112</v>
      </c>
      <c r="B271" s="54" t="s">
        <v>113</v>
      </c>
      <c r="C271" s="42" t="s">
        <v>385</v>
      </c>
      <c r="D271" s="54" t="s">
        <v>443</v>
      </c>
      <c r="E271" s="26" t="str">
        <f aca="false">T15</f>
        <v>Yes</v>
      </c>
      <c r="F271" s="26" t="str">
        <f aca="false">IF(T32="","",T32)</f>
        <v>B</v>
      </c>
      <c r="G271" s="55" t="s">
        <v>511</v>
      </c>
      <c r="H271" s="54"/>
    </row>
    <row r="272" customFormat="false" ht="15" hidden="false" customHeight="false" outlineLevel="0" collapsed="false">
      <c r="A272" s="42" t="s">
        <v>112</v>
      </c>
      <c r="B272" s="54" t="s">
        <v>113</v>
      </c>
      <c r="C272" s="42" t="s">
        <v>386</v>
      </c>
      <c r="D272" s="54" t="s">
        <v>445</v>
      </c>
      <c r="E272" s="26" t="str">
        <f aca="false">U15</f>
        <v>Yes</v>
      </c>
      <c r="F272" s="26" t="str">
        <f aca="false">IF(U32="","",U32)</f>
        <v>B</v>
      </c>
      <c r="G272" s="55" t="s">
        <v>511</v>
      </c>
      <c r="H272" s="54"/>
    </row>
    <row r="273" customFormat="false" ht="15" hidden="false" customHeight="false" outlineLevel="0" collapsed="false">
      <c r="A273" s="42" t="s">
        <v>112</v>
      </c>
      <c r="B273" s="54" t="s">
        <v>113</v>
      </c>
      <c r="C273" s="42" t="s">
        <v>387</v>
      </c>
      <c r="D273" s="54" t="s">
        <v>447</v>
      </c>
      <c r="E273" s="26" t="str">
        <f aca="false">V15</f>
        <v>No</v>
      </c>
      <c r="F273" s="26" t="str">
        <f aca="false">IF(V32="","",V32)</f>
        <v>B</v>
      </c>
      <c r="G273" s="55" t="s">
        <v>511</v>
      </c>
      <c r="H273" s="54" t="s">
        <v>353</v>
      </c>
    </row>
    <row r="274" customFormat="false" ht="15" hidden="false" customHeight="false" outlineLevel="0" collapsed="false">
      <c r="A274" s="42" t="s">
        <v>112</v>
      </c>
      <c r="B274" s="54" t="s">
        <v>113</v>
      </c>
      <c r="C274" s="42" t="s">
        <v>388</v>
      </c>
      <c r="D274" s="54" t="s">
        <v>448</v>
      </c>
      <c r="E274" s="26" t="str">
        <f aca="false">W15</f>
        <v>Unknown</v>
      </c>
      <c r="F274" s="26" t="str">
        <f aca="false">IF(W32="","",W32)</f>
        <v/>
      </c>
      <c r="G274" s="42" t="s">
        <v>140</v>
      </c>
      <c r="H274" s="54" t="s">
        <v>427</v>
      </c>
    </row>
    <row r="275" customFormat="false" ht="15" hidden="false" customHeight="false" outlineLevel="0" collapsed="false">
      <c r="A275" s="42" t="s">
        <v>112</v>
      </c>
      <c r="B275" s="54" t="s">
        <v>113</v>
      </c>
      <c r="C275" s="42" t="s">
        <v>389</v>
      </c>
      <c r="D275" s="54" t="s">
        <v>449</v>
      </c>
      <c r="E275" s="26" t="str">
        <f aca="false">X15</f>
        <v>Yes</v>
      </c>
      <c r="F275" s="26" t="str">
        <f aca="false">IF(X32="","",X32)</f>
        <v>B</v>
      </c>
      <c r="G275" s="55" t="s">
        <v>511</v>
      </c>
      <c r="H275" s="54" t="s">
        <v>516</v>
      </c>
    </row>
    <row r="276" customFormat="false" ht="15" hidden="false" customHeight="false" outlineLevel="0" collapsed="false">
      <c r="A276" s="42" t="s">
        <v>112</v>
      </c>
      <c r="B276" s="54" t="s">
        <v>113</v>
      </c>
      <c r="C276" s="42" t="s">
        <v>390</v>
      </c>
      <c r="D276" s="54" t="s">
        <v>451</v>
      </c>
      <c r="E276" s="26" t="str">
        <f aca="false">Y15</f>
        <v>Yes</v>
      </c>
      <c r="F276" s="26" t="str">
        <f aca="false">IF(Y32="","",Y32)</f>
        <v>C</v>
      </c>
      <c r="G276" s="55" t="s">
        <v>511</v>
      </c>
      <c r="H276" s="54"/>
    </row>
    <row r="277" customFormat="false" ht="15" hidden="false" customHeight="false" outlineLevel="0" collapsed="false">
      <c r="A277" s="42" t="s">
        <v>112</v>
      </c>
      <c r="B277" s="54" t="s">
        <v>113</v>
      </c>
      <c r="C277" s="42" t="s">
        <v>391</v>
      </c>
      <c r="D277" s="54" t="s">
        <v>453</v>
      </c>
      <c r="E277" s="26" t="str">
        <f aca="false">Z15</f>
        <v>Unknown</v>
      </c>
      <c r="F277" s="26" t="str">
        <f aca="false">IF(Z32="","",Z32)</f>
        <v/>
      </c>
      <c r="G277" s="42" t="s">
        <v>140</v>
      </c>
      <c r="H277" s="54" t="s">
        <v>427</v>
      </c>
    </row>
    <row r="278" customFormat="false" ht="15" hidden="false" customHeight="false" outlineLevel="0" collapsed="false">
      <c r="A278" s="42" t="s">
        <v>112</v>
      </c>
      <c r="B278" s="54" t="s">
        <v>113</v>
      </c>
      <c r="C278" s="42" t="s">
        <v>392</v>
      </c>
      <c r="D278" s="54" t="s">
        <v>454</v>
      </c>
      <c r="E278" s="26" t="str">
        <f aca="false">AA15</f>
        <v>Unknown</v>
      </c>
      <c r="F278" s="26" t="str">
        <f aca="false">IF(AA32="","",AA32)</f>
        <v/>
      </c>
      <c r="G278" s="42" t="s">
        <v>140</v>
      </c>
      <c r="H278" s="54" t="s">
        <v>427</v>
      </c>
    </row>
    <row r="279" customFormat="false" ht="15" hidden="false" customHeight="false" outlineLevel="0" collapsed="false">
      <c r="A279" s="42" t="s">
        <v>117</v>
      </c>
      <c r="B279" s="54" t="s">
        <v>118</v>
      </c>
      <c r="C279" s="42" t="s">
        <v>371</v>
      </c>
      <c r="D279" s="54" t="s">
        <v>417</v>
      </c>
      <c r="E279" s="26" t="str">
        <f aca="false">F16</f>
        <v>Yes</v>
      </c>
      <c r="F279" s="26" t="str">
        <f aca="false">IF(F33="","",F33)</f>
        <v>B</v>
      </c>
      <c r="G279" s="55" t="s">
        <v>517</v>
      </c>
      <c r="H279" s="54" t="s">
        <v>358</v>
      </c>
    </row>
    <row r="280" customFormat="false" ht="15" hidden="false" customHeight="false" outlineLevel="0" collapsed="false">
      <c r="A280" s="42" t="s">
        <v>117</v>
      </c>
      <c r="B280" s="54" t="s">
        <v>118</v>
      </c>
      <c r="C280" s="42" t="s">
        <v>372</v>
      </c>
      <c r="D280" s="54" t="s">
        <v>420</v>
      </c>
      <c r="E280" s="26" t="str">
        <f aca="false">G16</f>
        <v>Unknown</v>
      </c>
      <c r="F280" s="26" t="str">
        <f aca="false">IF(G33="","",G33)</f>
        <v/>
      </c>
      <c r="G280" s="42" t="s">
        <v>140</v>
      </c>
      <c r="H280" s="54" t="s">
        <v>427</v>
      </c>
    </row>
    <row r="281" customFormat="false" ht="15" hidden="false" customHeight="false" outlineLevel="0" collapsed="false">
      <c r="A281" s="42" t="s">
        <v>117</v>
      </c>
      <c r="B281" s="54" t="s">
        <v>118</v>
      </c>
      <c r="C281" s="42" t="s">
        <v>373</v>
      </c>
      <c r="D281" s="54" t="s">
        <v>422</v>
      </c>
      <c r="E281" s="26" t="str">
        <f aca="false">H16</f>
        <v>Unknown</v>
      </c>
      <c r="F281" s="26" t="str">
        <f aca="false">IF(H33="","",H33)</f>
        <v/>
      </c>
      <c r="G281" s="42" t="s">
        <v>140</v>
      </c>
      <c r="H281" s="54" t="s">
        <v>427</v>
      </c>
    </row>
    <row r="282" customFormat="false" ht="15" hidden="false" customHeight="false" outlineLevel="0" collapsed="false">
      <c r="A282" s="42" t="s">
        <v>117</v>
      </c>
      <c r="B282" s="54" t="s">
        <v>118</v>
      </c>
      <c r="C282" s="42" t="s">
        <v>374</v>
      </c>
      <c r="D282" s="54" t="s">
        <v>424</v>
      </c>
      <c r="E282" s="26" t="str">
        <f aca="false">I16</f>
        <v>Unknown</v>
      </c>
      <c r="F282" s="26" t="str">
        <f aca="false">IF(I33="","",I33)</f>
        <v/>
      </c>
      <c r="G282" s="42" t="s">
        <v>140</v>
      </c>
      <c r="H282" s="54" t="s">
        <v>427</v>
      </c>
    </row>
    <row r="283" customFormat="false" ht="15" hidden="false" customHeight="false" outlineLevel="0" collapsed="false">
      <c r="A283" s="42" t="s">
        <v>117</v>
      </c>
      <c r="B283" s="54" t="s">
        <v>118</v>
      </c>
      <c r="C283" s="42" t="s">
        <v>375</v>
      </c>
      <c r="D283" s="54" t="s">
        <v>426</v>
      </c>
      <c r="E283" s="26" t="str">
        <f aca="false">J16</f>
        <v>Unknown</v>
      </c>
      <c r="F283" s="26" t="str">
        <f aca="false">IF(J33="","",J33)</f>
        <v/>
      </c>
      <c r="G283" s="42" t="s">
        <v>140</v>
      </c>
      <c r="H283" s="54" t="s">
        <v>427</v>
      </c>
    </row>
    <row r="284" customFormat="false" ht="15" hidden="false" customHeight="false" outlineLevel="0" collapsed="false">
      <c r="A284" s="42" t="s">
        <v>117</v>
      </c>
      <c r="B284" s="54" t="s">
        <v>118</v>
      </c>
      <c r="C284" s="42" t="s">
        <v>376</v>
      </c>
      <c r="D284" s="54" t="s">
        <v>428</v>
      </c>
      <c r="E284" s="26" t="str">
        <f aca="false">K16</f>
        <v>Yes</v>
      </c>
      <c r="F284" s="26" t="str">
        <f aca="false">IF(K33="","",K33)</f>
        <v>B</v>
      </c>
      <c r="G284" s="55" t="s">
        <v>517</v>
      </c>
      <c r="H284" s="54" t="s">
        <v>518</v>
      </c>
    </row>
    <row r="285" customFormat="false" ht="15" hidden="false" customHeight="false" outlineLevel="0" collapsed="false">
      <c r="A285" s="42" t="s">
        <v>117</v>
      </c>
      <c r="B285" s="54" t="s">
        <v>118</v>
      </c>
      <c r="C285" s="42" t="s">
        <v>377</v>
      </c>
      <c r="D285" s="54" t="s">
        <v>430</v>
      </c>
      <c r="E285" s="26" t="str">
        <f aca="false">L16</f>
        <v>Yes</v>
      </c>
      <c r="F285" s="26" t="str">
        <f aca="false">IF(L33="","",L33)</f>
        <v>C</v>
      </c>
      <c r="G285" s="55" t="s">
        <v>517</v>
      </c>
      <c r="H285" s="54" t="s">
        <v>519</v>
      </c>
    </row>
    <row r="286" customFormat="false" ht="15" hidden="false" customHeight="false" outlineLevel="0" collapsed="false">
      <c r="A286" s="42" t="s">
        <v>117</v>
      </c>
      <c r="B286" s="54" t="s">
        <v>118</v>
      </c>
      <c r="C286" s="42" t="s">
        <v>378</v>
      </c>
      <c r="D286" s="54" t="s">
        <v>432</v>
      </c>
      <c r="E286" s="26" t="str">
        <f aca="false">M16</f>
        <v>Unknown</v>
      </c>
      <c r="F286" s="26" t="str">
        <f aca="false">IF(M33="","",M33)</f>
        <v/>
      </c>
      <c r="G286" s="42" t="s">
        <v>140</v>
      </c>
      <c r="H286" s="54" t="s">
        <v>427</v>
      </c>
    </row>
    <row r="287" customFormat="false" ht="15" hidden="false" customHeight="false" outlineLevel="0" collapsed="false">
      <c r="A287" s="42" t="s">
        <v>117</v>
      </c>
      <c r="B287" s="54" t="s">
        <v>118</v>
      </c>
      <c r="C287" s="42" t="s">
        <v>379</v>
      </c>
      <c r="D287" s="54" t="s">
        <v>434</v>
      </c>
      <c r="E287" s="26" t="str">
        <f aca="false">N16</f>
        <v>Unknown</v>
      </c>
      <c r="F287" s="26" t="str">
        <f aca="false">IF(N33="","",N33)</f>
        <v/>
      </c>
      <c r="G287" s="42" t="s">
        <v>140</v>
      </c>
      <c r="H287" s="54" t="s">
        <v>427</v>
      </c>
    </row>
    <row r="288" customFormat="false" ht="15" hidden="false" customHeight="false" outlineLevel="0" collapsed="false">
      <c r="A288" s="42" t="s">
        <v>117</v>
      </c>
      <c r="B288" s="54" t="s">
        <v>118</v>
      </c>
      <c r="C288" s="42" t="s">
        <v>380</v>
      </c>
      <c r="D288" s="54" t="s">
        <v>436</v>
      </c>
      <c r="E288" s="26" t="str">
        <f aca="false">O16</f>
        <v>Yes</v>
      </c>
      <c r="F288" s="26" t="str">
        <f aca="false">IF(O33="","",O33)</f>
        <v>B</v>
      </c>
      <c r="G288" s="55" t="s">
        <v>517</v>
      </c>
      <c r="H288" s="54" t="s">
        <v>520</v>
      </c>
    </row>
    <row r="289" customFormat="false" ht="15" hidden="false" customHeight="false" outlineLevel="0" collapsed="false">
      <c r="A289" s="42" t="s">
        <v>117</v>
      </c>
      <c r="B289" s="54" t="s">
        <v>118</v>
      </c>
      <c r="C289" s="42" t="s">
        <v>381</v>
      </c>
      <c r="D289" s="54" t="s">
        <v>437</v>
      </c>
      <c r="E289" s="26" t="str">
        <f aca="false">P16</f>
        <v>Yes</v>
      </c>
      <c r="F289" s="26" t="str">
        <f aca="false">IF(P33="","",P33)</f>
        <v>C</v>
      </c>
      <c r="G289" s="55" t="s">
        <v>517</v>
      </c>
      <c r="H289" s="54" t="s">
        <v>521</v>
      </c>
    </row>
    <row r="290" customFormat="false" ht="15" hidden="false" customHeight="false" outlineLevel="0" collapsed="false">
      <c r="A290" s="42" t="s">
        <v>117</v>
      </c>
      <c r="B290" s="54" t="s">
        <v>118</v>
      </c>
      <c r="C290" s="42" t="s">
        <v>382</v>
      </c>
      <c r="D290" s="54" t="s">
        <v>438</v>
      </c>
      <c r="E290" s="26" t="str">
        <f aca="false">Q16</f>
        <v>Unknown</v>
      </c>
      <c r="F290" s="26" t="str">
        <f aca="false">IF(Q33="","",Q33)</f>
        <v/>
      </c>
      <c r="G290" s="42" t="s">
        <v>140</v>
      </c>
      <c r="H290" s="54" t="s">
        <v>427</v>
      </c>
    </row>
    <row r="291" customFormat="false" ht="15" hidden="false" customHeight="false" outlineLevel="0" collapsed="false">
      <c r="A291" s="42" t="s">
        <v>117</v>
      </c>
      <c r="B291" s="54" t="s">
        <v>118</v>
      </c>
      <c r="C291" s="42" t="s">
        <v>383</v>
      </c>
      <c r="D291" s="54" t="s">
        <v>439</v>
      </c>
      <c r="E291" s="26" t="str">
        <f aca="false">R16</f>
        <v>Yes</v>
      </c>
      <c r="F291" s="26" t="str">
        <f aca="false">IF(R33="","",R33)</f>
        <v>B</v>
      </c>
      <c r="G291" s="55" t="s">
        <v>517</v>
      </c>
      <c r="H291" s="54" t="s">
        <v>522</v>
      </c>
    </row>
    <row r="292" customFormat="false" ht="15" hidden="false" customHeight="false" outlineLevel="0" collapsed="false">
      <c r="A292" s="42" t="s">
        <v>117</v>
      </c>
      <c r="B292" s="54" t="s">
        <v>118</v>
      </c>
      <c r="C292" s="42" t="s">
        <v>384</v>
      </c>
      <c r="D292" s="54" t="s">
        <v>441</v>
      </c>
      <c r="E292" s="26" t="str">
        <f aca="false">S16</f>
        <v>Yes</v>
      </c>
      <c r="F292" s="26" t="str">
        <f aca="false">IF(S33="","",S33)</f>
        <v>C</v>
      </c>
      <c r="G292" s="55" t="s">
        <v>517</v>
      </c>
      <c r="H292" s="54" t="s">
        <v>523</v>
      </c>
    </row>
    <row r="293" customFormat="false" ht="15" hidden="false" customHeight="false" outlineLevel="0" collapsed="false">
      <c r="A293" s="42" t="s">
        <v>117</v>
      </c>
      <c r="B293" s="54" t="s">
        <v>118</v>
      </c>
      <c r="C293" s="42" t="s">
        <v>385</v>
      </c>
      <c r="D293" s="54" t="s">
        <v>443</v>
      </c>
      <c r="E293" s="26" t="str">
        <f aca="false">T16</f>
        <v>Yes</v>
      </c>
      <c r="F293" s="26" t="str">
        <f aca="false">IF(T33="","",T33)</f>
        <v>B</v>
      </c>
      <c r="G293" s="55" t="s">
        <v>517</v>
      </c>
      <c r="H293" s="54"/>
    </row>
    <row r="294" customFormat="false" ht="15" hidden="false" customHeight="false" outlineLevel="0" collapsed="false">
      <c r="A294" s="42" t="s">
        <v>117</v>
      </c>
      <c r="B294" s="54" t="s">
        <v>118</v>
      </c>
      <c r="C294" s="42" t="s">
        <v>386</v>
      </c>
      <c r="D294" s="54" t="s">
        <v>445</v>
      </c>
      <c r="E294" s="26" t="str">
        <f aca="false">U16</f>
        <v>Yes</v>
      </c>
      <c r="F294" s="26" t="str">
        <f aca="false">IF(U33="","",U33)</f>
        <v>B</v>
      </c>
      <c r="G294" s="55" t="s">
        <v>517</v>
      </c>
      <c r="H294" s="54"/>
    </row>
    <row r="295" customFormat="false" ht="15" hidden="false" customHeight="false" outlineLevel="0" collapsed="false">
      <c r="A295" s="42" t="s">
        <v>117</v>
      </c>
      <c r="B295" s="54" t="s">
        <v>118</v>
      </c>
      <c r="C295" s="42" t="s">
        <v>387</v>
      </c>
      <c r="D295" s="54" t="s">
        <v>447</v>
      </c>
      <c r="E295" s="26" t="str">
        <f aca="false">V16</f>
        <v>No</v>
      </c>
      <c r="F295" s="26" t="str">
        <f aca="false">IF(V33="","",V33)</f>
        <v>B</v>
      </c>
      <c r="G295" s="55" t="s">
        <v>517</v>
      </c>
      <c r="H295" s="54" t="s">
        <v>524</v>
      </c>
    </row>
    <row r="296" customFormat="false" ht="15" hidden="false" customHeight="false" outlineLevel="0" collapsed="false">
      <c r="A296" s="42" t="s">
        <v>117</v>
      </c>
      <c r="B296" s="54" t="s">
        <v>118</v>
      </c>
      <c r="C296" s="42" t="s">
        <v>388</v>
      </c>
      <c r="D296" s="54" t="s">
        <v>448</v>
      </c>
      <c r="E296" s="26" t="str">
        <f aca="false">W16</f>
        <v>Unknown</v>
      </c>
      <c r="F296" s="26" t="str">
        <f aca="false">IF(W33="","",W33)</f>
        <v/>
      </c>
      <c r="G296" s="42" t="s">
        <v>140</v>
      </c>
      <c r="H296" s="54" t="s">
        <v>427</v>
      </c>
    </row>
    <row r="297" customFormat="false" ht="15" hidden="false" customHeight="false" outlineLevel="0" collapsed="false">
      <c r="A297" s="42" t="s">
        <v>117</v>
      </c>
      <c r="B297" s="54" t="s">
        <v>118</v>
      </c>
      <c r="C297" s="42" t="s">
        <v>389</v>
      </c>
      <c r="D297" s="54" t="s">
        <v>449</v>
      </c>
      <c r="E297" s="26" t="str">
        <f aca="false">X16</f>
        <v>Unknown</v>
      </c>
      <c r="F297" s="26" t="str">
        <f aca="false">IF(X33="","",X33)</f>
        <v/>
      </c>
      <c r="G297" s="42" t="s">
        <v>140</v>
      </c>
      <c r="H297" s="54" t="s">
        <v>427</v>
      </c>
    </row>
    <row r="298" customFormat="false" ht="15" hidden="false" customHeight="false" outlineLevel="0" collapsed="false">
      <c r="A298" s="42" t="s">
        <v>117</v>
      </c>
      <c r="B298" s="54" t="s">
        <v>118</v>
      </c>
      <c r="C298" s="42" t="s">
        <v>390</v>
      </c>
      <c r="D298" s="54" t="s">
        <v>451</v>
      </c>
      <c r="E298" s="26" t="str">
        <f aca="false">Y16</f>
        <v>Yes</v>
      </c>
      <c r="F298" s="26" t="str">
        <f aca="false">IF(Y33="","",Y33)</f>
        <v>C</v>
      </c>
      <c r="G298" s="55" t="s">
        <v>517</v>
      </c>
      <c r="H298" s="54"/>
    </row>
    <row r="299" customFormat="false" ht="15" hidden="false" customHeight="false" outlineLevel="0" collapsed="false">
      <c r="A299" s="42" t="s">
        <v>117</v>
      </c>
      <c r="B299" s="54" t="s">
        <v>118</v>
      </c>
      <c r="C299" s="42" t="s">
        <v>391</v>
      </c>
      <c r="D299" s="54" t="s">
        <v>453</v>
      </c>
      <c r="E299" s="26" t="str">
        <f aca="false">Z16</f>
        <v>Unknown</v>
      </c>
      <c r="F299" s="26" t="str">
        <f aca="false">IF(Z33="","",Z33)</f>
        <v/>
      </c>
      <c r="G299" s="42" t="s">
        <v>140</v>
      </c>
      <c r="H299" s="54" t="s">
        <v>427</v>
      </c>
    </row>
    <row r="300" customFormat="false" ht="15" hidden="false" customHeight="false" outlineLevel="0" collapsed="false">
      <c r="A300" s="42" t="s">
        <v>117</v>
      </c>
      <c r="B300" s="54" t="s">
        <v>118</v>
      </c>
      <c r="C300" s="42" t="s">
        <v>392</v>
      </c>
      <c r="D300" s="54" t="s">
        <v>454</v>
      </c>
      <c r="E300" s="26" t="str">
        <f aca="false">AA16</f>
        <v>Yes</v>
      </c>
      <c r="F300" s="26" t="str">
        <f aca="false">IF(AA33="","",AA33)</f>
        <v>B</v>
      </c>
      <c r="G300" s="55" t="s">
        <v>517</v>
      </c>
      <c r="H300" s="54" t="s">
        <v>316</v>
      </c>
    </row>
    <row r="301" customFormat="false" ht="15" hidden="false" customHeight="false" outlineLevel="0" collapsed="false">
      <c r="A301" s="42" t="s">
        <v>122</v>
      </c>
      <c r="B301" s="54" t="s">
        <v>123</v>
      </c>
      <c r="C301" s="42" t="s">
        <v>371</v>
      </c>
      <c r="D301" s="54" t="s">
        <v>417</v>
      </c>
      <c r="E301" s="26" t="str">
        <f aca="false">F17</f>
        <v>Yes</v>
      </c>
      <c r="F301" s="26" t="str">
        <f aca="false">IF(F34="","",F34)</f>
        <v>B</v>
      </c>
      <c r="G301" s="55" t="s">
        <v>525</v>
      </c>
      <c r="H301" s="54"/>
    </row>
    <row r="302" customFormat="false" ht="15" hidden="false" customHeight="false" outlineLevel="0" collapsed="false">
      <c r="A302" s="42" t="s">
        <v>122</v>
      </c>
      <c r="B302" s="54" t="s">
        <v>123</v>
      </c>
      <c r="C302" s="42" t="s">
        <v>372</v>
      </c>
      <c r="D302" s="54" t="s">
        <v>420</v>
      </c>
      <c r="E302" s="26" t="str">
        <f aca="false">G17</f>
        <v>Unknown</v>
      </c>
      <c r="F302" s="26" t="str">
        <f aca="false">IF(G34="","",G34)</f>
        <v/>
      </c>
      <c r="G302" s="42" t="s">
        <v>140</v>
      </c>
      <c r="H302" s="54" t="s">
        <v>427</v>
      </c>
    </row>
    <row r="303" customFormat="false" ht="15" hidden="false" customHeight="false" outlineLevel="0" collapsed="false">
      <c r="A303" s="42" t="s">
        <v>122</v>
      </c>
      <c r="B303" s="54" t="s">
        <v>123</v>
      </c>
      <c r="C303" s="42" t="s">
        <v>373</v>
      </c>
      <c r="D303" s="54" t="s">
        <v>422</v>
      </c>
      <c r="E303" s="26" t="str">
        <f aca="false">H17</f>
        <v>Unknown</v>
      </c>
      <c r="F303" s="26" t="str">
        <f aca="false">IF(H34="","",H34)</f>
        <v/>
      </c>
      <c r="G303" s="42" t="s">
        <v>140</v>
      </c>
      <c r="H303" s="54" t="s">
        <v>427</v>
      </c>
    </row>
    <row r="304" customFormat="false" ht="15" hidden="false" customHeight="false" outlineLevel="0" collapsed="false">
      <c r="A304" s="42" t="s">
        <v>122</v>
      </c>
      <c r="B304" s="54" t="s">
        <v>123</v>
      </c>
      <c r="C304" s="42" t="s">
        <v>374</v>
      </c>
      <c r="D304" s="54" t="s">
        <v>424</v>
      </c>
      <c r="E304" s="26" t="str">
        <f aca="false">I17</f>
        <v>Unknown</v>
      </c>
      <c r="F304" s="26" t="str">
        <f aca="false">IF(I34="","",I34)</f>
        <v/>
      </c>
      <c r="G304" s="42" t="s">
        <v>140</v>
      </c>
      <c r="H304" s="54" t="s">
        <v>427</v>
      </c>
    </row>
    <row r="305" customFormat="false" ht="15" hidden="false" customHeight="false" outlineLevel="0" collapsed="false">
      <c r="A305" s="42" t="s">
        <v>122</v>
      </c>
      <c r="B305" s="54" t="s">
        <v>123</v>
      </c>
      <c r="C305" s="42" t="s">
        <v>375</v>
      </c>
      <c r="D305" s="54" t="s">
        <v>426</v>
      </c>
      <c r="E305" s="26" t="str">
        <f aca="false">J17</f>
        <v>Conditional</v>
      </c>
      <c r="F305" s="26" t="str">
        <f aca="false">IF(J34="","",J34)</f>
        <v>B</v>
      </c>
      <c r="G305" s="55" t="s">
        <v>525</v>
      </c>
      <c r="H305" s="54" t="s">
        <v>526</v>
      </c>
    </row>
    <row r="306" customFormat="false" ht="15" hidden="false" customHeight="false" outlineLevel="0" collapsed="false">
      <c r="A306" s="42" t="s">
        <v>122</v>
      </c>
      <c r="B306" s="54" t="s">
        <v>123</v>
      </c>
      <c r="C306" s="42" t="s">
        <v>376</v>
      </c>
      <c r="D306" s="54" t="s">
        <v>428</v>
      </c>
      <c r="E306" s="26" t="str">
        <f aca="false">K17</f>
        <v>Unknown</v>
      </c>
      <c r="F306" s="26" t="str">
        <f aca="false">IF(K34="","",K34)</f>
        <v/>
      </c>
      <c r="G306" s="42" t="s">
        <v>140</v>
      </c>
      <c r="H306" s="54" t="s">
        <v>427</v>
      </c>
    </row>
    <row r="307" customFormat="false" ht="15" hidden="false" customHeight="false" outlineLevel="0" collapsed="false">
      <c r="A307" s="42" t="s">
        <v>122</v>
      </c>
      <c r="B307" s="54" t="s">
        <v>123</v>
      </c>
      <c r="C307" s="42" t="s">
        <v>377</v>
      </c>
      <c r="D307" s="54" t="s">
        <v>430</v>
      </c>
      <c r="E307" s="26" t="str">
        <f aca="false">L17</f>
        <v>Unknown</v>
      </c>
      <c r="F307" s="26" t="str">
        <f aca="false">IF(L34="","",L34)</f>
        <v/>
      </c>
      <c r="G307" s="42" t="s">
        <v>140</v>
      </c>
      <c r="H307" s="54" t="s">
        <v>427</v>
      </c>
    </row>
    <row r="308" customFormat="false" ht="15" hidden="false" customHeight="false" outlineLevel="0" collapsed="false">
      <c r="A308" s="42" t="s">
        <v>122</v>
      </c>
      <c r="B308" s="54" t="s">
        <v>123</v>
      </c>
      <c r="C308" s="42" t="s">
        <v>378</v>
      </c>
      <c r="D308" s="54" t="s">
        <v>432</v>
      </c>
      <c r="E308" s="26" t="str">
        <f aca="false">M17</f>
        <v>Yes</v>
      </c>
      <c r="F308" s="26" t="str">
        <f aca="false">IF(M34="","",M34)</f>
        <v>B</v>
      </c>
      <c r="G308" s="55" t="s">
        <v>525</v>
      </c>
      <c r="H308" s="54" t="s">
        <v>527</v>
      </c>
    </row>
    <row r="309" customFormat="false" ht="15" hidden="false" customHeight="false" outlineLevel="0" collapsed="false">
      <c r="A309" s="42" t="s">
        <v>122</v>
      </c>
      <c r="B309" s="54" t="s">
        <v>123</v>
      </c>
      <c r="C309" s="42" t="s">
        <v>379</v>
      </c>
      <c r="D309" s="54" t="s">
        <v>434</v>
      </c>
      <c r="E309" s="26" t="str">
        <f aca="false">N17</f>
        <v>Unknown</v>
      </c>
      <c r="F309" s="26" t="str">
        <f aca="false">IF(N34="","",N34)</f>
        <v/>
      </c>
      <c r="G309" s="42" t="s">
        <v>140</v>
      </c>
      <c r="H309" s="54" t="s">
        <v>427</v>
      </c>
    </row>
    <row r="310" customFormat="false" ht="15" hidden="false" customHeight="false" outlineLevel="0" collapsed="false">
      <c r="A310" s="42" t="s">
        <v>122</v>
      </c>
      <c r="B310" s="54" t="s">
        <v>123</v>
      </c>
      <c r="C310" s="42" t="s">
        <v>380</v>
      </c>
      <c r="D310" s="54" t="s">
        <v>436</v>
      </c>
      <c r="E310" s="26" t="str">
        <f aca="false">O17</f>
        <v>Unknown</v>
      </c>
      <c r="F310" s="26" t="str">
        <f aca="false">IF(O34="","",O34)</f>
        <v/>
      </c>
      <c r="G310" s="42" t="s">
        <v>140</v>
      </c>
      <c r="H310" s="54" t="s">
        <v>427</v>
      </c>
    </row>
    <row r="311" customFormat="false" ht="15" hidden="false" customHeight="false" outlineLevel="0" collapsed="false">
      <c r="A311" s="42" t="s">
        <v>122</v>
      </c>
      <c r="B311" s="54" t="s">
        <v>123</v>
      </c>
      <c r="C311" s="42" t="s">
        <v>381</v>
      </c>
      <c r="D311" s="54" t="s">
        <v>437</v>
      </c>
      <c r="E311" s="26" t="str">
        <f aca="false">P17</f>
        <v>Yes</v>
      </c>
      <c r="F311" s="26" t="str">
        <f aca="false">IF(P34="","",P34)</f>
        <v>B</v>
      </c>
      <c r="G311" s="55" t="s">
        <v>525</v>
      </c>
      <c r="H311" s="54"/>
    </row>
    <row r="312" customFormat="false" ht="15" hidden="false" customHeight="false" outlineLevel="0" collapsed="false">
      <c r="A312" s="42" t="s">
        <v>122</v>
      </c>
      <c r="B312" s="54" t="s">
        <v>123</v>
      </c>
      <c r="C312" s="42" t="s">
        <v>382</v>
      </c>
      <c r="D312" s="54" t="s">
        <v>438</v>
      </c>
      <c r="E312" s="26" t="str">
        <f aca="false">Q17</f>
        <v>Yes</v>
      </c>
      <c r="F312" s="26" t="str">
        <f aca="false">IF(Q34="","",Q34)</f>
        <v>B</v>
      </c>
      <c r="G312" s="55" t="s">
        <v>525</v>
      </c>
      <c r="H312" s="54" t="s">
        <v>528</v>
      </c>
    </row>
    <row r="313" customFormat="false" ht="15" hidden="false" customHeight="false" outlineLevel="0" collapsed="false">
      <c r="A313" s="42" t="s">
        <v>122</v>
      </c>
      <c r="B313" s="54" t="s">
        <v>123</v>
      </c>
      <c r="C313" s="42" t="s">
        <v>383</v>
      </c>
      <c r="D313" s="54" t="s">
        <v>439</v>
      </c>
      <c r="E313" s="26" t="str">
        <f aca="false">R17</f>
        <v>Yes</v>
      </c>
      <c r="F313" s="26" t="str">
        <f aca="false">IF(R34="","",R34)</f>
        <v>B</v>
      </c>
      <c r="G313" s="55" t="s">
        <v>525</v>
      </c>
      <c r="H313" s="54" t="s">
        <v>529</v>
      </c>
    </row>
    <row r="314" customFormat="false" ht="15" hidden="false" customHeight="false" outlineLevel="0" collapsed="false">
      <c r="A314" s="42" t="s">
        <v>122</v>
      </c>
      <c r="B314" s="54" t="s">
        <v>123</v>
      </c>
      <c r="C314" s="42" t="s">
        <v>384</v>
      </c>
      <c r="D314" s="54" t="s">
        <v>441</v>
      </c>
      <c r="E314" s="26" t="str">
        <f aca="false">S17</f>
        <v>Unknown</v>
      </c>
      <c r="F314" s="26" t="str">
        <f aca="false">IF(S34="","",S34)</f>
        <v/>
      </c>
      <c r="G314" s="42" t="s">
        <v>140</v>
      </c>
      <c r="H314" s="54" t="s">
        <v>427</v>
      </c>
    </row>
    <row r="315" customFormat="false" ht="15" hidden="false" customHeight="false" outlineLevel="0" collapsed="false">
      <c r="A315" s="42" t="s">
        <v>122</v>
      </c>
      <c r="B315" s="54" t="s">
        <v>123</v>
      </c>
      <c r="C315" s="42" t="s">
        <v>385</v>
      </c>
      <c r="D315" s="54" t="s">
        <v>443</v>
      </c>
      <c r="E315" s="26" t="str">
        <f aca="false">T17</f>
        <v>Yes</v>
      </c>
      <c r="F315" s="26" t="str">
        <f aca="false">IF(T34="","",T34)</f>
        <v>B</v>
      </c>
      <c r="G315" s="55" t="s">
        <v>525</v>
      </c>
      <c r="H315" s="54"/>
    </row>
    <row r="316" customFormat="false" ht="15" hidden="false" customHeight="false" outlineLevel="0" collapsed="false">
      <c r="A316" s="42" t="s">
        <v>122</v>
      </c>
      <c r="B316" s="54" t="s">
        <v>123</v>
      </c>
      <c r="C316" s="42" t="s">
        <v>386</v>
      </c>
      <c r="D316" s="54" t="s">
        <v>445</v>
      </c>
      <c r="E316" s="26" t="str">
        <f aca="false">U17</f>
        <v>Yes</v>
      </c>
      <c r="F316" s="26" t="str">
        <f aca="false">IF(U34="","",U34)</f>
        <v>B</v>
      </c>
      <c r="G316" s="55" t="s">
        <v>525</v>
      </c>
      <c r="H316" s="54"/>
    </row>
    <row r="317" customFormat="false" ht="15" hidden="false" customHeight="false" outlineLevel="0" collapsed="false">
      <c r="A317" s="42" t="s">
        <v>122</v>
      </c>
      <c r="B317" s="54" t="s">
        <v>123</v>
      </c>
      <c r="C317" s="42" t="s">
        <v>387</v>
      </c>
      <c r="D317" s="54" t="s">
        <v>447</v>
      </c>
      <c r="E317" s="26" t="str">
        <f aca="false">V17</f>
        <v>Unknown</v>
      </c>
      <c r="F317" s="26" t="str">
        <f aca="false">IF(V34="","",V34)</f>
        <v/>
      </c>
      <c r="G317" s="42" t="s">
        <v>140</v>
      </c>
      <c r="H317" s="54" t="s">
        <v>427</v>
      </c>
    </row>
    <row r="318" customFormat="false" ht="15" hidden="false" customHeight="false" outlineLevel="0" collapsed="false">
      <c r="A318" s="42" t="s">
        <v>122</v>
      </c>
      <c r="B318" s="54" t="s">
        <v>123</v>
      </c>
      <c r="C318" s="42" t="s">
        <v>388</v>
      </c>
      <c r="D318" s="54" t="s">
        <v>448</v>
      </c>
      <c r="E318" s="26" t="str">
        <f aca="false">W17</f>
        <v>Unknown</v>
      </c>
      <c r="F318" s="26" t="str">
        <f aca="false">IF(W34="","",W34)</f>
        <v/>
      </c>
      <c r="G318" s="42" t="s">
        <v>140</v>
      </c>
      <c r="H318" s="54" t="s">
        <v>427</v>
      </c>
    </row>
    <row r="319" customFormat="false" ht="15" hidden="false" customHeight="false" outlineLevel="0" collapsed="false">
      <c r="A319" s="42" t="s">
        <v>122</v>
      </c>
      <c r="B319" s="54" t="s">
        <v>123</v>
      </c>
      <c r="C319" s="42" t="s">
        <v>389</v>
      </c>
      <c r="D319" s="54" t="s">
        <v>449</v>
      </c>
      <c r="E319" s="26" t="str">
        <f aca="false">X17</f>
        <v>Unknown</v>
      </c>
      <c r="F319" s="26" t="str">
        <f aca="false">IF(X34="","",X34)</f>
        <v/>
      </c>
      <c r="G319" s="42" t="s">
        <v>140</v>
      </c>
      <c r="H319" s="54" t="s">
        <v>427</v>
      </c>
    </row>
    <row r="320" customFormat="false" ht="15" hidden="false" customHeight="false" outlineLevel="0" collapsed="false">
      <c r="A320" s="42" t="s">
        <v>122</v>
      </c>
      <c r="B320" s="54" t="s">
        <v>123</v>
      </c>
      <c r="C320" s="42" t="s">
        <v>390</v>
      </c>
      <c r="D320" s="54" t="s">
        <v>451</v>
      </c>
      <c r="E320" s="26" t="str">
        <f aca="false">Y17</f>
        <v>Yes</v>
      </c>
      <c r="F320" s="26" t="str">
        <f aca="false">IF(Y34="","",Y34)</f>
        <v>C</v>
      </c>
      <c r="G320" s="55" t="s">
        <v>525</v>
      </c>
      <c r="H320" s="54"/>
    </row>
    <row r="321" customFormat="false" ht="15" hidden="false" customHeight="false" outlineLevel="0" collapsed="false">
      <c r="A321" s="42" t="s">
        <v>122</v>
      </c>
      <c r="B321" s="54" t="s">
        <v>123</v>
      </c>
      <c r="C321" s="42" t="s">
        <v>391</v>
      </c>
      <c r="D321" s="54" t="s">
        <v>453</v>
      </c>
      <c r="E321" s="26" t="str">
        <f aca="false">Z17</f>
        <v>Unknown</v>
      </c>
      <c r="F321" s="26" t="str">
        <f aca="false">IF(Z34="","",Z34)</f>
        <v/>
      </c>
      <c r="G321" s="42" t="s">
        <v>140</v>
      </c>
      <c r="H321" s="54" t="s">
        <v>427</v>
      </c>
    </row>
    <row r="322" customFormat="false" ht="15" hidden="false" customHeight="false" outlineLevel="0" collapsed="false">
      <c r="A322" s="42" t="s">
        <v>122</v>
      </c>
      <c r="B322" s="54" t="s">
        <v>123</v>
      </c>
      <c r="C322" s="42" t="s">
        <v>392</v>
      </c>
      <c r="D322" s="54" t="s">
        <v>454</v>
      </c>
      <c r="E322" s="26" t="str">
        <f aca="false">AA17</f>
        <v>Unknown</v>
      </c>
      <c r="F322" s="26" t="str">
        <f aca="false">IF(AA34="","",AA34)</f>
        <v/>
      </c>
      <c r="G322" s="42" t="s">
        <v>140</v>
      </c>
      <c r="H322" s="54" t="s">
        <v>427</v>
      </c>
    </row>
    <row r="323" customFormat="false" ht="15" hidden="false" customHeight="false" outlineLevel="0" collapsed="false">
      <c r="A323" s="42" t="s">
        <v>127</v>
      </c>
      <c r="B323" s="54" t="s">
        <v>128</v>
      </c>
      <c r="C323" s="42" t="s">
        <v>371</v>
      </c>
      <c r="D323" s="54" t="s">
        <v>417</v>
      </c>
      <c r="E323" s="26" t="str">
        <f aca="false">F18</f>
        <v>Yes</v>
      </c>
      <c r="F323" s="26" t="str">
        <f aca="false">IF(F35="","",F35)</f>
        <v>B</v>
      </c>
      <c r="G323" s="55" t="s">
        <v>530</v>
      </c>
      <c r="H323" s="54" t="s">
        <v>531</v>
      </c>
    </row>
    <row r="324" customFormat="false" ht="15" hidden="false" customHeight="false" outlineLevel="0" collapsed="false">
      <c r="A324" s="42" t="s">
        <v>127</v>
      </c>
      <c r="B324" s="54" t="s">
        <v>128</v>
      </c>
      <c r="C324" s="42" t="s">
        <v>372</v>
      </c>
      <c r="D324" s="54" t="s">
        <v>420</v>
      </c>
      <c r="E324" s="26" t="str">
        <f aca="false">G18</f>
        <v>Unknown</v>
      </c>
      <c r="F324" s="26" t="str">
        <f aca="false">IF(G35="","",G35)</f>
        <v/>
      </c>
      <c r="G324" s="42" t="s">
        <v>140</v>
      </c>
      <c r="H324" s="54" t="s">
        <v>427</v>
      </c>
    </row>
    <row r="325" customFormat="false" ht="15" hidden="false" customHeight="false" outlineLevel="0" collapsed="false">
      <c r="A325" s="42" t="s">
        <v>127</v>
      </c>
      <c r="B325" s="54" t="s">
        <v>128</v>
      </c>
      <c r="C325" s="42" t="s">
        <v>373</v>
      </c>
      <c r="D325" s="54" t="s">
        <v>422</v>
      </c>
      <c r="E325" s="26" t="str">
        <f aca="false">H18</f>
        <v>Unknown</v>
      </c>
      <c r="F325" s="26" t="str">
        <f aca="false">IF(H35="","",H35)</f>
        <v/>
      </c>
      <c r="G325" s="42" t="s">
        <v>140</v>
      </c>
      <c r="H325" s="54" t="s">
        <v>427</v>
      </c>
    </row>
    <row r="326" customFormat="false" ht="15" hidden="false" customHeight="false" outlineLevel="0" collapsed="false">
      <c r="A326" s="42" t="s">
        <v>127</v>
      </c>
      <c r="B326" s="54" t="s">
        <v>128</v>
      </c>
      <c r="C326" s="42" t="s">
        <v>374</v>
      </c>
      <c r="D326" s="54" t="s">
        <v>424</v>
      </c>
      <c r="E326" s="26" t="str">
        <f aca="false">I18</f>
        <v>Yes</v>
      </c>
      <c r="F326" s="26" t="str">
        <f aca="false">IF(I35="","",I35)</f>
        <v>B</v>
      </c>
      <c r="G326" s="55" t="s">
        <v>530</v>
      </c>
      <c r="H326" s="54" t="s">
        <v>531</v>
      </c>
    </row>
    <row r="327" customFormat="false" ht="15" hidden="false" customHeight="false" outlineLevel="0" collapsed="false">
      <c r="A327" s="42" t="s">
        <v>127</v>
      </c>
      <c r="B327" s="54" t="s">
        <v>128</v>
      </c>
      <c r="C327" s="42" t="s">
        <v>375</v>
      </c>
      <c r="D327" s="54" t="s">
        <v>426</v>
      </c>
      <c r="E327" s="26" t="str">
        <f aca="false">J18</f>
        <v>Conditional</v>
      </c>
      <c r="F327" s="26" t="str">
        <f aca="false">IF(J35="","",J35)</f>
        <v>B</v>
      </c>
      <c r="G327" s="55" t="s">
        <v>530</v>
      </c>
      <c r="H327" s="54" t="s">
        <v>532</v>
      </c>
    </row>
    <row r="328" customFormat="false" ht="15" hidden="false" customHeight="false" outlineLevel="0" collapsed="false">
      <c r="A328" s="42" t="s">
        <v>127</v>
      </c>
      <c r="B328" s="54" t="s">
        <v>128</v>
      </c>
      <c r="C328" s="42" t="s">
        <v>376</v>
      </c>
      <c r="D328" s="54" t="s">
        <v>428</v>
      </c>
      <c r="E328" s="26" t="str">
        <f aca="false">K18</f>
        <v>Yes</v>
      </c>
      <c r="F328" s="26" t="str">
        <f aca="false">IF(K35="","",K35)</f>
        <v>B</v>
      </c>
      <c r="G328" s="55" t="s">
        <v>530</v>
      </c>
      <c r="H328" s="54"/>
    </row>
    <row r="329" customFormat="false" ht="15" hidden="false" customHeight="false" outlineLevel="0" collapsed="false">
      <c r="A329" s="42" t="s">
        <v>127</v>
      </c>
      <c r="B329" s="54" t="s">
        <v>128</v>
      </c>
      <c r="C329" s="42" t="s">
        <v>377</v>
      </c>
      <c r="D329" s="54" t="s">
        <v>430</v>
      </c>
      <c r="E329" s="26" t="str">
        <f aca="false">L18</f>
        <v>Unknown</v>
      </c>
      <c r="F329" s="26" t="str">
        <f aca="false">IF(L35="","",L35)</f>
        <v/>
      </c>
      <c r="G329" s="42" t="s">
        <v>140</v>
      </c>
      <c r="H329" s="54" t="s">
        <v>427</v>
      </c>
    </row>
    <row r="330" customFormat="false" ht="15" hidden="false" customHeight="false" outlineLevel="0" collapsed="false">
      <c r="A330" s="42" t="s">
        <v>127</v>
      </c>
      <c r="B330" s="54" t="s">
        <v>128</v>
      </c>
      <c r="C330" s="42" t="s">
        <v>378</v>
      </c>
      <c r="D330" s="54" t="s">
        <v>432</v>
      </c>
      <c r="E330" s="26" t="str">
        <f aca="false">M18</f>
        <v>Unknown</v>
      </c>
      <c r="F330" s="26" t="str">
        <f aca="false">IF(M35="","",M35)</f>
        <v/>
      </c>
      <c r="G330" s="42" t="s">
        <v>140</v>
      </c>
      <c r="H330" s="54" t="s">
        <v>427</v>
      </c>
    </row>
    <row r="331" customFormat="false" ht="15" hidden="false" customHeight="false" outlineLevel="0" collapsed="false">
      <c r="A331" s="42" t="s">
        <v>127</v>
      </c>
      <c r="B331" s="54" t="s">
        <v>128</v>
      </c>
      <c r="C331" s="42" t="s">
        <v>379</v>
      </c>
      <c r="D331" s="54" t="s">
        <v>434</v>
      </c>
      <c r="E331" s="26" t="str">
        <f aca="false">N18</f>
        <v>Unknown</v>
      </c>
      <c r="F331" s="26" t="str">
        <f aca="false">IF(N35="","",N35)</f>
        <v/>
      </c>
      <c r="G331" s="42" t="s">
        <v>140</v>
      </c>
      <c r="H331" s="54" t="s">
        <v>427</v>
      </c>
    </row>
    <row r="332" customFormat="false" ht="15" hidden="false" customHeight="false" outlineLevel="0" collapsed="false">
      <c r="A332" s="42" t="s">
        <v>127</v>
      </c>
      <c r="B332" s="54" t="s">
        <v>128</v>
      </c>
      <c r="C332" s="42" t="s">
        <v>380</v>
      </c>
      <c r="D332" s="54" t="s">
        <v>436</v>
      </c>
      <c r="E332" s="26" t="str">
        <f aca="false">O18</f>
        <v>Unknown</v>
      </c>
      <c r="F332" s="26" t="str">
        <f aca="false">IF(O35="","",O35)</f>
        <v/>
      </c>
      <c r="G332" s="55" t="s">
        <v>530</v>
      </c>
      <c r="H332" s="54" t="s">
        <v>533</v>
      </c>
    </row>
    <row r="333" customFormat="false" ht="15" hidden="false" customHeight="false" outlineLevel="0" collapsed="false">
      <c r="A333" s="42" t="s">
        <v>127</v>
      </c>
      <c r="B333" s="54" t="s">
        <v>128</v>
      </c>
      <c r="C333" s="42" t="s">
        <v>381</v>
      </c>
      <c r="D333" s="54" t="s">
        <v>437</v>
      </c>
      <c r="E333" s="26" t="str">
        <f aca="false">P18</f>
        <v>Yes</v>
      </c>
      <c r="F333" s="26" t="str">
        <f aca="false">IF(P35="","",P35)</f>
        <v>B</v>
      </c>
      <c r="G333" s="55" t="s">
        <v>530</v>
      </c>
      <c r="H333" s="54" t="s">
        <v>534</v>
      </c>
    </row>
    <row r="334" customFormat="false" ht="15" hidden="false" customHeight="false" outlineLevel="0" collapsed="false">
      <c r="A334" s="42" t="s">
        <v>127</v>
      </c>
      <c r="B334" s="54" t="s">
        <v>128</v>
      </c>
      <c r="C334" s="42" t="s">
        <v>382</v>
      </c>
      <c r="D334" s="54" t="s">
        <v>438</v>
      </c>
      <c r="E334" s="26" t="str">
        <f aca="false">Q18</f>
        <v>Yes</v>
      </c>
      <c r="F334" s="26" t="str">
        <f aca="false">IF(Q35="","",Q35)</f>
        <v>B</v>
      </c>
      <c r="G334" s="55" t="s">
        <v>530</v>
      </c>
      <c r="H334" s="54" t="s">
        <v>535</v>
      </c>
    </row>
    <row r="335" customFormat="false" ht="15" hidden="false" customHeight="false" outlineLevel="0" collapsed="false">
      <c r="A335" s="42" t="s">
        <v>127</v>
      </c>
      <c r="B335" s="54" t="s">
        <v>128</v>
      </c>
      <c r="C335" s="42" t="s">
        <v>383</v>
      </c>
      <c r="D335" s="54" t="s">
        <v>439</v>
      </c>
      <c r="E335" s="26" t="str">
        <f aca="false">R18</f>
        <v>Yes</v>
      </c>
      <c r="F335" s="26" t="str">
        <f aca="false">IF(R35="","",R35)</f>
        <v>B</v>
      </c>
      <c r="G335" s="55" t="s">
        <v>530</v>
      </c>
      <c r="H335" s="54" t="s">
        <v>536</v>
      </c>
    </row>
    <row r="336" customFormat="false" ht="15" hidden="false" customHeight="false" outlineLevel="0" collapsed="false">
      <c r="A336" s="42" t="s">
        <v>127</v>
      </c>
      <c r="B336" s="54" t="s">
        <v>128</v>
      </c>
      <c r="C336" s="42" t="s">
        <v>384</v>
      </c>
      <c r="D336" s="54" t="s">
        <v>441</v>
      </c>
      <c r="E336" s="26" t="str">
        <f aca="false">S18</f>
        <v>Unknown</v>
      </c>
      <c r="F336" s="26" t="str">
        <f aca="false">IF(S35="","",S35)</f>
        <v/>
      </c>
      <c r="G336" s="42" t="s">
        <v>140</v>
      </c>
      <c r="H336" s="54" t="s">
        <v>427</v>
      </c>
    </row>
    <row r="337" customFormat="false" ht="15" hidden="false" customHeight="false" outlineLevel="0" collapsed="false">
      <c r="A337" s="42" t="s">
        <v>127</v>
      </c>
      <c r="B337" s="54" t="s">
        <v>128</v>
      </c>
      <c r="C337" s="42" t="s">
        <v>385</v>
      </c>
      <c r="D337" s="54" t="s">
        <v>443</v>
      </c>
      <c r="E337" s="26" t="str">
        <f aca="false">T18</f>
        <v>Yes</v>
      </c>
      <c r="F337" s="26" t="str">
        <f aca="false">IF(T35="","",T35)</f>
        <v>B</v>
      </c>
      <c r="G337" s="55" t="s">
        <v>530</v>
      </c>
      <c r="H337" s="54" t="s">
        <v>363</v>
      </c>
    </row>
    <row r="338" customFormat="false" ht="15" hidden="false" customHeight="false" outlineLevel="0" collapsed="false">
      <c r="A338" s="42" t="s">
        <v>127</v>
      </c>
      <c r="B338" s="54" t="s">
        <v>128</v>
      </c>
      <c r="C338" s="42" t="s">
        <v>386</v>
      </c>
      <c r="D338" s="54" t="s">
        <v>445</v>
      </c>
      <c r="E338" s="26" t="str">
        <f aca="false">U18</f>
        <v>Yes</v>
      </c>
      <c r="F338" s="26" t="str">
        <f aca="false">IF(U35="","",U35)</f>
        <v>B</v>
      </c>
      <c r="G338" s="55" t="s">
        <v>530</v>
      </c>
      <c r="H338" s="54"/>
    </row>
    <row r="339" customFormat="false" ht="15" hidden="false" customHeight="false" outlineLevel="0" collapsed="false">
      <c r="A339" s="42" t="s">
        <v>127</v>
      </c>
      <c r="B339" s="54" t="s">
        <v>128</v>
      </c>
      <c r="C339" s="42" t="s">
        <v>387</v>
      </c>
      <c r="D339" s="54" t="s">
        <v>447</v>
      </c>
      <c r="E339" s="26" t="str">
        <f aca="false">V18</f>
        <v>Yes</v>
      </c>
      <c r="F339" s="26" t="str">
        <f aca="false">IF(V35="","",V35)</f>
        <v>B</v>
      </c>
      <c r="G339" s="55" t="s">
        <v>537</v>
      </c>
      <c r="H339" s="54" t="s">
        <v>538</v>
      </c>
    </row>
    <row r="340" customFormat="false" ht="15" hidden="false" customHeight="false" outlineLevel="0" collapsed="false">
      <c r="A340" s="42" t="s">
        <v>127</v>
      </c>
      <c r="B340" s="54" t="s">
        <v>128</v>
      </c>
      <c r="C340" s="42" t="s">
        <v>388</v>
      </c>
      <c r="D340" s="54" t="s">
        <v>448</v>
      </c>
      <c r="E340" s="26" t="str">
        <f aca="false">W18</f>
        <v>Unknown</v>
      </c>
      <c r="F340" s="26" t="str">
        <f aca="false">IF(W35="","",W35)</f>
        <v/>
      </c>
      <c r="G340" s="42" t="s">
        <v>140</v>
      </c>
      <c r="H340" s="54" t="s">
        <v>427</v>
      </c>
    </row>
    <row r="341" customFormat="false" ht="15" hidden="false" customHeight="false" outlineLevel="0" collapsed="false">
      <c r="A341" s="42" t="s">
        <v>127</v>
      </c>
      <c r="B341" s="54" t="s">
        <v>128</v>
      </c>
      <c r="C341" s="42" t="s">
        <v>389</v>
      </c>
      <c r="D341" s="54" t="s">
        <v>449</v>
      </c>
      <c r="E341" s="26" t="str">
        <f aca="false">X18</f>
        <v>Unknown</v>
      </c>
      <c r="F341" s="26" t="str">
        <f aca="false">IF(X35="","",X35)</f>
        <v/>
      </c>
      <c r="G341" s="42" t="s">
        <v>140</v>
      </c>
      <c r="H341" s="54" t="s">
        <v>427</v>
      </c>
    </row>
    <row r="342" customFormat="false" ht="15" hidden="false" customHeight="false" outlineLevel="0" collapsed="false">
      <c r="A342" s="42" t="s">
        <v>127</v>
      </c>
      <c r="B342" s="54" t="s">
        <v>128</v>
      </c>
      <c r="C342" s="42" t="s">
        <v>390</v>
      </c>
      <c r="D342" s="54" t="s">
        <v>451</v>
      </c>
      <c r="E342" s="26" t="str">
        <f aca="false">Y18</f>
        <v>Yes</v>
      </c>
      <c r="F342" s="26" t="str">
        <f aca="false">IF(Y35="","",Y35)</f>
        <v>C</v>
      </c>
      <c r="G342" s="55" t="s">
        <v>537</v>
      </c>
      <c r="H342" s="54"/>
    </row>
    <row r="343" customFormat="false" ht="15" hidden="false" customHeight="false" outlineLevel="0" collapsed="false">
      <c r="A343" s="42" t="s">
        <v>127</v>
      </c>
      <c r="B343" s="54" t="s">
        <v>128</v>
      </c>
      <c r="C343" s="42" t="s">
        <v>391</v>
      </c>
      <c r="D343" s="54" t="s">
        <v>453</v>
      </c>
      <c r="E343" s="26" t="str">
        <f aca="false">Z18</f>
        <v>Unknown</v>
      </c>
      <c r="F343" s="26" t="str">
        <f aca="false">IF(Z35="","",Z35)</f>
        <v/>
      </c>
      <c r="G343" s="42" t="s">
        <v>140</v>
      </c>
      <c r="H343" s="54" t="s">
        <v>427</v>
      </c>
    </row>
    <row r="344" customFormat="false" ht="15" hidden="false" customHeight="false" outlineLevel="0" collapsed="false">
      <c r="A344" s="42" t="s">
        <v>127</v>
      </c>
      <c r="B344" s="54" t="s">
        <v>128</v>
      </c>
      <c r="C344" s="42" t="s">
        <v>392</v>
      </c>
      <c r="D344" s="54" t="s">
        <v>454</v>
      </c>
      <c r="E344" s="26" t="str">
        <f aca="false">AA18</f>
        <v>Yes</v>
      </c>
      <c r="F344" s="26" t="str">
        <f aca="false">IF(AA35="","",AA35)</f>
        <v>B</v>
      </c>
      <c r="G344" s="55" t="s">
        <v>537</v>
      </c>
      <c r="H344" s="54" t="s">
        <v>316</v>
      </c>
    </row>
  </sheetData>
  <autoFilter ref="A5:AQ18"/>
  <conditionalFormatting sqref="F6:AA18">
    <cfRule type="cellIs" priority="2" operator="equal" aboveAverage="0" equalAverage="0" bottom="0" percent="0" rank="0" text="" dxfId="1">
      <formula>"Yes"</formula>
    </cfRule>
    <cfRule type="cellIs" priority="3" operator="equal" aboveAverage="0" equalAverage="0" bottom="0" percent="0" rank="0" text="" dxfId="2">
      <formula>"Conditional"</formula>
    </cfRule>
    <cfRule type="cellIs" priority="4" operator="equal" aboveAverage="0" equalAverage="0" bottom="0" percent="0" rank="0" text="" dxfId="14">
      <formula>"Unknown"</formula>
    </cfRule>
    <cfRule type="cellIs" priority="5" operator="equal" aboveAverage="0" equalAverage="0" bottom="0" percent="0" rank="0" text="" dxfId="0">
      <formula>"No"</formula>
    </cfRule>
  </conditionalFormatting>
  <conditionalFormatting sqref="F23:AA35">
    <cfRule type="cellIs" priority="6" operator="equal" aboveAverage="0" equalAverage="0" bottom="0" percent="0" rank="0" text="" dxfId="1">
      <formula>"A"</formula>
    </cfRule>
    <cfRule type="cellIs" priority="7" operator="equal" aboveAverage="0" equalAverage="0" bottom="0" percent="0" rank="0" text="" dxfId="1">
      <formula>"B"</formula>
    </cfRule>
    <cfRule type="cellIs" priority="8" operator="equal" aboveAverage="0" equalAverage="0" bottom="0" percent="0" rank="0" text="" dxfId="2">
      <formula>"C"</formula>
    </cfRule>
    <cfRule type="cellIs" priority="9" operator="equal" aboveAverage="0" equalAverage="0" bottom="0" percent="0" rank="0" text="" dxfId="2">
      <formula>"D"</formula>
    </cfRule>
    <cfRule type="cellIs" priority="10" operator="equal" aboveAverage="0" equalAverage="0" bottom="0" percent="0" rank="0" text="" dxfId="0">
      <formula>"X"</formula>
    </cfRule>
  </conditionalFormatting>
  <conditionalFormatting sqref="F41:L53">
    <cfRule type="cellIs" priority="11" operator="equal" aboveAverage="0" equalAverage="0" bottom="0" percent="0" rank="0" text="" dxfId="1">
      <formula>"Yes"</formula>
    </cfRule>
    <cfRule type="cellIs" priority="12" operator="equal" aboveAverage="0" equalAverage="0" bottom="0" percent="0" rank="0" text="" dxfId="2">
      <formula>"Conditional"</formula>
    </cfRule>
    <cfRule type="cellIs" priority="13" operator="equal" aboveAverage="0" equalAverage="0" bottom="0" percent="0" rank="0" text="" dxfId="14">
      <formula>"Unknown"</formula>
    </cfRule>
    <cfRule type="cellIs" priority="14" operator="equal" aboveAverage="0" equalAverage="0" bottom="0" percent="0" rank="0" text="" dxfId="0">
      <formula>"No"</formula>
    </cfRule>
  </conditionalFormatting>
  <conditionalFormatting sqref="E59:E344">
    <cfRule type="cellIs" priority="15" operator="equal" aboveAverage="0" equalAverage="0" bottom="0" percent="0" rank="0" text="" dxfId="1">
      <formula>"Yes"</formula>
    </cfRule>
    <cfRule type="cellIs" priority="16" operator="equal" aboveAverage="0" equalAverage="0" bottom="0" percent="0" rank="0" text="" dxfId="2">
      <formula>"Conditional"</formula>
    </cfRule>
    <cfRule type="cellIs" priority="17" operator="equal" aboveAverage="0" equalAverage="0" bottom="0" percent="0" rank="0" text="" dxfId="14">
      <formula>"Unknown"</formula>
    </cfRule>
    <cfRule type="cellIs" priority="18" operator="equal" aboveAverage="0" equalAverage="0" bottom="0" percent="0" rank="0" text="" dxfId="0">
      <formula>"No"</formula>
    </cfRule>
  </conditionalFormatting>
  <dataValidations count="4">
    <dataValidation allowBlank="true" errorStyle="stop" operator="between" showDropDown="false" showErrorMessage="false" showInputMessage="false" sqref="F6:AA18" type="list">
      <formula1>"Yes,Conditional,Unknown,No,N/A"</formula1>
      <formula2>0</formula2>
    </dataValidation>
    <dataValidation allowBlank="true" errorStyle="stop" operator="between" showDropDown="false" showErrorMessage="false" showInputMessage="false" sqref="AH6:AH18" type="list">
      <formula1>"A,B,C,D,X,"</formula1>
      <formula2>0</formula2>
    </dataValidation>
    <dataValidation allowBlank="true" errorStyle="stop" operator="between" showDropDown="false" showErrorMessage="false" showInputMessage="false" sqref="F23:AA35" type="list">
      <formula1>"A,B,C,D,X"</formula1>
      <formula2>0</formula2>
    </dataValidation>
    <dataValidation allowBlank="true" errorStyle="stop" operator="between" showDropDown="false" showErrorMessage="false" showInputMessage="false" sqref="F41:L53" type="list">
      <formula1>"Yes,Conditional,Unknown,No,N/A"</formula1>
      <formula2>0</formula2>
    </dataValidation>
  </dataValidations>
  <hyperlinks>
    <hyperlink ref="G59" r:id="rId2" location="'14%20Source%20Register'!A11" display="S01"/>
    <hyperlink ref="G60" r:id="rId3" location="'14%20Source%20Register'!A11" display="S01"/>
    <hyperlink ref="G61" r:id="rId4" location="'14%20Source%20Register'!A11" display="S01"/>
    <hyperlink ref="G62" r:id="rId5" location="'14%20Source%20Register'!A11" display="S01"/>
    <hyperlink ref="G64" r:id="rId6" location="'14%20Source%20Register'!A11" display="S01"/>
    <hyperlink ref="G65" r:id="rId7" location="'14%20Source%20Register'!A11" display="S01"/>
    <hyperlink ref="G66" r:id="rId8" location="'14%20Source%20Register'!A11" display="S01"/>
    <hyperlink ref="G67" r:id="rId9" location="'14%20Source%20Register'!A11" display="S01"/>
    <hyperlink ref="G71" r:id="rId10" location="'14%20Source%20Register'!A11" display="S01"/>
    <hyperlink ref="G72" r:id="rId11" location="'14%20Source%20Register'!A11" display="S01"/>
    <hyperlink ref="G73" r:id="rId12" location="'14%20Source%20Register'!A11" display="S01"/>
    <hyperlink ref="G74" r:id="rId13" location="'14%20Source%20Register'!A11" display="S01"/>
    <hyperlink ref="G75" r:id="rId14" location="'14%20Source%20Register'!A11" display="S01"/>
    <hyperlink ref="G77" r:id="rId15" location="'14%20Source%20Register'!A11" display="S01"/>
    <hyperlink ref="G78" r:id="rId16" location="'14%20Source%20Register'!A11" display="S01"/>
    <hyperlink ref="G80" r:id="rId17" location="'14%20Source%20Register'!A11" display="S01"/>
    <hyperlink ref="G90" r:id="rId18" location="'14%20Source%20Register'!A14" display="S04"/>
    <hyperlink ref="G95" r:id="rId19" location="'14%20Source%20Register'!A14" display="S04"/>
    <hyperlink ref="G96" r:id="rId20" location="'14%20Source%20Register'!A14" display="S04"/>
    <hyperlink ref="G112" r:id="rId21" location="'14%20Source%20Register'!A13" display="S03"/>
    <hyperlink ref="G113" r:id="rId22" location="'14%20Source%20Register'!A13" display="S03"/>
    <hyperlink ref="G114" r:id="rId23" location="'14%20Source%20Register'!A13" display="S03"/>
    <hyperlink ref="G115" r:id="rId24" location="'14%20Source%20Register'!A13" display="S03"/>
    <hyperlink ref="G117" r:id="rId25" location="'14%20Source%20Register'!A13" display="S03"/>
    <hyperlink ref="G118" r:id="rId26" location="'14%20Source%20Register'!A13" display="S03"/>
    <hyperlink ref="G119" r:id="rId27" location="'14%20Source%20Register'!A13" display="S03"/>
    <hyperlink ref="G122" r:id="rId28" location="'14%20Source%20Register'!A13" display="S03"/>
    <hyperlink ref="G124" r:id="rId29" location="'14%20Source%20Register'!A13" display="S03"/>
    <hyperlink ref="G125" r:id="rId30" location="'14%20Source%20Register'!A24" display="S14"/>
    <hyperlink ref="G126" r:id="rId31" location="'14%20Source%20Register'!A24" display="S14"/>
    <hyperlink ref="G127" r:id="rId32" location="'14%20Source%20Register'!A24" display="S14"/>
    <hyperlink ref="G128" r:id="rId33" location="'14%20Source%20Register'!A24" display="S14"/>
    <hyperlink ref="G129" r:id="rId34" location="'14%20Source%20Register'!A49" display="S39"/>
    <hyperlink ref="G130" r:id="rId35" location="'14%20Source%20Register'!A49" display="S39"/>
    <hyperlink ref="G131" r:id="rId36" location="'14%20Source%20Register'!A24" display="S14"/>
    <hyperlink ref="G132" r:id="rId37" location="'14%20Source%20Register'!A24" display="S14"/>
    <hyperlink ref="G133" r:id="rId38" location="'14%20Source%20Register'!A24" display="S14"/>
    <hyperlink ref="G137" r:id="rId39" location="'14%20Source%20Register'!A24" display="S14"/>
    <hyperlink ref="G138" r:id="rId40" location="'14%20Source%20Register'!A24" display="S14"/>
    <hyperlink ref="G139" r:id="rId41" location="'14%20Source%20Register'!A24" display="S14"/>
    <hyperlink ref="G140" r:id="rId42" location="'14%20Source%20Register'!A24" display="S14"/>
    <hyperlink ref="G141" r:id="rId43" location="'14%20Source%20Register'!A24" display="S14"/>
    <hyperlink ref="G142" r:id="rId44" location="'14%20Source%20Register'!A49" display="S39"/>
    <hyperlink ref="G143" r:id="rId45" location="'14%20Source%20Register'!A49" display="S39"/>
    <hyperlink ref="G144" r:id="rId46" location="'14%20Source%20Register'!A24" display="S14"/>
    <hyperlink ref="G146" r:id="rId47" location="'14%20Source%20Register'!A24" display="S14"/>
    <hyperlink ref="G147" r:id="rId48" location="'14%20Source%20Register'!A49" display="S39"/>
    <hyperlink ref="G148" r:id="rId49" location="'14%20Source%20Register'!A25" display="S15"/>
    <hyperlink ref="G149" r:id="rId50" location="'14%20Source%20Register'!A25" display="S15;S39"/>
    <hyperlink ref="G150" r:id="rId51" location="'14%20Source%20Register'!A25" display="S15"/>
    <hyperlink ref="G151" r:id="rId52" location="'14%20Source%20Register'!A49" display="S39"/>
    <hyperlink ref="G152" r:id="rId53" location="'14%20Source%20Register'!A49" display="S39"/>
    <hyperlink ref="G153" r:id="rId54" location="'14%20Source%20Register'!A25" display="S15"/>
    <hyperlink ref="G154" r:id="rId55" location="'14%20Source%20Register'!A25" display="S15"/>
    <hyperlink ref="G155" r:id="rId56" location="'14%20Source%20Register'!A25" display="S15"/>
    <hyperlink ref="G159" r:id="rId57" location="'14%20Source%20Register'!A25" display="S15"/>
    <hyperlink ref="G160" r:id="rId58" location="'14%20Source%20Register'!A25" display="S15"/>
    <hyperlink ref="G161" r:id="rId59" location="'14%20Source%20Register'!A25" display="S15"/>
    <hyperlink ref="G162" r:id="rId60" location="'14%20Source%20Register'!A25" display="S15"/>
    <hyperlink ref="G163" r:id="rId61" location="'14%20Source%20Register'!A25" display="S15"/>
    <hyperlink ref="G164" r:id="rId62" location="'14%20Source%20Register'!A49" display="S39"/>
    <hyperlink ref="G165" r:id="rId63" location="'14%20Source%20Register'!A49" display="S39"/>
    <hyperlink ref="G166" r:id="rId64" location="'14%20Source%20Register'!A25" display="S15"/>
    <hyperlink ref="G168" r:id="rId65" location="'14%20Source%20Register'!A25" display="S15"/>
    <hyperlink ref="G169" r:id="rId66" location="'14%20Source%20Register'!A49" display="S39"/>
    <hyperlink ref="G171" r:id="rId67" location="'14%20Source%20Register'!A49" display="S39"/>
    <hyperlink ref="G172" r:id="rId68" location="'14%20Source%20Register'!A49" display="S39"/>
    <hyperlink ref="G173" r:id="rId69" location="'14%20Source%20Register'!A49" display="S39"/>
    <hyperlink ref="G175" r:id="rId70" location="'14%20Source%20Register'!A49" display="S39"/>
    <hyperlink ref="G176" r:id="rId71" location="'14%20Source%20Register'!A49" display="S39"/>
    <hyperlink ref="G177" r:id="rId72" location="'14%20Source%20Register'!A49" display="S39"/>
    <hyperlink ref="G181" r:id="rId73" location="'14%20Source%20Register'!A27" display="S17"/>
    <hyperlink ref="G182" r:id="rId74" location="'14%20Source%20Register'!A27" display="S17"/>
    <hyperlink ref="G183" r:id="rId75" location="'14%20Source%20Register'!A27" display="S17"/>
    <hyperlink ref="G184" r:id="rId76" location="'14%20Source%20Register'!A27" display="S17"/>
    <hyperlink ref="G185" r:id="rId77" location="'14%20Source%20Register'!A49" display="S39"/>
    <hyperlink ref="G188" r:id="rId78" location="'14%20Source%20Register'!A49" display="S39"/>
    <hyperlink ref="G190" r:id="rId79" location="'14%20Source%20Register'!A27" display="S17"/>
    <hyperlink ref="G191" r:id="rId80" location="'14%20Source%20Register'!A22" display="S12"/>
    <hyperlink ref="G194" r:id="rId81" location="'14%20Source%20Register'!A22" display="S12"/>
    <hyperlink ref="G195" r:id="rId82" location="'14%20Source%20Register'!A22" display="S12"/>
    <hyperlink ref="G197" r:id="rId83" location="'14%20Source%20Register'!A22" display="S12"/>
    <hyperlink ref="G198" r:id="rId84" location="'14%20Source%20Register'!A49" display="S39"/>
    <hyperlink ref="G200" r:id="rId85" location="'14%20Source%20Register'!A22" display="S12"/>
    <hyperlink ref="G201" r:id="rId86" location="'14%20Source%20Register'!A22" display="S12"/>
    <hyperlink ref="G202" r:id="rId87" location="'14%20Source%20Register'!A22" display="S12"/>
    <hyperlink ref="G203" r:id="rId88" location="'14%20Source%20Register'!A22" display="S12"/>
    <hyperlink ref="G205" r:id="rId89" location="'14%20Source%20Register'!A22" display="S12"/>
    <hyperlink ref="G206" r:id="rId90" location="'14%20Source%20Register'!A22" display="S12"/>
    <hyperlink ref="G207" r:id="rId91" location="'14%20Source%20Register'!A22" display="S12"/>
    <hyperlink ref="G209" r:id="rId92" location="'14%20Source%20Register'!A22" display="S12"/>
    <hyperlink ref="G210" r:id="rId93" location="'14%20Source%20Register'!A22" display="S12"/>
    <hyperlink ref="G213" r:id="rId94" location="'14%20Source%20Register'!A26" display="S16"/>
    <hyperlink ref="G214" r:id="rId95" location="'14%20Source%20Register'!A26" display="S16"/>
    <hyperlink ref="G215" r:id="rId96" location="'14%20Source%20Register'!A26" display="S16"/>
    <hyperlink ref="G225" r:id="rId97" location="'14%20Source%20Register'!A26" display="S16"/>
    <hyperlink ref="G226" r:id="rId98" location="'14%20Source%20Register'!A26" display="S16"/>
    <hyperlink ref="G227" r:id="rId99" location="'14%20Source%20Register'!A26" display="S16"/>
    <hyperlink ref="G228" r:id="rId100" location="'14%20Source%20Register'!A26" display="S16"/>
    <hyperlink ref="G229" r:id="rId101" location="'14%20Source%20Register'!A26" display="S16"/>
    <hyperlink ref="G231" r:id="rId102" location="'14%20Source%20Register'!A26" display="S16"/>
    <hyperlink ref="G232" r:id="rId103" location="'14%20Source%20Register'!A26" display="S16"/>
    <hyperlink ref="G239" r:id="rId104" location="'14%20Source%20Register'!A23" display="S13"/>
    <hyperlink ref="G244" r:id="rId105" location="'14%20Source%20Register'!A23" display="S13"/>
    <hyperlink ref="G245" r:id="rId106" location="'14%20Source%20Register'!A23" display="S13"/>
    <hyperlink ref="G246" r:id="rId107" location="'14%20Source%20Register'!A23" display="S13"/>
    <hyperlink ref="G247" r:id="rId108" location="'14%20Source%20Register'!A22" display="S12"/>
    <hyperlink ref="G249" r:id="rId109" location="'14%20Source%20Register'!A23" display="S13"/>
    <hyperlink ref="G250" r:id="rId110" location="'14%20Source%20Register'!A23" display="S13"/>
    <hyperlink ref="G251" r:id="rId111" location="'14%20Source%20Register'!A40" display="S30"/>
    <hyperlink ref="G253" r:id="rId112" location="'14%20Source%20Register'!A23" display="S13"/>
    <hyperlink ref="G254" r:id="rId113" location="'14%20Source%20Register'!A23" display="S13"/>
    <hyperlink ref="G256" r:id="rId114" location="'14%20Source%20Register'!A40" display="S30"/>
    <hyperlink ref="G257" r:id="rId115" location="'14%20Source%20Register'!A21" display="S11"/>
    <hyperlink ref="G258" r:id="rId116" location="'14%20Source%20Register'!A21" display="S11"/>
    <hyperlink ref="G260" r:id="rId117" location="'14%20Source%20Register'!A21" display="S11"/>
    <hyperlink ref="G261" r:id="rId118" location="'14%20Source%20Register'!A21" display="S11"/>
    <hyperlink ref="G263" r:id="rId119" location="'14%20Source%20Register'!A21" display="S11"/>
    <hyperlink ref="G266" r:id="rId120" location="'14%20Source%20Register'!A21" display="S11"/>
    <hyperlink ref="G267" r:id="rId121" location="'14%20Source%20Register'!A21" display="S11"/>
    <hyperlink ref="G268" r:id="rId122" location="'14%20Source%20Register'!A21" display="S11"/>
    <hyperlink ref="G269" r:id="rId123" location="'14%20Source%20Register'!A21" display="S11"/>
    <hyperlink ref="G271" r:id="rId124" location="'14%20Source%20Register'!A21" display="S11"/>
    <hyperlink ref="G272" r:id="rId125" location="'14%20Source%20Register'!A21" display="S11"/>
    <hyperlink ref="G273" r:id="rId126" location="'14%20Source%20Register'!A21" display="S11"/>
    <hyperlink ref="G275" r:id="rId127" location="'14%20Source%20Register'!A21" display="S11"/>
    <hyperlink ref="G276" r:id="rId128" location="'14%20Source%20Register'!A21" display="S11"/>
    <hyperlink ref="G279" r:id="rId129" location="'14%20Source%20Register'!A19" display="S09"/>
    <hyperlink ref="G284" r:id="rId130" location="'14%20Source%20Register'!A19" display="S09"/>
    <hyperlink ref="G285" r:id="rId131" location="'14%20Source%20Register'!A19" display="S09"/>
    <hyperlink ref="G288" r:id="rId132" location="'14%20Source%20Register'!A19" display="S09"/>
    <hyperlink ref="G289" r:id="rId133" location="'14%20Source%20Register'!A19" display="S09"/>
    <hyperlink ref="G291" r:id="rId134" location="'14%20Source%20Register'!A19" display="S09"/>
    <hyperlink ref="G292" r:id="rId135" location="'14%20Source%20Register'!A19" display="S09"/>
    <hyperlink ref="G293" r:id="rId136" location="'14%20Source%20Register'!A19" display="S09"/>
    <hyperlink ref="G294" r:id="rId137" location="'14%20Source%20Register'!A19" display="S09"/>
    <hyperlink ref="G295" r:id="rId138" location="'14%20Source%20Register'!A19" display="S09"/>
    <hyperlink ref="G298" r:id="rId139" location="'14%20Source%20Register'!A19" display="S09"/>
    <hyperlink ref="G300" r:id="rId140" location="'14%20Source%20Register'!A19" display="S09"/>
    <hyperlink ref="G301" r:id="rId141" location="'14%20Source%20Register'!A18" display="S08"/>
    <hyperlink ref="G305" r:id="rId142" location="'14%20Source%20Register'!A18" display="S08"/>
    <hyperlink ref="G308" r:id="rId143" location="'14%20Source%20Register'!A18" display="S08"/>
    <hyperlink ref="G311" r:id="rId144" location="'14%20Source%20Register'!A18" display="S08"/>
    <hyperlink ref="G312" r:id="rId145" location="'14%20Source%20Register'!A18" display="S08"/>
    <hyperlink ref="G313" r:id="rId146" location="'14%20Source%20Register'!A18" display="S08"/>
    <hyperlink ref="G315" r:id="rId147" location="'14%20Source%20Register'!A18" display="S08"/>
    <hyperlink ref="G316" r:id="rId148" location="'14%20Source%20Register'!A18" display="S08"/>
    <hyperlink ref="G320" r:id="rId149" location="'14%20Source%20Register'!A18" display="S08"/>
    <hyperlink ref="G323" r:id="rId150" location="'14%20Source%20Register'!A16" display="S06"/>
    <hyperlink ref="G326" r:id="rId151" location="'14%20Source%20Register'!A16" display="S06"/>
    <hyperlink ref="G327" r:id="rId152" location="'14%20Source%20Register'!A16" display="S06"/>
    <hyperlink ref="G328" r:id="rId153" location="'14%20Source%20Register'!A16" display="S06"/>
    <hyperlink ref="G332" r:id="rId154" location="'14%20Source%20Register'!A16" display="S06"/>
    <hyperlink ref="G333" r:id="rId155" location="'14%20Source%20Register'!A16" display="S06"/>
    <hyperlink ref="G334" r:id="rId156" location="'14%20Source%20Register'!A16" display="S06"/>
    <hyperlink ref="G335" r:id="rId157" location="'14%20Source%20Register'!A16" display="S06"/>
    <hyperlink ref="G337" r:id="rId158" location="'14%20Source%20Register'!A16" display="S06"/>
    <hyperlink ref="G338" r:id="rId159" location="'14%20Source%20Register'!A16" display="S06"/>
    <hyperlink ref="G339" r:id="rId160" location="'14%20Source%20Register'!A17" display="S07"/>
    <hyperlink ref="G342" r:id="rId161" location="'14%20Source%20Register'!A17" display="S07"/>
    <hyperlink ref="G344" r:id="rId162" location="'14%20Source%20Register'!A17" display="S0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3"/>
  <legacyDrawing r:id="rId16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P5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0"/>
    <col collapsed="false" customWidth="true" hidden="false" outlineLevel="0" max="4" min="4" style="0" width="22"/>
    <col collapsed="false" customWidth="true" hidden="false" outlineLevel="0" max="5" min="5" style="0" width="18"/>
    <col collapsed="false" customWidth="true" hidden="false" outlineLevel="0" max="6" min="6" style="0" width="16"/>
    <col collapsed="false" customWidth="true" hidden="false" outlineLevel="0" max="7" min="7" style="0" width="18"/>
    <col collapsed="false" customWidth="true" hidden="false" outlineLevel="0" max="9" min="8" style="0" width="17"/>
    <col collapsed="false" customWidth="true" hidden="false" outlineLevel="0" max="10" min="10" style="0" width="14"/>
    <col collapsed="false" customWidth="true" hidden="false" outlineLevel="0" max="11" min="11" style="0" width="13"/>
    <col collapsed="false" customWidth="true" hidden="false" outlineLevel="0" max="12" min="12" style="0" width="30"/>
    <col collapsed="false" customWidth="true" hidden="false" outlineLevel="0" max="13" min="13" style="0" width="11"/>
    <col collapsed="false" customWidth="true" hidden="false" outlineLevel="0" max="15" min="14" style="0" width="10"/>
    <col collapsed="false" customWidth="true" hidden="false" outlineLevel="0" max="16" min="16" style="0" width="11"/>
  </cols>
  <sheetData>
    <row r="1" customFormat="false" ht="17.35" hidden="false" customHeight="false" outlineLevel="0" collapsed="false">
      <c r="A1" s="28" t="s">
        <v>539</v>
      </c>
    </row>
    <row r="2" customFormat="false" ht="15" hidden="false" customHeight="false" outlineLevel="0" collapsed="false">
      <c r="A2" s="2" t="s">
        <v>540</v>
      </c>
    </row>
    <row r="4" customFormat="false" ht="15" hidden="false" customHeight="false" outlineLevel="0" collapsed="false">
      <c r="A4" s="7" t="s">
        <v>541</v>
      </c>
      <c r="B4" s="7"/>
      <c r="C4" s="7"/>
      <c r="D4" s="7"/>
      <c r="E4" s="7"/>
      <c r="F4" s="7"/>
      <c r="G4" s="7"/>
      <c r="H4" s="7"/>
      <c r="I4" s="7"/>
      <c r="J4" s="7"/>
      <c r="K4" s="7"/>
      <c r="L4" s="7"/>
    </row>
    <row r="5" customFormat="false" ht="30" hidden="false" customHeight="true" outlineLevel="0" collapsed="false">
      <c r="A5" s="8" t="s">
        <v>36</v>
      </c>
      <c r="B5" s="8" t="s">
        <v>12</v>
      </c>
      <c r="C5" s="8" t="s">
        <v>253</v>
      </c>
      <c r="D5" s="8" t="s">
        <v>542</v>
      </c>
      <c r="E5" s="8" t="s">
        <v>543</v>
      </c>
      <c r="F5" s="8" t="s">
        <v>544</v>
      </c>
      <c r="G5" s="8" t="s">
        <v>545</v>
      </c>
      <c r="H5" s="8" t="s">
        <v>546</v>
      </c>
      <c r="I5" s="8" t="s">
        <v>547</v>
      </c>
      <c r="J5" s="8" t="s">
        <v>548</v>
      </c>
      <c r="K5" s="8" t="s">
        <v>18</v>
      </c>
      <c r="L5" s="8" t="s">
        <v>549</v>
      </c>
    </row>
    <row r="6" customFormat="false" ht="51.75" hidden="false" customHeight="true" outlineLevel="0" collapsed="false">
      <c r="A6" s="29" t="s">
        <v>48</v>
      </c>
      <c r="B6" s="31" t="s">
        <v>50</v>
      </c>
      <c r="C6" s="29" t="s">
        <v>298</v>
      </c>
      <c r="D6" s="30" t="s">
        <v>550</v>
      </c>
      <c r="E6" s="30" t="s">
        <v>551</v>
      </c>
      <c r="F6" s="30" t="s">
        <v>552</v>
      </c>
      <c r="G6" s="30" t="s">
        <v>553</v>
      </c>
      <c r="H6" s="30" t="s">
        <v>554</v>
      </c>
      <c r="I6" s="30" t="s">
        <v>555</v>
      </c>
      <c r="J6" s="30" t="s">
        <v>556</v>
      </c>
      <c r="K6" s="56" t="s">
        <v>246</v>
      </c>
      <c r="L6" s="30" t="s">
        <v>557</v>
      </c>
    </row>
    <row r="7" customFormat="false" ht="51.75" hidden="false" customHeight="true" outlineLevel="0" collapsed="false">
      <c r="A7" s="29" t="s">
        <v>59</v>
      </c>
      <c r="B7" s="31" t="s">
        <v>60</v>
      </c>
      <c r="C7" s="29" t="s">
        <v>309</v>
      </c>
      <c r="D7" s="30" t="s">
        <v>558</v>
      </c>
      <c r="E7" s="30" t="s">
        <v>559</v>
      </c>
      <c r="F7" s="30" t="s">
        <v>247</v>
      </c>
      <c r="G7" s="30" t="s">
        <v>560</v>
      </c>
      <c r="H7" s="30" t="s">
        <v>247</v>
      </c>
      <c r="I7" s="30" t="s">
        <v>247</v>
      </c>
      <c r="J7" s="30" t="s">
        <v>247</v>
      </c>
      <c r="K7" s="56" t="s">
        <v>561</v>
      </c>
      <c r="L7" s="30" t="s">
        <v>562</v>
      </c>
    </row>
    <row r="8" customFormat="false" ht="51.75" hidden="false" customHeight="true" outlineLevel="0" collapsed="false">
      <c r="A8" s="29" t="s">
        <v>65</v>
      </c>
      <c r="B8" s="31" t="s">
        <v>66</v>
      </c>
      <c r="C8" s="29" t="s">
        <v>309</v>
      </c>
      <c r="D8" s="30" t="s">
        <v>563</v>
      </c>
      <c r="E8" s="30" t="s">
        <v>564</v>
      </c>
      <c r="F8" s="30" t="s">
        <v>565</v>
      </c>
      <c r="G8" s="30" t="s">
        <v>566</v>
      </c>
      <c r="H8" s="30" t="s">
        <v>567</v>
      </c>
      <c r="I8" s="30" t="s">
        <v>568</v>
      </c>
      <c r="J8" s="30" t="s">
        <v>247</v>
      </c>
      <c r="K8" s="56" t="s">
        <v>246</v>
      </c>
      <c r="L8" s="30" t="s">
        <v>569</v>
      </c>
    </row>
    <row r="9" customFormat="false" ht="51.75" hidden="false" customHeight="true" outlineLevel="0" collapsed="false">
      <c r="A9" s="29" t="s">
        <v>71</v>
      </c>
      <c r="B9" s="31" t="s">
        <v>72</v>
      </c>
      <c r="C9" s="29" t="s">
        <v>298</v>
      </c>
      <c r="D9" s="30" t="s">
        <v>570</v>
      </c>
      <c r="E9" s="30" t="s">
        <v>571</v>
      </c>
      <c r="F9" s="30" t="s">
        <v>572</v>
      </c>
      <c r="G9" s="30" t="s">
        <v>573</v>
      </c>
      <c r="H9" s="30" t="s">
        <v>574</v>
      </c>
      <c r="I9" s="30" t="s">
        <v>247</v>
      </c>
      <c r="J9" s="30" t="s">
        <v>247</v>
      </c>
      <c r="K9" s="56" t="s">
        <v>561</v>
      </c>
      <c r="L9" s="30" t="s">
        <v>575</v>
      </c>
    </row>
    <row r="10" customFormat="false" ht="51.75" hidden="false" customHeight="true" outlineLevel="0" collapsed="false">
      <c r="A10" s="29" t="s">
        <v>80</v>
      </c>
      <c r="B10" s="31" t="s">
        <v>81</v>
      </c>
      <c r="C10" s="29" t="s">
        <v>298</v>
      </c>
      <c r="D10" s="30" t="s">
        <v>570</v>
      </c>
      <c r="E10" s="30" t="s">
        <v>571</v>
      </c>
      <c r="F10" s="30" t="s">
        <v>572</v>
      </c>
      <c r="G10" s="30" t="s">
        <v>573</v>
      </c>
      <c r="H10" s="30" t="s">
        <v>574</v>
      </c>
      <c r="I10" s="30" t="s">
        <v>576</v>
      </c>
      <c r="J10" s="30" t="s">
        <v>247</v>
      </c>
      <c r="K10" s="56" t="s">
        <v>561</v>
      </c>
      <c r="L10" s="30" t="s">
        <v>577</v>
      </c>
    </row>
    <row r="11" customFormat="false" ht="51.75" hidden="false" customHeight="true" outlineLevel="0" collapsed="false">
      <c r="A11" s="29" t="s">
        <v>86</v>
      </c>
      <c r="B11" s="31" t="s">
        <v>87</v>
      </c>
      <c r="C11" s="29" t="s">
        <v>298</v>
      </c>
      <c r="D11" s="30" t="s">
        <v>570</v>
      </c>
      <c r="E11" s="30" t="s">
        <v>571</v>
      </c>
      <c r="F11" s="30" t="s">
        <v>572</v>
      </c>
      <c r="G11" s="30" t="s">
        <v>573</v>
      </c>
      <c r="H11" s="30" t="s">
        <v>574</v>
      </c>
      <c r="I11" s="30" t="s">
        <v>247</v>
      </c>
      <c r="J11" s="30" t="s">
        <v>247</v>
      </c>
      <c r="K11" s="56" t="s">
        <v>561</v>
      </c>
      <c r="L11" s="30" t="s">
        <v>578</v>
      </c>
    </row>
    <row r="12" customFormat="false" ht="51.75" hidden="false" customHeight="true" outlineLevel="0" collapsed="false">
      <c r="A12" s="29" t="s">
        <v>93</v>
      </c>
      <c r="B12" s="31" t="s">
        <v>94</v>
      </c>
      <c r="C12" s="29" t="s">
        <v>309</v>
      </c>
      <c r="D12" s="30" t="s">
        <v>579</v>
      </c>
      <c r="E12" s="30" t="s">
        <v>580</v>
      </c>
      <c r="F12" s="30" t="s">
        <v>581</v>
      </c>
      <c r="G12" s="30" t="s">
        <v>582</v>
      </c>
      <c r="H12" s="30" t="s">
        <v>583</v>
      </c>
      <c r="I12" s="30" t="s">
        <v>247</v>
      </c>
      <c r="J12" s="30" t="s">
        <v>247</v>
      </c>
      <c r="K12" s="56" t="s">
        <v>561</v>
      </c>
      <c r="L12" s="30" t="s">
        <v>584</v>
      </c>
    </row>
    <row r="13" customFormat="false" ht="51.75" hidden="false" customHeight="true" outlineLevel="0" collapsed="false">
      <c r="A13" s="29" t="s">
        <v>98</v>
      </c>
      <c r="B13" s="31" t="s">
        <v>99</v>
      </c>
      <c r="C13" s="29" t="s">
        <v>298</v>
      </c>
      <c r="D13" s="30" t="s">
        <v>585</v>
      </c>
      <c r="E13" s="30" t="s">
        <v>571</v>
      </c>
      <c r="F13" s="30" t="s">
        <v>572</v>
      </c>
      <c r="G13" s="30" t="s">
        <v>573</v>
      </c>
      <c r="H13" s="30" t="s">
        <v>574</v>
      </c>
      <c r="I13" s="30" t="s">
        <v>247</v>
      </c>
      <c r="J13" s="30" t="s">
        <v>247</v>
      </c>
      <c r="K13" s="56" t="s">
        <v>561</v>
      </c>
      <c r="L13" s="30" t="s">
        <v>586</v>
      </c>
    </row>
    <row r="14" customFormat="false" ht="51.75" hidden="false" customHeight="true" outlineLevel="0" collapsed="false">
      <c r="A14" s="29" t="s">
        <v>106</v>
      </c>
      <c r="B14" s="31" t="s">
        <v>107</v>
      </c>
      <c r="C14" s="29" t="s">
        <v>309</v>
      </c>
      <c r="D14" s="30" t="s">
        <v>579</v>
      </c>
      <c r="E14" s="30" t="s">
        <v>580</v>
      </c>
      <c r="F14" s="30" t="s">
        <v>581</v>
      </c>
      <c r="G14" s="30" t="s">
        <v>582</v>
      </c>
      <c r="H14" s="30" t="s">
        <v>583</v>
      </c>
      <c r="I14" s="30" t="s">
        <v>247</v>
      </c>
      <c r="J14" s="30" t="s">
        <v>247</v>
      </c>
      <c r="K14" s="56" t="s">
        <v>561</v>
      </c>
      <c r="L14" s="30" t="s">
        <v>587</v>
      </c>
    </row>
    <row r="15" customFormat="false" ht="51.75" hidden="false" customHeight="true" outlineLevel="0" collapsed="false">
      <c r="A15" s="29" t="s">
        <v>112</v>
      </c>
      <c r="B15" s="31" t="s">
        <v>113</v>
      </c>
      <c r="C15" s="29" t="s">
        <v>309</v>
      </c>
      <c r="D15" s="30" t="s">
        <v>588</v>
      </c>
      <c r="E15" s="30" t="s">
        <v>589</v>
      </c>
      <c r="F15" s="30" t="s">
        <v>590</v>
      </c>
      <c r="G15" s="30" t="s">
        <v>566</v>
      </c>
      <c r="H15" s="30" t="s">
        <v>591</v>
      </c>
      <c r="I15" s="30" t="s">
        <v>592</v>
      </c>
      <c r="J15" s="30" t="s">
        <v>593</v>
      </c>
      <c r="K15" s="56" t="s">
        <v>246</v>
      </c>
      <c r="L15" s="30" t="s">
        <v>594</v>
      </c>
    </row>
    <row r="16" customFormat="false" ht="51.75" hidden="false" customHeight="true" outlineLevel="0" collapsed="false">
      <c r="A16" s="29" t="s">
        <v>117</v>
      </c>
      <c r="B16" s="31" t="s">
        <v>118</v>
      </c>
      <c r="C16" s="29" t="s">
        <v>309</v>
      </c>
      <c r="D16" s="30" t="s">
        <v>579</v>
      </c>
      <c r="E16" s="30" t="s">
        <v>580</v>
      </c>
      <c r="F16" s="30" t="s">
        <v>581</v>
      </c>
      <c r="G16" s="30" t="s">
        <v>582</v>
      </c>
      <c r="H16" s="30" t="s">
        <v>583</v>
      </c>
      <c r="I16" s="30" t="s">
        <v>247</v>
      </c>
      <c r="J16" s="30" t="s">
        <v>247</v>
      </c>
      <c r="K16" s="56" t="s">
        <v>561</v>
      </c>
      <c r="L16" s="30" t="s">
        <v>595</v>
      </c>
    </row>
    <row r="17" customFormat="false" ht="51.75" hidden="false" customHeight="true" outlineLevel="0" collapsed="false">
      <c r="A17" s="29" t="s">
        <v>122</v>
      </c>
      <c r="B17" s="31" t="s">
        <v>123</v>
      </c>
      <c r="C17" s="29" t="s">
        <v>309</v>
      </c>
      <c r="D17" s="30" t="s">
        <v>579</v>
      </c>
      <c r="E17" s="30" t="s">
        <v>580</v>
      </c>
      <c r="F17" s="30" t="s">
        <v>581</v>
      </c>
      <c r="G17" s="30" t="s">
        <v>582</v>
      </c>
      <c r="H17" s="30" t="s">
        <v>583</v>
      </c>
      <c r="I17" s="30" t="s">
        <v>247</v>
      </c>
      <c r="J17" s="30" t="s">
        <v>247</v>
      </c>
      <c r="K17" s="56" t="s">
        <v>561</v>
      </c>
      <c r="L17" s="30" t="s">
        <v>596</v>
      </c>
    </row>
    <row r="18" customFormat="false" ht="51.75" hidden="false" customHeight="true" outlineLevel="0" collapsed="false">
      <c r="A18" s="29" t="s">
        <v>127</v>
      </c>
      <c r="B18" s="31" t="s">
        <v>128</v>
      </c>
      <c r="C18" s="29" t="s">
        <v>309</v>
      </c>
      <c r="D18" s="30" t="s">
        <v>597</v>
      </c>
      <c r="E18" s="30" t="s">
        <v>598</v>
      </c>
      <c r="F18" s="30" t="s">
        <v>247</v>
      </c>
      <c r="G18" s="30" t="s">
        <v>566</v>
      </c>
      <c r="H18" s="30" t="s">
        <v>247</v>
      </c>
      <c r="I18" s="30" t="s">
        <v>247</v>
      </c>
      <c r="J18" s="30" t="s">
        <v>247</v>
      </c>
      <c r="K18" s="56" t="s">
        <v>561</v>
      </c>
      <c r="L18" s="30" t="s">
        <v>599</v>
      </c>
    </row>
    <row r="20" customFormat="false" ht="15" hidden="false" customHeight="false" outlineLevel="0" collapsed="false">
      <c r="A20" s="7" t="s">
        <v>600</v>
      </c>
      <c r="B20" s="7"/>
      <c r="C20" s="7"/>
      <c r="D20" s="7"/>
      <c r="E20" s="7"/>
      <c r="F20" s="7"/>
      <c r="G20" s="7"/>
      <c r="H20" s="7"/>
      <c r="I20" s="7"/>
      <c r="J20" s="7"/>
      <c r="K20" s="7"/>
      <c r="L20" s="7"/>
      <c r="M20" s="7"/>
    </row>
    <row r="22" customFormat="false" ht="66" hidden="false" customHeight="true" outlineLevel="0" collapsed="false">
      <c r="A22" s="8" t="s">
        <v>36</v>
      </c>
      <c r="B22" s="8" t="s">
        <v>12</v>
      </c>
      <c r="C22" s="8" t="s">
        <v>601</v>
      </c>
      <c r="D22" s="8" t="s">
        <v>602</v>
      </c>
      <c r="E22" s="8" t="s">
        <v>603</v>
      </c>
      <c r="F22" s="8" t="s">
        <v>604</v>
      </c>
      <c r="G22" s="8" t="s">
        <v>605</v>
      </c>
      <c r="H22" s="8" t="s">
        <v>606</v>
      </c>
      <c r="I22" s="8" t="s">
        <v>607</v>
      </c>
      <c r="J22" s="8" t="s">
        <v>608</v>
      </c>
      <c r="K22" s="8" t="s">
        <v>609</v>
      </c>
      <c r="L22" s="8" t="s">
        <v>610</v>
      </c>
      <c r="M22" s="8" t="s">
        <v>611</v>
      </c>
    </row>
    <row r="23" customFormat="false" ht="15" hidden="false" customHeight="false" outlineLevel="0" collapsed="false">
      <c r="C23" s="52" t="s">
        <v>408</v>
      </c>
      <c r="D23" s="53" t="n">
        <f aca="false">'10 Scoring &amp; Weights'!$D$43</f>
        <v>20</v>
      </c>
      <c r="E23" s="53" t="n">
        <f aca="false">'10 Scoring &amp; Weights'!$D$44</f>
        <v>10</v>
      </c>
      <c r="F23" s="53" t="n">
        <f aca="false">'10 Scoring &amp; Weights'!$D$45</f>
        <v>20</v>
      </c>
      <c r="G23" s="53" t="n">
        <f aca="false">'10 Scoring &amp; Weights'!$D$46</f>
        <v>15</v>
      </c>
      <c r="H23" s="53" t="n">
        <f aca="false">'10 Scoring &amp; Weights'!$D$47</f>
        <v>5</v>
      </c>
      <c r="I23" s="53" t="n">
        <f aca="false">'10 Scoring &amp; Weights'!$D$48</f>
        <v>10</v>
      </c>
      <c r="J23" s="53" t="n">
        <f aca="false">'10 Scoring &amp; Weights'!$D$49</f>
        <v>10</v>
      </c>
      <c r="K23" s="53" t="n">
        <f aca="false">'10 Scoring &amp; Weights'!$D$50</f>
        <v>5</v>
      </c>
      <c r="L23" s="53" t="n">
        <f aca="false">'10 Scoring &amp; Weights'!$D$51</f>
        <v>5</v>
      </c>
    </row>
    <row r="24" customFormat="false" ht="15" hidden="false" customHeight="false" outlineLevel="0" collapsed="false">
      <c r="A24" s="42" t="s">
        <v>48</v>
      </c>
      <c r="B24" s="51" t="s">
        <v>50</v>
      </c>
      <c r="C24" s="42" t="s">
        <v>298</v>
      </c>
      <c r="D24" s="47" t="s">
        <v>246</v>
      </c>
      <c r="E24" s="47" t="s">
        <v>246</v>
      </c>
      <c r="F24" s="47" t="s">
        <v>247</v>
      </c>
      <c r="G24" s="47" t="s">
        <v>246</v>
      </c>
      <c r="H24" s="47" t="s">
        <v>246</v>
      </c>
      <c r="I24" s="47" t="s">
        <v>248</v>
      </c>
      <c r="J24" s="47" t="s">
        <v>246</v>
      </c>
      <c r="K24" s="47" t="s">
        <v>246</v>
      </c>
      <c r="L24" s="47" t="s">
        <v>246</v>
      </c>
      <c r="M24" s="57" t="n">
        <f aca="false">'10 Scoring &amp; Weights'!F87</f>
        <v>40</v>
      </c>
    </row>
    <row r="25" customFormat="false" ht="15" hidden="false" customHeight="false" outlineLevel="0" collapsed="false">
      <c r="A25" s="42" t="s">
        <v>59</v>
      </c>
      <c r="B25" s="51" t="s">
        <v>60</v>
      </c>
      <c r="C25" s="42" t="s">
        <v>309</v>
      </c>
      <c r="D25" s="47" t="s">
        <v>247</v>
      </c>
      <c r="E25" s="47" t="s">
        <v>247</v>
      </c>
      <c r="F25" s="47" t="s">
        <v>247</v>
      </c>
      <c r="G25" s="47" t="s">
        <v>247</v>
      </c>
      <c r="H25" s="47" t="s">
        <v>247</v>
      </c>
      <c r="I25" s="47" t="s">
        <v>246</v>
      </c>
      <c r="J25" s="47" t="s">
        <v>247</v>
      </c>
      <c r="K25" s="47" t="s">
        <v>247</v>
      </c>
      <c r="L25" s="47" t="s">
        <v>247</v>
      </c>
      <c r="M25" s="57" t="n">
        <f aca="false">'10 Scoring &amp; Weights'!F88</f>
        <v>27.5</v>
      </c>
    </row>
    <row r="26" customFormat="false" ht="15" hidden="false" customHeight="false" outlineLevel="0" collapsed="false">
      <c r="A26" s="42" t="s">
        <v>65</v>
      </c>
      <c r="B26" s="51" t="s">
        <v>66</v>
      </c>
      <c r="C26" s="42" t="s">
        <v>309</v>
      </c>
      <c r="D26" s="47" t="s">
        <v>246</v>
      </c>
      <c r="E26" s="47" t="s">
        <v>246</v>
      </c>
      <c r="F26" s="47" t="s">
        <v>246</v>
      </c>
      <c r="G26" s="47" t="s">
        <v>247</v>
      </c>
      <c r="H26" s="47" t="s">
        <v>247</v>
      </c>
      <c r="I26" s="47" t="s">
        <v>245</v>
      </c>
      <c r="J26" s="47" t="s">
        <v>246</v>
      </c>
      <c r="K26" s="47" t="s">
        <v>246</v>
      </c>
      <c r="L26" s="47" t="s">
        <v>246</v>
      </c>
      <c r="M26" s="57" t="n">
        <f aca="false">'10 Scoring &amp; Weights'!F89</f>
        <v>50</v>
      </c>
    </row>
    <row r="27" customFormat="false" ht="15" hidden="false" customHeight="false" outlineLevel="0" collapsed="false">
      <c r="A27" s="42" t="s">
        <v>71</v>
      </c>
      <c r="B27" s="51" t="s">
        <v>72</v>
      </c>
      <c r="C27" s="42" t="s">
        <v>298</v>
      </c>
      <c r="D27" s="47" t="s">
        <v>247</v>
      </c>
      <c r="E27" s="47" t="s">
        <v>247</v>
      </c>
      <c r="F27" s="47" t="s">
        <v>247</v>
      </c>
      <c r="G27" s="47" t="s">
        <v>247</v>
      </c>
      <c r="H27" s="47" t="s">
        <v>247</v>
      </c>
      <c r="I27" s="47" t="s">
        <v>248</v>
      </c>
      <c r="J27" s="47" t="s">
        <v>247</v>
      </c>
      <c r="K27" s="47" t="s">
        <v>247</v>
      </c>
      <c r="L27" s="47" t="s">
        <v>247</v>
      </c>
      <c r="M27" s="57" t="n">
        <f aca="false">'10 Scoring &amp; Weights'!F90</f>
        <v>22.5</v>
      </c>
    </row>
    <row r="28" customFormat="false" ht="15" hidden="false" customHeight="false" outlineLevel="0" collapsed="false">
      <c r="A28" s="42" t="s">
        <v>80</v>
      </c>
      <c r="B28" s="51" t="s">
        <v>81</v>
      </c>
      <c r="C28" s="42" t="s">
        <v>298</v>
      </c>
      <c r="D28" s="47" t="s">
        <v>247</v>
      </c>
      <c r="E28" s="47" t="s">
        <v>247</v>
      </c>
      <c r="F28" s="47" t="s">
        <v>247</v>
      </c>
      <c r="G28" s="47" t="s">
        <v>247</v>
      </c>
      <c r="H28" s="47" t="s">
        <v>247</v>
      </c>
      <c r="I28" s="47" t="s">
        <v>248</v>
      </c>
      <c r="J28" s="47" t="s">
        <v>247</v>
      </c>
      <c r="K28" s="47" t="s">
        <v>247</v>
      </c>
      <c r="L28" s="47" t="s">
        <v>247</v>
      </c>
      <c r="M28" s="57" t="n">
        <f aca="false">'10 Scoring &amp; Weights'!F91</f>
        <v>22.5</v>
      </c>
    </row>
    <row r="29" customFormat="false" ht="15" hidden="false" customHeight="false" outlineLevel="0" collapsed="false">
      <c r="A29" s="42" t="s">
        <v>86</v>
      </c>
      <c r="B29" s="51" t="s">
        <v>87</v>
      </c>
      <c r="C29" s="42" t="s">
        <v>298</v>
      </c>
      <c r="D29" s="47" t="s">
        <v>247</v>
      </c>
      <c r="E29" s="47" t="s">
        <v>247</v>
      </c>
      <c r="F29" s="47" t="s">
        <v>247</v>
      </c>
      <c r="G29" s="47" t="s">
        <v>247</v>
      </c>
      <c r="H29" s="47" t="s">
        <v>247</v>
      </c>
      <c r="I29" s="47" t="s">
        <v>248</v>
      </c>
      <c r="J29" s="47" t="s">
        <v>247</v>
      </c>
      <c r="K29" s="47" t="s">
        <v>247</v>
      </c>
      <c r="L29" s="47" t="s">
        <v>247</v>
      </c>
      <c r="M29" s="57" t="n">
        <f aca="false">'10 Scoring &amp; Weights'!F92</f>
        <v>22.5</v>
      </c>
    </row>
    <row r="30" customFormat="false" ht="15" hidden="false" customHeight="false" outlineLevel="0" collapsed="false">
      <c r="A30" s="42" t="s">
        <v>93</v>
      </c>
      <c r="B30" s="51" t="s">
        <v>94</v>
      </c>
      <c r="C30" s="42" t="s">
        <v>309</v>
      </c>
      <c r="D30" s="47" t="s">
        <v>247</v>
      </c>
      <c r="E30" s="47" t="s">
        <v>247</v>
      </c>
      <c r="F30" s="47" t="s">
        <v>247</v>
      </c>
      <c r="G30" s="47" t="s">
        <v>247</v>
      </c>
      <c r="H30" s="47" t="s">
        <v>247</v>
      </c>
      <c r="I30" s="47" t="s">
        <v>245</v>
      </c>
      <c r="J30" s="47" t="s">
        <v>247</v>
      </c>
      <c r="K30" s="47" t="s">
        <v>247</v>
      </c>
      <c r="L30" s="47" t="s">
        <v>247</v>
      </c>
      <c r="M30" s="57" t="n">
        <f aca="false">'10 Scoring &amp; Weights'!F93</f>
        <v>32.5</v>
      </c>
    </row>
    <row r="31" customFormat="false" ht="15" hidden="false" customHeight="false" outlineLevel="0" collapsed="false">
      <c r="A31" s="42" t="s">
        <v>98</v>
      </c>
      <c r="B31" s="51" t="s">
        <v>99</v>
      </c>
      <c r="C31" s="42" t="s">
        <v>298</v>
      </c>
      <c r="D31" s="47" t="s">
        <v>247</v>
      </c>
      <c r="E31" s="47" t="s">
        <v>247</v>
      </c>
      <c r="F31" s="47" t="s">
        <v>247</v>
      </c>
      <c r="G31" s="47" t="s">
        <v>247</v>
      </c>
      <c r="H31" s="47" t="s">
        <v>247</v>
      </c>
      <c r="I31" s="47" t="s">
        <v>248</v>
      </c>
      <c r="J31" s="47" t="s">
        <v>247</v>
      </c>
      <c r="K31" s="47" t="s">
        <v>247</v>
      </c>
      <c r="L31" s="47" t="s">
        <v>247</v>
      </c>
      <c r="M31" s="57" t="n">
        <f aca="false">'10 Scoring &amp; Weights'!F94</f>
        <v>22.5</v>
      </c>
    </row>
    <row r="32" customFormat="false" ht="15" hidden="false" customHeight="false" outlineLevel="0" collapsed="false">
      <c r="A32" s="42" t="s">
        <v>106</v>
      </c>
      <c r="B32" s="51" t="s">
        <v>107</v>
      </c>
      <c r="C32" s="42" t="s">
        <v>309</v>
      </c>
      <c r="D32" s="47" t="s">
        <v>247</v>
      </c>
      <c r="E32" s="47" t="s">
        <v>247</v>
      </c>
      <c r="F32" s="47" t="s">
        <v>247</v>
      </c>
      <c r="G32" s="47" t="s">
        <v>247</v>
      </c>
      <c r="H32" s="47" t="s">
        <v>247</v>
      </c>
      <c r="I32" s="47" t="s">
        <v>245</v>
      </c>
      <c r="J32" s="47" t="s">
        <v>247</v>
      </c>
      <c r="K32" s="47" t="s">
        <v>247</v>
      </c>
      <c r="L32" s="47" t="s">
        <v>247</v>
      </c>
      <c r="M32" s="57" t="n">
        <f aca="false">'10 Scoring &amp; Weights'!F95</f>
        <v>32.5</v>
      </c>
    </row>
    <row r="33" customFormat="false" ht="15" hidden="false" customHeight="false" outlineLevel="0" collapsed="false">
      <c r="A33" s="42" t="s">
        <v>112</v>
      </c>
      <c r="B33" s="51" t="s">
        <v>113</v>
      </c>
      <c r="C33" s="42" t="s">
        <v>309</v>
      </c>
      <c r="D33" s="47" t="s">
        <v>246</v>
      </c>
      <c r="E33" s="47" t="s">
        <v>246</v>
      </c>
      <c r="F33" s="47" t="s">
        <v>246</v>
      </c>
      <c r="G33" s="47" t="s">
        <v>246</v>
      </c>
      <c r="H33" s="47" t="s">
        <v>247</v>
      </c>
      <c r="I33" s="47" t="s">
        <v>245</v>
      </c>
      <c r="J33" s="47" t="s">
        <v>246</v>
      </c>
      <c r="K33" s="47" t="s">
        <v>246</v>
      </c>
      <c r="L33" s="47" t="s">
        <v>246</v>
      </c>
      <c r="M33" s="57" t="n">
        <f aca="false">'10 Scoring &amp; Weights'!F96</f>
        <v>53.75</v>
      </c>
    </row>
    <row r="34" customFormat="false" ht="15" hidden="false" customHeight="false" outlineLevel="0" collapsed="false">
      <c r="A34" s="42" t="s">
        <v>117</v>
      </c>
      <c r="B34" s="51" t="s">
        <v>118</v>
      </c>
      <c r="C34" s="42" t="s">
        <v>309</v>
      </c>
      <c r="D34" s="47" t="s">
        <v>247</v>
      </c>
      <c r="E34" s="47" t="s">
        <v>247</v>
      </c>
      <c r="F34" s="47" t="s">
        <v>247</v>
      </c>
      <c r="G34" s="47" t="s">
        <v>247</v>
      </c>
      <c r="H34" s="47" t="s">
        <v>247</v>
      </c>
      <c r="I34" s="47" t="s">
        <v>245</v>
      </c>
      <c r="J34" s="47" t="s">
        <v>247</v>
      </c>
      <c r="K34" s="47" t="s">
        <v>247</v>
      </c>
      <c r="L34" s="47" t="s">
        <v>247</v>
      </c>
      <c r="M34" s="57" t="n">
        <f aca="false">'10 Scoring &amp; Weights'!F97</f>
        <v>32.5</v>
      </c>
    </row>
    <row r="35" customFormat="false" ht="15" hidden="false" customHeight="false" outlineLevel="0" collapsed="false">
      <c r="A35" s="42" t="s">
        <v>122</v>
      </c>
      <c r="B35" s="51" t="s">
        <v>123</v>
      </c>
      <c r="C35" s="42" t="s">
        <v>309</v>
      </c>
      <c r="D35" s="47" t="s">
        <v>247</v>
      </c>
      <c r="E35" s="47" t="s">
        <v>247</v>
      </c>
      <c r="F35" s="47" t="s">
        <v>247</v>
      </c>
      <c r="G35" s="47" t="s">
        <v>247</v>
      </c>
      <c r="H35" s="47" t="s">
        <v>247</v>
      </c>
      <c r="I35" s="47" t="s">
        <v>245</v>
      </c>
      <c r="J35" s="47" t="s">
        <v>247</v>
      </c>
      <c r="K35" s="47" t="s">
        <v>247</v>
      </c>
      <c r="L35" s="47" t="s">
        <v>247</v>
      </c>
      <c r="M35" s="57" t="n">
        <f aca="false">'10 Scoring &amp; Weights'!F98</f>
        <v>32.5</v>
      </c>
    </row>
    <row r="36" customFormat="false" ht="15" hidden="false" customHeight="false" outlineLevel="0" collapsed="false">
      <c r="A36" s="42" t="s">
        <v>127</v>
      </c>
      <c r="B36" s="51" t="s">
        <v>128</v>
      </c>
      <c r="C36" s="42" t="s">
        <v>309</v>
      </c>
      <c r="D36" s="47" t="s">
        <v>247</v>
      </c>
      <c r="E36" s="47" t="s">
        <v>247</v>
      </c>
      <c r="F36" s="47" t="s">
        <v>247</v>
      </c>
      <c r="G36" s="47" t="s">
        <v>247</v>
      </c>
      <c r="H36" s="47" t="s">
        <v>247</v>
      </c>
      <c r="I36" s="47" t="s">
        <v>245</v>
      </c>
      <c r="J36" s="47" t="s">
        <v>247</v>
      </c>
      <c r="K36" s="47" t="s">
        <v>247</v>
      </c>
      <c r="L36" s="47" t="s">
        <v>247</v>
      </c>
      <c r="M36" s="57" t="n">
        <f aca="false">'10 Scoring &amp; Weights'!F99</f>
        <v>32.5</v>
      </c>
    </row>
    <row r="38" customFormat="false" ht="15" hidden="false" customHeight="false" outlineLevel="0" collapsed="false">
      <c r="A38" s="7" t="s">
        <v>612</v>
      </c>
      <c r="B38" s="7"/>
      <c r="C38" s="7"/>
      <c r="D38" s="7"/>
      <c r="E38" s="7"/>
      <c r="F38" s="7"/>
      <c r="G38" s="7"/>
      <c r="H38" s="7"/>
      <c r="I38" s="7"/>
      <c r="J38" s="7"/>
      <c r="K38" s="7"/>
      <c r="L38" s="7"/>
      <c r="M38" s="7"/>
      <c r="N38" s="7"/>
      <c r="O38" s="7"/>
      <c r="P38" s="7"/>
    </row>
    <row r="40" customFormat="false" ht="39.75" hidden="false" customHeight="true" outlineLevel="0" collapsed="false">
      <c r="A40" s="8" t="s">
        <v>36</v>
      </c>
      <c r="B40" s="8" t="s">
        <v>12</v>
      </c>
      <c r="C40" s="8" t="s">
        <v>601</v>
      </c>
      <c r="D40" s="8" t="s">
        <v>613</v>
      </c>
      <c r="E40" s="8" t="s">
        <v>614</v>
      </c>
      <c r="F40" s="8" t="s">
        <v>615</v>
      </c>
      <c r="G40" s="8" t="s">
        <v>417</v>
      </c>
      <c r="H40" s="8" t="s">
        <v>616</v>
      </c>
      <c r="I40" s="8" t="s">
        <v>617</v>
      </c>
      <c r="J40" s="8" t="s">
        <v>424</v>
      </c>
      <c r="K40" s="8" t="s">
        <v>426</v>
      </c>
      <c r="L40" s="8" t="s">
        <v>618</v>
      </c>
      <c r="M40" s="8" t="s">
        <v>619</v>
      </c>
      <c r="N40" s="8" t="s">
        <v>620</v>
      </c>
      <c r="O40" s="8" t="s">
        <v>621</v>
      </c>
      <c r="P40" s="8" t="s">
        <v>622</v>
      </c>
    </row>
    <row r="41" customFormat="false" ht="15" hidden="false" customHeight="false" outlineLevel="0" collapsed="false">
      <c r="A41" s="42" t="s">
        <v>48</v>
      </c>
      <c r="B41" s="51" t="s">
        <v>50</v>
      </c>
      <c r="C41" s="42" t="s">
        <v>298</v>
      </c>
      <c r="D41" s="47" t="s">
        <v>247</v>
      </c>
      <c r="E41" s="47" t="s">
        <v>247</v>
      </c>
      <c r="F41" s="47" t="s">
        <v>249</v>
      </c>
      <c r="G41" s="47" t="s">
        <v>246</v>
      </c>
      <c r="H41" s="47" t="s">
        <v>246</v>
      </c>
      <c r="I41" s="47" t="s">
        <v>246</v>
      </c>
      <c r="J41" s="47" t="s">
        <v>246</v>
      </c>
      <c r="K41" s="47" t="s">
        <v>247</v>
      </c>
      <c r="L41" s="47" t="s">
        <v>247</v>
      </c>
      <c r="M41" s="47" t="s">
        <v>247</v>
      </c>
      <c r="N41" s="47" t="s">
        <v>247</v>
      </c>
      <c r="O41" s="47" t="s">
        <v>247</v>
      </c>
      <c r="P41" s="58" t="n">
        <f aca="false">COUNTIF(D41:O41,"Yes")+COUNTIF(D41:O41,"Conditional")</f>
        <v>4</v>
      </c>
    </row>
    <row r="42" customFormat="false" ht="15" hidden="false" customHeight="false" outlineLevel="0" collapsed="false">
      <c r="A42" s="42" t="s">
        <v>59</v>
      </c>
      <c r="B42" s="51" t="s">
        <v>60</v>
      </c>
      <c r="C42" s="42" t="s">
        <v>309</v>
      </c>
      <c r="D42" s="47" t="s">
        <v>247</v>
      </c>
      <c r="E42" s="47" t="s">
        <v>247</v>
      </c>
      <c r="F42" s="47" t="s">
        <v>247</v>
      </c>
      <c r="G42" s="47" t="s">
        <v>247</v>
      </c>
      <c r="H42" s="47" t="s">
        <v>247</v>
      </c>
      <c r="I42" s="47" t="s">
        <v>247</v>
      </c>
      <c r="J42" s="47" t="s">
        <v>247</v>
      </c>
      <c r="K42" s="47" t="s">
        <v>247</v>
      </c>
      <c r="L42" s="47" t="s">
        <v>247</v>
      </c>
      <c r="M42" s="47" t="s">
        <v>247</v>
      </c>
      <c r="N42" s="47" t="s">
        <v>247</v>
      </c>
      <c r="O42" s="47" t="s">
        <v>247</v>
      </c>
      <c r="P42" s="58" t="n">
        <f aca="false">COUNTIF(D42:O42,"Yes")+COUNTIF(D42:O42,"Conditional")</f>
        <v>0</v>
      </c>
    </row>
    <row r="43" customFormat="false" ht="15" hidden="false" customHeight="false" outlineLevel="0" collapsed="false">
      <c r="A43" s="42" t="s">
        <v>65</v>
      </c>
      <c r="B43" s="51" t="s">
        <v>66</v>
      </c>
      <c r="C43" s="42" t="s">
        <v>309</v>
      </c>
      <c r="D43" s="47" t="s">
        <v>246</v>
      </c>
      <c r="E43" s="47" t="s">
        <v>246</v>
      </c>
      <c r="F43" s="47" t="s">
        <v>246</v>
      </c>
      <c r="G43" s="47" t="s">
        <v>247</v>
      </c>
      <c r="H43" s="47" t="s">
        <v>247</v>
      </c>
      <c r="I43" s="47" t="s">
        <v>247</v>
      </c>
      <c r="J43" s="47" t="s">
        <v>247</v>
      </c>
      <c r="K43" s="47" t="s">
        <v>247</v>
      </c>
      <c r="L43" s="47" t="s">
        <v>247</v>
      </c>
      <c r="M43" s="47" t="s">
        <v>247</v>
      </c>
      <c r="N43" s="47" t="s">
        <v>247</v>
      </c>
      <c r="O43" s="47" t="s">
        <v>246</v>
      </c>
      <c r="P43" s="58" t="n">
        <f aca="false">COUNTIF(D43:O43,"Yes")+COUNTIF(D43:O43,"Conditional")</f>
        <v>4</v>
      </c>
    </row>
    <row r="44" customFormat="false" ht="15" hidden="false" customHeight="false" outlineLevel="0" collapsed="false">
      <c r="A44" s="42" t="s">
        <v>71</v>
      </c>
      <c r="B44" s="51" t="s">
        <v>72</v>
      </c>
      <c r="C44" s="42" t="s">
        <v>298</v>
      </c>
      <c r="D44" s="47" t="s">
        <v>247</v>
      </c>
      <c r="E44" s="47" t="s">
        <v>247</v>
      </c>
      <c r="F44" s="47" t="s">
        <v>249</v>
      </c>
      <c r="G44" s="47" t="s">
        <v>247</v>
      </c>
      <c r="H44" s="47" t="s">
        <v>247</v>
      </c>
      <c r="I44" s="47" t="s">
        <v>247</v>
      </c>
      <c r="J44" s="47" t="s">
        <v>247</v>
      </c>
      <c r="K44" s="47" t="s">
        <v>247</v>
      </c>
      <c r="L44" s="47" t="s">
        <v>247</v>
      </c>
      <c r="M44" s="47" t="s">
        <v>247</v>
      </c>
      <c r="N44" s="47" t="s">
        <v>247</v>
      </c>
      <c r="O44" s="47" t="s">
        <v>247</v>
      </c>
      <c r="P44" s="58" t="n">
        <f aca="false">COUNTIF(D44:O44,"Yes")+COUNTIF(D44:O44,"Conditional")</f>
        <v>0</v>
      </c>
    </row>
    <row r="45" customFormat="false" ht="15" hidden="false" customHeight="false" outlineLevel="0" collapsed="false">
      <c r="A45" s="42" t="s">
        <v>80</v>
      </c>
      <c r="B45" s="51" t="s">
        <v>81</v>
      </c>
      <c r="C45" s="42" t="s">
        <v>298</v>
      </c>
      <c r="D45" s="47" t="s">
        <v>247</v>
      </c>
      <c r="E45" s="47" t="s">
        <v>247</v>
      </c>
      <c r="F45" s="47" t="s">
        <v>249</v>
      </c>
      <c r="G45" s="47" t="s">
        <v>247</v>
      </c>
      <c r="H45" s="47" t="s">
        <v>247</v>
      </c>
      <c r="I45" s="47" t="s">
        <v>247</v>
      </c>
      <c r="J45" s="47" t="s">
        <v>247</v>
      </c>
      <c r="K45" s="47" t="s">
        <v>247</v>
      </c>
      <c r="L45" s="47" t="s">
        <v>247</v>
      </c>
      <c r="M45" s="47" t="s">
        <v>247</v>
      </c>
      <c r="N45" s="47" t="s">
        <v>247</v>
      </c>
      <c r="O45" s="47" t="s">
        <v>247</v>
      </c>
      <c r="P45" s="58" t="n">
        <f aca="false">COUNTIF(D45:O45,"Yes")+COUNTIF(D45:O45,"Conditional")</f>
        <v>0</v>
      </c>
    </row>
    <row r="46" customFormat="false" ht="15" hidden="false" customHeight="false" outlineLevel="0" collapsed="false">
      <c r="A46" s="42" t="s">
        <v>86</v>
      </c>
      <c r="B46" s="51" t="s">
        <v>87</v>
      </c>
      <c r="C46" s="42" t="s">
        <v>298</v>
      </c>
      <c r="D46" s="47" t="s">
        <v>247</v>
      </c>
      <c r="E46" s="47" t="s">
        <v>247</v>
      </c>
      <c r="F46" s="47" t="s">
        <v>249</v>
      </c>
      <c r="G46" s="47" t="s">
        <v>247</v>
      </c>
      <c r="H46" s="47" t="s">
        <v>247</v>
      </c>
      <c r="I46" s="47" t="s">
        <v>247</v>
      </c>
      <c r="J46" s="47" t="s">
        <v>247</v>
      </c>
      <c r="K46" s="47" t="s">
        <v>247</v>
      </c>
      <c r="L46" s="47" t="s">
        <v>247</v>
      </c>
      <c r="M46" s="47" t="s">
        <v>247</v>
      </c>
      <c r="N46" s="47" t="s">
        <v>247</v>
      </c>
      <c r="O46" s="47" t="s">
        <v>247</v>
      </c>
      <c r="P46" s="58" t="n">
        <f aca="false">COUNTIF(D46:O46,"Yes")+COUNTIF(D46:O46,"Conditional")</f>
        <v>0</v>
      </c>
    </row>
    <row r="47" customFormat="false" ht="15" hidden="false" customHeight="false" outlineLevel="0" collapsed="false">
      <c r="A47" s="42" t="s">
        <v>93</v>
      </c>
      <c r="B47" s="51" t="s">
        <v>94</v>
      </c>
      <c r="C47" s="42" t="s">
        <v>309</v>
      </c>
      <c r="D47" s="47" t="s">
        <v>247</v>
      </c>
      <c r="E47" s="47" t="s">
        <v>247</v>
      </c>
      <c r="F47" s="47" t="s">
        <v>247</v>
      </c>
      <c r="G47" s="47" t="s">
        <v>247</v>
      </c>
      <c r="H47" s="47" t="s">
        <v>247</v>
      </c>
      <c r="I47" s="47" t="s">
        <v>247</v>
      </c>
      <c r="J47" s="47" t="s">
        <v>247</v>
      </c>
      <c r="K47" s="47" t="s">
        <v>247</v>
      </c>
      <c r="L47" s="47" t="s">
        <v>247</v>
      </c>
      <c r="M47" s="47" t="s">
        <v>247</v>
      </c>
      <c r="N47" s="47" t="s">
        <v>247</v>
      </c>
      <c r="O47" s="47" t="s">
        <v>247</v>
      </c>
      <c r="P47" s="58" t="n">
        <f aca="false">COUNTIF(D47:O47,"Yes")+COUNTIF(D47:O47,"Conditional")</f>
        <v>0</v>
      </c>
    </row>
    <row r="48" customFormat="false" ht="15" hidden="false" customHeight="false" outlineLevel="0" collapsed="false">
      <c r="A48" s="42" t="s">
        <v>98</v>
      </c>
      <c r="B48" s="51" t="s">
        <v>99</v>
      </c>
      <c r="C48" s="42" t="s">
        <v>298</v>
      </c>
      <c r="D48" s="47" t="s">
        <v>247</v>
      </c>
      <c r="E48" s="47" t="s">
        <v>247</v>
      </c>
      <c r="F48" s="47" t="s">
        <v>249</v>
      </c>
      <c r="G48" s="47" t="s">
        <v>247</v>
      </c>
      <c r="H48" s="47" t="s">
        <v>247</v>
      </c>
      <c r="I48" s="47" t="s">
        <v>247</v>
      </c>
      <c r="J48" s="47" t="s">
        <v>247</v>
      </c>
      <c r="K48" s="47" t="s">
        <v>247</v>
      </c>
      <c r="L48" s="47" t="s">
        <v>247</v>
      </c>
      <c r="M48" s="47" t="s">
        <v>247</v>
      </c>
      <c r="N48" s="47" t="s">
        <v>247</v>
      </c>
      <c r="O48" s="47" t="s">
        <v>247</v>
      </c>
      <c r="P48" s="58" t="n">
        <f aca="false">COUNTIF(D48:O48,"Yes")+COUNTIF(D48:O48,"Conditional")</f>
        <v>0</v>
      </c>
    </row>
    <row r="49" customFormat="false" ht="15" hidden="false" customHeight="false" outlineLevel="0" collapsed="false">
      <c r="A49" s="42" t="s">
        <v>106</v>
      </c>
      <c r="B49" s="51" t="s">
        <v>107</v>
      </c>
      <c r="C49" s="42" t="s">
        <v>309</v>
      </c>
      <c r="D49" s="47" t="s">
        <v>247</v>
      </c>
      <c r="E49" s="47" t="s">
        <v>247</v>
      </c>
      <c r="F49" s="47" t="s">
        <v>247</v>
      </c>
      <c r="G49" s="47" t="s">
        <v>247</v>
      </c>
      <c r="H49" s="47" t="s">
        <v>247</v>
      </c>
      <c r="I49" s="47" t="s">
        <v>247</v>
      </c>
      <c r="J49" s="47" t="s">
        <v>247</v>
      </c>
      <c r="K49" s="47" t="s">
        <v>247</v>
      </c>
      <c r="L49" s="47" t="s">
        <v>247</v>
      </c>
      <c r="M49" s="47" t="s">
        <v>247</v>
      </c>
      <c r="N49" s="47" t="s">
        <v>247</v>
      </c>
      <c r="O49" s="47" t="s">
        <v>247</v>
      </c>
      <c r="P49" s="58" t="n">
        <f aca="false">COUNTIF(D49:O49,"Yes")+COUNTIF(D49:O49,"Conditional")</f>
        <v>0</v>
      </c>
    </row>
    <row r="50" customFormat="false" ht="15" hidden="false" customHeight="false" outlineLevel="0" collapsed="false">
      <c r="A50" s="42" t="s">
        <v>112</v>
      </c>
      <c r="B50" s="51" t="s">
        <v>113</v>
      </c>
      <c r="C50" s="42" t="s">
        <v>309</v>
      </c>
      <c r="D50" s="47" t="s">
        <v>246</v>
      </c>
      <c r="E50" s="47" t="s">
        <v>246</v>
      </c>
      <c r="F50" s="47" t="s">
        <v>246</v>
      </c>
      <c r="G50" s="47" t="s">
        <v>246</v>
      </c>
      <c r="H50" s="47" t="s">
        <v>246</v>
      </c>
      <c r="I50" s="47" t="s">
        <v>247</v>
      </c>
      <c r="J50" s="47" t="s">
        <v>246</v>
      </c>
      <c r="K50" s="47" t="s">
        <v>247</v>
      </c>
      <c r="L50" s="47" t="s">
        <v>246</v>
      </c>
      <c r="M50" s="47" t="s">
        <v>247</v>
      </c>
      <c r="N50" s="47" t="s">
        <v>247</v>
      </c>
      <c r="O50" s="47" t="s">
        <v>246</v>
      </c>
      <c r="P50" s="58" t="n">
        <f aca="false">COUNTIF(D50:O50,"Yes")+COUNTIF(D50:O50,"Conditional")</f>
        <v>8</v>
      </c>
    </row>
    <row r="51" customFormat="false" ht="15" hidden="false" customHeight="false" outlineLevel="0" collapsed="false">
      <c r="A51" s="42" t="s">
        <v>117</v>
      </c>
      <c r="B51" s="51" t="s">
        <v>118</v>
      </c>
      <c r="C51" s="42" t="s">
        <v>309</v>
      </c>
      <c r="D51" s="47" t="s">
        <v>247</v>
      </c>
      <c r="E51" s="47" t="s">
        <v>247</v>
      </c>
      <c r="F51" s="47" t="s">
        <v>247</v>
      </c>
      <c r="G51" s="47" t="s">
        <v>247</v>
      </c>
      <c r="H51" s="47" t="s">
        <v>247</v>
      </c>
      <c r="I51" s="47" t="s">
        <v>247</v>
      </c>
      <c r="J51" s="47" t="s">
        <v>247</v>
      </c>
      <c r="K51" s="47" t="s">
        <v>247</v>
      </c>
      <c r="L51" s="47" t="s">
        <v>247</v>
      </c>
      <c r="M51" s="47" t="s">
        <v>247</v>
      </c>
      <c r="N51" s="47" t="s">
        <v>247</v>
      </c>
      <c r="O51" s="47" t="s">
        <v>247</v>
      </c>
      <c r="P51" s="58" t="n">
        <f aca="false">COUNTIF(D51:O51,"Yes")+COUNTIF(D51:O51,"Conditional")</f>
        <v>0</v>
      </c>
    </row>
    <row r="52" customFormat="false" ht="15" hidden="false" customHeight="false" outlineLevel="0" collapsed="false">
      <c r="A52" s="42" t="s">
        <v>122</v>
      </c>
      <c r="B52" s="51" t="s">
        <v>123</v>
      </c>
      <c r="C52" s="42" t="s">
        <v>309</v>
      </c>
      <c r="D52" s="47" t="s">
        <v>247</v>
      </c>
      <c r="E52" s="47" t="s">
        <v>247</v>
      </c>
      <c r="F52" s="47" t="s">
        <v>247</v>
      </c>
      <c r="G52" s="47" t="s">
        <v>247</v>
      </c>
      <c r="H52" s="47" t="s">
        <v>247</v>
      </c>
      <c r="I52" s="47" t="s">
        <v>247</v>
      </c>
      <c r="J52" s="47" t="s">
        <v>247</v>
      </c>
      <c r="K52" s="47" t="s">
        <v>247</v>
      </c>
      <c r="L52" s="47" t="s">
        <v>247</v>
      </c>
      <c r="M52" s="47" t="s">
        <v>247</v>
      </c>
      <c r="N52" s="47" t="s">
        <v>247</v>
      </c>
      <c r="O52" s="47" t="s">
        <v>247</v>
      </c>
      <c r="P52" s="58" t="n">
        <f aca="false">COUNTIF(D52:O52,"Yes")+COUNTIF(D52:O52,"Conditional")</f>
        <v>0</v>
      </c>
    </row>
    <row r="53" customFormat="false" ht="15" hidden="false" customHeight="false" outlineLevel="0" collapsed="false">
      <c r="A53" s="42" t="s">
        <v>127</v>
      </c>
      <c r="B53" s="51" t="s">
        <v>128</v>
      </c>
      <c r="C53" s="42" t="s">
        <v>309</v>
      </c>
      <c r="D53" s="47" t="s">
        <v>247</v>
      </c>
      <c r="E53" s="47" t="s">
        <v>247</v>
      </c>
      <c r="F53" s="47" t="s">
        <v>247</v>
      </c>
      <c r="G53" s="47" t="s">
        <v>247</v>
      </c>
      <c r="H53" s="47" t="s">
        <v>247</v>
      </c>
      <c r="I53" s="47" t="s">
        <v>247</v>
      </c>
      <c r="J53" s="47" t="s">
        <v>247</v>
      </c>
      <c r="K53" s="47" t="s">
        <v>247</v>
      </c>
      <c r="L53" s="47" t="s">
        <v>247</v>
      </c>
      <c r="M53" s="47" t="s">
        <v>247</v>
      </c>
      <c r="N53" s="47" t="s">
        <v>247</v>
      </c>
      <c r="O53" s="47" t="s">
        <v>247</v>
      </c>
      <c r="P53" s="58" t="n">
        <f aca="false">COUNTIF(D53:O53,"Yes")+COUNTIF(D53:O53,"Conditional")</f>
        <v>0</v>
      </c>
    </row>
    <row r="55" customFormat="false" ht="15" hidden="false" customHeight="false" outlineLevel="0" collapsed="false">
      <c r="A55" s="7" t="s">
        <v>623</v>
      </c>
      <c r="B55" s="7"/>
      <c r="C55" s="7"/>
      <c r="D55" s="7"/>
      <c r="E55" s="7"/>
      <c r="F55" s="7"/>
      <c r="G55" s="7"/>
      <c r="H55" s="7"/>
      <c r="I55" s="7"/>
      <c r="J55" s="7"/>
      <c r="K55" s="7"/>
      <c r="L55" s="7"/>
    </row>
    <row r="56" customFormat="false" ht="54" hidden="false" customHeight="true" outlineLevel="0" collapsed="false">
      <c r="A56" s="31" t="s">
        <v>624</v>
      </c>
      <c r="B56" s="31"/>
      <c r="C56" s="31"/>
      <c r="D56" s="30" t="s">
        <v>625</v>
      </c>
      <c r="E56" s="30"/>
      <c r="F56" s="30"/>
      <c r="G56" s="30"/>
      <c r="H56" s="30"/>
      <c r="I56" s="30"/>
      <c r="J56" s="30"/>
      <c r="K56" s="30"/>
      <c r="L56" s="30"/>
    </row>
    <row r="57" customFormat="false" ht="54" hidden="false" customHeight="true" outlineLevel="0" collapsed="false">
      <c r="A57" s="31" t="s">
        <v>626</v>
      </c>
      <c r="B57" s="31"/>
      <c r="C57" s="31"/>
      <c r="D57" s="30" t="s">
        <v>627</v>
      </c>
      <c r="E57" s="30"/>
      <c r="F57" s="30"/>
      <c r="G57" s="30"/>
      <c r="H57" s="30"/>
      <c r="I57" s="30"/>
      <c r="J57" s="30"/>
      <c r="K57" s="30"/>
      <c r="L57" s="30"/>
    </row>
    <row r="58" customFormat="false" ht="54" hidden="false" customHeight="true" outlineLevel="0" collapsed="false">
      <c r="A58" s="31" t="s">
        <v>628</v>
      </c>
      <c r="B58" s="31"/>
      <c r="C58" s="31"/>
      <c r="D58" s="30" t="s">
        <v>629</v>
      </c>
      <c r="E58" s="30"/>
      <c r="F58" s="30"/>
      <c r="G58" s="30"/>
      <c r="H58" s="30"/>
      <c r="I58" s="30"/>
      <c r="J58" s="30"/>
      <c r="K58" s="30"/>
      <c r="L58" s="30"/>
    </row>
  </sheetData>
  <mergeCells count="6">
    <mergeCell ref="A56:C56"/>
    <mergeCell ref="D56:L56"/>
    <mergeCell ref="A57:C57"/>
    <mergeCell ref="D57:L57"/>
    <mergeCell ref="A58:C58"/>
    <mergeCell ref="D58:L58"/>
  </mergeCells>
  <conditionalFormatting sqref="K6:K18">
    <cfRule type="cellIs" priority="2" operator="equal" aboveAverage="0" equalAverage="0" bottom="0" percent="0" rank="0" text="" dxfId="1">
      <formula>"Pass"</formula>
    </cfRule>
    <cfRule type="cellIs" priority="3" operator="equal" aboveAverage="0" equalAverage="0" bottom="0" percent="0" rank="0" text="" dxfId="1">
      <formula>"Eligible"</formula>
    </cfRule>
    <cfRule type="cellIs" priority="4" operator="equal" aboveAverage="0" equalAverage="0" bottom="0" percent="0" rank="0" text="" dxfId="1">
      <formula>"Verified feasible"</formula>
    </cfRule>
    <cfRule type="cellIs" priority="5" operator="equal" aboveAverage="0" equalAverage="0" bottom="0" percent="0" rank="0" text="" dxfId="2">
      <formula>"Conditional"</formula>
    </cfRule>
    <cfRule type="cellIs" priority="6" operator="equal" aboveAverage="0" equalAverage="0" bottom="0" percent="0" rank="0" text="" dxfId="2">
      <formula>"Conditionally eligible"</formula>
    </cfRule>
    <cfRule type="cellIs" priority="7" operator="equal" aboveAverage="0" equalAverage="0" bottom="0" percent="0" rank="0" text="" dxfId="2">
      <formula>"Pending"</formula>
    </cfRule>
    <cfRule type="cellIs" priority="8" operator="equal" aboveAverage="0" equalAverage="0" bottom="0" percent="0" rank="0" text="" dxfId="2">
      <formula>"Pending verification"</formula>
    </cfRule>
    <cfRule type="cellIs" priority="9" operator="equal" aboveAverage="0" equalAverage="0" bottom="0" percent="0" rank="0" text="" dxfId="2">
      <formula>"Not verified"</formula>
    </cfRule>
    <cfRule type="cellIs" priority="10" operator="equal" aboveAverage="0" equalAverage="0" bottom="0" percent="0" rank="0" text="" dxfId="0">
      <formula>"Fail"</formula>
    </cfRule>
    <cfRule type="cellIs" priority="11" operator="equal" aboveAverage="0" equalAverage="0" bottom="0" percent="0" rank="0" text="" dxfId="0">
      <formula>"Ineligible"</formula>
    </cfRule>
    <cfRule type="cellIs" priority="12" operator="equal" aboveAverage="0" equalAverage="0" bottom="0" percent="0" rank="0" text="" dxfId="0">
      <formula>"Not feasible"</formula>
    </cfRule>
  </conditionalFormatting>
  <conditionalFormatting sqref="D24:L36">
    <cfRule type="cellIs" priority="13" operator="equal" aboveAverage="0" equalAverage="0" bottom="0" percent="0" rank="0" text="" dxfId="1">
      <formula>"Yes"</formula>
    </cfRule>
    <cfRule type="cellIs" priority="14" operator="equal" aboveAverage="0" equalAverage="0" bottom="0" percent="0" rank="0" text="" dxfId="2">
      <formula>"Conditional"</formula>
    </cfRule>
    <cfRule type="cellIs" priority="15" operator="equal" aboveAverage="0" equalAverage="0" bottom="0" percent="0" rank="0" text="" dxfId="14">
      <formula>"Unknown"</formula>
    </cfRule>
    <cfRule type="cellIs" priority="16" operator="equal" aboveAverage="0" equalAverage="0" bottom="0" percent="0" rank="0" text="" dxfId="0">
      <formula>"No"</formula>
    </cfRule>
  </conditionalFormatting>
  <conditionalFormatting sqref="D41:O53">
    <cfRule type="cellIs" priority="17" operator="equal" aboveAverage="0" equalAverage="0" bottom="0" percent="0" rank="0" text="" dxfId="1">
      <formula>"Yes"</formula>
    </cfRule>
    <cfRule type="cellIs" priority="18" operator="equal" aboveAverage="0" equalAverage="0" bottom="0" percent="0" rank="0" text="" dxfId="2">
      <formula>"Conditional"</formula>
    </cfRule>
    <cfRule type="cellIs" priority="19" operator="equal" aboveAverage="0" equalAverage="0" bottom="0" percent="0" rank="0" text="" dxfId="14">
      <formula>"Unknown"</formula>
    </cfRule>
    <cfRule type="cellIs" priority="20" operator="equal" aboveAverage="0" equalAverage="0" bottom="0" percent="0" rank="0" text="" dxfId="0">
      <formula>"No"</formula>
    </cfRule>
  </conditionalFormatting>
  <dataValidations count="3">
    <dataValidation allowBlank="true" errorStyle="stop" operator="between" showDropDown="false" showErrorMessage="false" showInputMessage="false" sqref="K6:K18" type="list">
      <formula1>"Verified feasible,Conditional,Not verified,Not feasible"</formula1>
      <formula2>0</formula2>
    </dataValidation>
    <dataValidation allowBlank="true" errorStyle="stop" operator="between" showDropDown="false" showErrorMessage="false" showInputMessage="false" sqref="D24:L36" type="list">
      <formula1>"Yes,Conditional,Unknown,No,N/A"</formula1>
      <formula2>0</formula2>
    </dataValidation>
    <dataValidation allowBlank="true" errorStyle="stop" operator="between" showDropDown="false" showErrorMessage="false" showInputMessage="false" sqref="D41:O53" type="list">
      <formula1>"Yes,Conditional,Unknown,No,N/A"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S1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6"/>
    <col collapsed="false" customWidth="true" hidden="false" outlineLevel="0" max="4" min="4" style="0" width="30"/>
    <col collapsed="false" customWidth="true" hidden="false" outlineLevel="0" max="13" min="5" style="0" width="9"/>
    <col collapsed="false" customWidth="true" hidden="false" outlineLevel="0" max="14" min="14" style="0" width="70"/>
    <col collapsed="false" customWidth="true" hidden="false" outlineLevel="0" max="16" min="15" style="0" width="6"/>
    <col collapsed="false" customWidth="true" hidden="false" outlineLevel="0" max="17" min="17" style="0" width="7"/>
    <col collapsed="false" customWidth="true" hidden="false" outlineLevel="0" max="18" min="18" style="0" width="5"/>
    <col collapsed="false" customWidth="true" hidden="false" outlineLevel="0" max="19" min="19" style="0" width="30"/>
  </cols>
  <sheetData>
    <row r="1" customFormat="false" ht="17.35" hidden="false" customHeight="false" outlineLevel="0" collapsed="false">
      <c r="A1" s="28" t="s">
        <v>630</v>
      </c>
    </row>
    <row r="2" customFormat="false" ht="15" hidden="false" customHeight="false" outlineLevel="0" collapsed="false">
      <c r="A2" s="2" t="s">
        <v>631</v>
      </c>
    </row>
    <row r="4" customFormat="false" ht="15" hidden="false" customHeight="false" outlineLevel="0" collapsed="false">
      <c r="B4" s="7" t="s">
        <v>632</v>
      </c>
      <c r="C4" s="7"/>
      <c r="D4" s="7"/>
      <c r="E4" s="7"/>
      <c r="F4" s="7"/>
      <c r="G4" s="7"/>
      <c r="H4" s="7"/>
      <c r="I4" s="7"/>
      <c r="J4" s="7"/>
    </row>
    <row r="5" customFormat="false" ht="27.75" hidden="false" customHeight="true" outlineLevel="0" collapsed="false">
      <c r="B5" s="8" t="s">
        <v>36</v>
      </c>
      <c r="C5" s="8" t="s">
        <v>633</v>
      </c>
      <c r="D5" s="8" t="s">
        <v>634</v>
      </c>
      <c r="E5" s="8" t="s">
        <v>635</v>
      </c>
      <c r="F5" s="8" t="s">
        <v>636</v>
      </c>
      <c r="G5" s="8" t="s">
        <v>637</v>
      </c>
      <c r="H5" s="8" t="s">
        <v>638</v>
      </c>
      <c r="I5" s="8" t="s">
        <v>639</v>
      </c>
      <c r="J5" s="8" t="s">
        <v>640</v>
      </c>
    </row>
    <row r="6" customFormat="false" ht="61.5" hidden="false" customHeight="true" outlineLevel="0" collapsed="false">
      <c r="B6" s="30" t="s">
        <v>641</v>
      </c>
      <c r="C6" s="30" t="s">
        <v>642</v>
      </c>
      <c r="D6" s="30" t="s">
        <v>643</v>
      </c>
      <c r="E6" s="30" t="s">
        <v>644</v>
      </c>
      <c r="F6" s="30" t="s">
        <v>645</v>
      </c>
      <c r="G6" s="30" t="s">
        <v>646</v>
      </c>
      <c r="H6" s="30" t="s">
        <v>647</v>
      </c>
      <c r="I6" s="30" t="s">
        <v>648</v>
      </c>
      <c r="J6" s="32" t="s">
        <v>649</v>
      </c>
    </row>
    <row r="7" customFormat="false" ht="61.5" hidden="false" customHeight="true" outlineLevel="0" collapsed="false">
      <c r="B7" s="30" t="s">
        <v>650</v>
      </c>
      <c r="C7" s="30" t="s">
        <v>651</v>
      </c>
      <c r="D7" s="30" t="s">
        <v>652</v>
      </c>
      <c r="E7" s="30" t="s">
        <v>653</v>
      </c>
      <c r="F7" s="30" t="s">
        <v>654</v>
      </c>
      <c r="G7" s="30" t="s">
        <v>655</v>
      </c>
      <c r="H7" s="30" t="s">
        <v>656</v>
      </c>
      <c r="I7" s="30" t="s">
        <v>657</v>
      </c>
      <c r="J7" s="32" t="s">
        <v>658</v>
      </c>
    </row>
    <row r="8" customFormat="false" ht="61.5" hidden="false" customHeight="true" outlineLevel="0" collapsed="false">
      <c r="B8" s="30" t="s">
        <v>659</v>
      </c>
      <c r="C8" s="30" t="s">
        <v>660</v>
      </c>
      <c r="D8" s="30" t="s">
        <v>661</v>
      </c>
      <c r="E8" s="30" t="s">
        <v>662</v>
      </c>
      <c r="F8" s="30" t="s">
        <v>663</v>
      </c>
      <c r="G8" s="30" t="s">
        <v>664</v>
      </c>
      <c r="H8" s="30" t="s">
        <v>665</v>
      </c>
      <c r="I8" s="30" t="s">
        <v>666</v>
      </c>
      <c r="J8" s="32" t="s">
        <v>667</v>
      </c>
    </row>
    <row r="9" customFormat="false" ht="36" hidden="false" customHeight="true" outlineLevel="0" collapsed="false">
      <c r="B9" s="27" t="s">
        <v>668</v>
      </c>
      <c r="C9" s="27"/>
      <c r="D9" s="27"/>
      <c r="E9" s="27"/>
      <c r="F9" s="27"/>
      <c r="G9" s="27"/>
      <c r="H9" s="27"/>
      <c r="I9" s="27"/>
      <c r="J9" s="27"/>
    </row>
    <row r="11" customFormat="false" ht="15" hidden="false" customHeight="false" outlineLevel="0" collapsed="false">
      <c r="B11" s="7" t="s">
        <v>669</v>
      </c>
      <c r="C11" s="7"/>
      <c r="D11" s="7"/>
      <c r="E11" s="7"/>
      <c r="F11" s="7"/>
      <c r="G11" s="7"/>
      <c r="H11" s="7"/>
      <c r="I11" s="7"/>
      <c r="J11" s="7"/>
    </row>
    <row r="12" customFormat="false" ht="15" hidden="false" customHeight="false" outlineLevel="0" collapsed="false">
      <c r="B12" s="59" t="s">
        <v>670</v>
      </c>
    </row>
    <row r="13" customFormat="false" ht="22.35" hidden="false" customHeight="true" outlineLevel="0" collapsed="false">
      <c r="B13" s="8" t="s">
        <v>671</v>
      </c>
      <c r="C13" s="8" t="s">
        <v>672</v>
      </c>
      <c r="D13" s="8" t="s">
        <v>673</v>
      </c>
      <c r="E13" s="8" t="s">
        <v>674</v>
      </c>
      <c r="F13" s="8" t="s">
        <v>675</v>
      </c>
      <c r="G13" s="8" t="s">
        <v>676</v>
      </c>
      <c r="H13" s="27" t="s">
        <v>677</v>
      </c>
      <c r="I13" s="27"/>
      <c r="J13" s="27"/>
    </row>
    <row r="14" customFormat="false" ht="15" hidden="false" customHeight="false" outlineLevel="0" collapsed="false">
      <c r="B14" s="20" t="s">
        <v>678</v>
      </c>
      <c r="C14" s="60" t="n">
        <v>0.905</v>
      </c>
      <c r="D14" s="60" t="n">
        <v>0.62</v>
      </c>
      <c r="E14" s="61" t="s">
        <v>679</v>
      </c>
      <c r="F14" s="23" t="n">
        <f aca="false">('06 Needs-Feature Map'!$C$6*C14+'06 Needs-Feature Map'!$C$7*D14)/SUMPRODUCT(MAX('06 Needs-Feature Map'!$C$6*$C$14:$C$21+'06 Needs-Feature Map'!$C$7*$D$14:$D$21))</f>
        <v>1</v>
      </c>
      <c r="G14" s="62"/>
      <c r="H14" s="27"/>
      <c r="I14" s="27"/>
      <c r="J14" s="27"/>
    </row>
    <row r="15" customFormat="false" ht="15" hidden="false" customHeight="false" outlineLevel="0" collapsed="false">
      <c r="B15" s="20" t="s">
        <v>680</v>
      </c>
      <c r="C15" s="60" t="n">
        <v>0.771</v>
      </c>
      <c r="D15" s="60" t="n">
        <v>0.48</v>
      </c>
      <c r="E15" s="61" t="s">
        <v>681</v>
      </c>
      <c r="F15" s="23" t="n">
        <f aca="false">('06 Needs-Feature Map'!$C$6*C15+'06 Needs-Feature Map'!$C$7*D15)/SUMPRODUCT(MAX('06 Needs-Feature Map'!$C$6*$C$14:$C$21+'06 Needs-Feature Map'!$C$7*$D$14:$D$21))</f>
        <v>0.834289200732154</v>
      </c>
      <c r="G15" s="62"/>
      <c r="H15" s="27"/>
      <c r="I15" s="27"/>
      <c r="J15" s="27"/>
    </row>
    <row r="16" customFormat="false" ht="15" hidden="false" customHeight="false" outlineLevel="0" collapsed="false">
      <c r="B16" s="20" t="s">
        <v>682</v>
      </c>
      <c r="C16" s="60" t="n">
        <v>0.73</v>
      </c>
      <c r="D16" s="60" t="n">
        <v>0.48</v>
      </c>
      <c r="E16" s="61" t="s">
        <v>683</v>
      </c>
      <c r="F16" s="23" t="n">
        <f aca="false">('06 Needs-Feature Map'!$C$6*C16+'06 Needs-Feature Map'!$C$7*D16)/SUMPRODUCT(MAX('06 Needs-Feature Map'!$C$6*$C$14:$C$21+'06 Needs-Feature Map'!$C$7*$D$14:$D$21))</f>
        <v>0.799267846247712</v>
      </c>
      <c r="G16" s="62"/>
      <c r="H16" s="27"/>
      <c r="I16" s="27"/>
      <c r="J16" s="27"/>
    </row>
    <row r="17" customFormat="false" ht="15" hidden="false" customHeight="false" outlineLevel="0" collapsed="false">
      <c r="B17" s="20" t="s">
        <v>684</v>
      </c>
      <c r="C17" s="60" t="n">
        <v>0.694</v>
      </c>
      <c r="D17" s="60" t="n">
        <v>0.408</v>
      </c>
      <c r="E17" s="61" t="s">
        <v>681</v>
      </c>
      <c r="F17" s="23" t="n">
        <f aca="false">('06 Needs-Feature Map'!$C$6*C17+'06 Needs-Feature Map'!$C$7*D17)/SUMPRODUCT(MAX('06 Needs-Feature Map'!$C$6*$C$14:$C$21+'06 Needs-Feature Map'!$C$7*$D$14:$D$21))</f>
        <v>0.74215985356925</v>
      </c>
      <c r="G17" s="62"/>
      <c r="H17" s="27"/>
      <c r="I17" s="27"/>
      <c r="J17" s="27"/>
    </row>
    <row r="18" customFormat="false" ht="15" hidden="false" customHeight="false" outlineLevel="0" collapsed="false">
      <c r="B18" s="20" t="s">
        <v>685</v>
      </c>
      <c r="C18" s="60" t="n">
        <v>0.62</v>
      </c>
      <c r="D18" s="60" t="n">
        <v>0.26</v>
      </c>
      <c r="E18" s="61" t="s">
        <v>681</v>
      </c>
      <c r="F18" s="23" t="n">
        <f aca="false">('06 Needs-Feature Map'!$C$6*C18+'06 Needs-Feature Map'!$C$7*D18)/SUMPRODUCT(MAX('06 Needs-Feature Map'!$C$6*$C$14:$C$21+'06 Needs-Feature Map'!$C$7*$D$14:$D$21))</f>
        <v>0.62477120195241</v>
      </c>
      <c r="G18" s="62"/>
      <c r="H18" s="27"/>
      <c r="I18" s="27"/>
      <c r="J18" s="27"/>
    </row>
    <row r="19" customFormat="false" ht="55.2" hidden="false" customHeight="false" outlineLevel="0" collapsed="false">
      <c r="B19" s="20" t="s">
        <v>686</v>
      </c>
      <c r="C19" s="60" t="n">
        <v>0.612</v>
      </c>
      <c r="D19" s="60" t="n">
        <v>0.4</v>
      </c>
      <c r="E19" s="61" t="s">
        <v>140</v>
      </c>
      <c r="F19" s="23" t="n">
        <f aca="false">('06 Needs-Feature Map'!$C$6*C19+'06 Needs-Feature Map'!$C$7*D19)/SUMPRODUCT(MAX('06 Needs-Feature Map'!$C$6*$C$14:$C$21+'06 Needs-Feature Map'!$C$7*$D$14:$D$21))</f>
        <v>0.669188529591214</v>
      </c>
      <c r="G19" s="62" t="s">
        <v>687</v>
      </c>
      <c r="H19" s="27"/>
      <c r="I19" s="27"/>
      <c r="J19" s="27"/>
    </row>
    <row r="20" customFormat="false" ht="28.35" hidden="false" customHeight="false" outlineLevel="0" collapsed="false">
      <c r="B20" s="20" t="s">
        <v>688</v>
      </c>
      <c r="C20" s="60" t="n">
        <v>0.565</v>
      </c>
      <c r="D20" s="60" t="n">
        <v>0.26</v>
      </c>
      <c r="E20" s="61" t="s">
        <v>140</v>
      </c>
      <c r="F20" s="23" t="n">
        <f aca="false">('06 Needs-Feature Map'!$C$6*C20+'06 Needs-Feature Map'!$C$7*D20)/SUMPRODUCT(MAX('06 Needs-Feature Map'!$C$6*$C$14:$C$21+'06 Needs-Feature Map'!$C$7*$D$14:$D$21))</f>
        <v>0.577791336180598</v>
      </c>
      <c r="G20" s="62" t="s">
        <v>689</v>
      </c>
      <c r="H20" s="27"/>
      <c r="I20" s="27"/>
      <c r="J20" s="27"/>
    </row>
    <row r="21" customFormat="false" ht="28.35" hidden="false" customHeight="false" outlineLevel="0" collapsed="false">
      <c r="B21" s="20" t="s">
        <v>690</v>
      </c>
      <c r="C21" s="60" t="n">
        <v>0.29</v>
      </c>
      <c r="D21" s="60" t="n">
        <v>0.245</v>
      </c>
      <c r="E21" s="61" t="s">
        <v>140</v>
      </c>
      <c r="F21" s="23" t="n">
        <f aca="false">('06 Needs-Feature Map'!$C$6*C21+'06 Needs-Feature Map'!$C$7*D21)/SUMPRODUCT(MAX('06 Needs-Feature Map'!$C$6*$C$14:$C$21+'06 Needs-Feature Map'!$C$7*$D$14:$D$21))</f>
        <v>0.337400854179378</v>
      </c>
      <c r="G21" s="62" t="s">
        <v>691</v>
      </c>
      <c r="H21" s="27"/>
      <c r="I21" s="27"/>
      <c r="J21" s="27"/>
    </row>
    <row r="24" customFormat="false" ht="15" hidden="false" customHeight="false" outlineLevel="0" collapsed="false">
      <c r="B24" s="59" t="s">
        <v>692</v>
      </c>
    </row>
    <row r="25" customFormat="false" ht="22.35" hidden="false" customHeight="false" outlineLevel="0" collapsed="false">
      <c r="B25" s="8" t="s">
        <v>671</v>
      </c>
      <c r="C25" s="8" t="s">
        <v>672</v>
      </c>
      <c r="D25" s="8" t="s">
        <v>673</v>
      </c>
      <c r="E25" s="8" t="s">
        <v>674</v>
      </c>
      <c r="F25" s="8" t="s">
        <v>675</v>
      </c>
      <c r="G25" s="8" t="s">
        <v>676</v>
      </c>
    </row>
    <row r="26" customFormat="false" ht="15" hidden="false" customHeight="false" outlineLevel="0" collapsed="false">
      <c r="B26" s="20" t="s">
        <v>693</v>
      </c>
      <c r="C26" s="60" t="n">
        <v>0.548</v>
      </c>
      <c r="D26" s="60" t="n">
        <v>0.071</v>
      </c>
      <c r="E26" s="61" t="s">
        <v>679</v>
      </c>
      <c r="F26" s="23" t="n">
        <f aca="false">('06 Needs-Feature Map'!$C$6*C26+'06 Needs-Feature Map'!$C$7*D26)/SUMPRODUCT(MAX('06 Needs-Feature Map'!$C$6*$C$26:$C$35+'06 Needs-Feature Map'!$C$7*$D$26:$D$35))</f>
        <v>1</v>
      </c>
      <c r="G26" s="62"/>
    </row>
    <row r="27" customFormat="false" ht="15" hidden="false" customHeight="false" outlineLevel="0" collapsed="false">
      <c r="B27" s="20" t="s">
        <v>694</v>
      </c>
      <c r="C27" s="60" t="n">
        <v>0.445</v>
      </c>
      <c r="D27" s="60" t="n">
        <v>0.089</v>
      </c>
      <c r="E27" s="61" t="s">
        <v>695</v>
      </c>
      <c r="F27" s="23" t="n">
        <f aca="false">('06 Needs-Feature Map'!$C$6*C27+'06 Needs-Feature Map'!$C$7*D27)/SUMPRODUCT(MAX('06 Needs-Feature Map'!$C$6*$C$26:$C$35+'06 Needs-Feature Map'!$C$7*$D$26:$D$35))</f>
        <v>0.835267967399358</v>
      </c>
      <c r="G27" s="62"/>
    </row>
    <row r="28" customFormat="false" ht="15" hidden="false" customHeight="false" outlineLevel="0" collapsed="false">
      <c r="B28" s="20" t="s">
        <v>696</v>
      </c>
      <c r="C28" s="60" t="n">
        <v>0.362</v>
      </c>
      <c r="D28" s="60" t="n">
        <v>0.071</v>
      </c>
      <c r="E28" s="61" t="s">
        <v>681</v>
      </c>
      <c r="F28" s="23" t="n">
        <f aca="false">('06 Needs-Feature Map'!$C$6*C28+'06 Needs-Feature Map'!$C$7*D28)/SUMPRODUCT(MAX('06 Needs-Feature Map'!$C$6*$C$26:$C$35+'06 Needs-Feature Map'!$C$7*$D$26:$D$35))</f>
        <v>0.678439120770561</v>
      </c>
      <c r="G28" s="62"/>
    </row>
    <row r="29" customFormat="false" ht="15" hidden="false" customHeight="false" outlineLevel="0" collapsed="false">
      <c r="B29" s="20" t="s">
        <v>697</v>
      </c>
      <c r="C29" s="60" t="n">
        <v>0.419</v>
      </c>
      <c r="D29" s="60" t="n">
        <v>0.071</v>
      </c>
      <c r="E29" s="61" t="s">
        <v>681</v>
      </c>
      <c r="F29" s="23" t="n">
        <f aca="false">('06 Needs-Feature Map'!$C$6*C29+'06 Needs-Feature Map'!$C$7*D29)/SUMPRODUCT(MAX('06 Needs-Feature Map'!$C$6*$C$26:$C$35+'06 Needs-Feature Map'!$C$7*$D$26:$D$35))</f>
        <v>0.776981970857002</v>
      </c>
      <c r="G29" s="62"/>
    </row>
    <row r="30" customFormat="false" ht="15" hidden="false" customHeight="false" outlineLevel="0" collapsed="false">
      <c r="B30" s="20" t="s">
        <v>698</v>
      </c>
      <c r="C30" s="60" t="n">
        <v>0.493</v>
      </c>
      <c r="D30" s="60" t="n">
        <v>0.071</v>
      </c>
      <c r="E30" s="61" t="s">
        <v>681</v>
      </c>
      <c r="F30" s="23" t="n">
        <f aca="false">('06 Needs-Feature Map'!$C$6*C30+'06 Needs-Feature Map'!$C$7*D30)/SUMPRODUCT(MAX('06 Needs-Feature Map'!$C$6*$C$26:$C$35+'06 Needs-Feature Map'!$C$7*$D$26:$D$35))</f>
        <v>0.904914793776241</v>
      </c>
      <c r="G30" s="62"/>
    </row>
    <row r="31" customFormat="false" ht="15" hidden="false" customHeight="false" outlineLevel="0" collapsed="false">
      <c r="B31" s="20" t="s">
        <v>699</v>
      </c>
      <c r="C31" s="60" t="n">
        <v>0.212</v>
      </c>
      <c r="D31" s="60" t="n">
        <v>0</v>
      </c>
      <c r="E31" s="61" t="s">
        <v>700</v>
      </c>
      <c r="F31" s="23" t="n">
        <f aca="false">('06 Needs-Feature Map'!$C$6*C31+'06 Needs-Feature Map'!$C$7*D31)/SUMPRODUCT(MAX('06 Needs-Feature Map'!$C$6*$C$26:$C$35+'06 Needs-Feature Map'!$C$7*$D$26:$D$35))</f>
        <v>0.366510249444307</v>
      </c>
      <c r="G31" s="62"/>
    </row>
    <row r="32" customFormat="false" ht="37.3" hidden="false" customHeight="false" outlineLevel="0" collapsed="false">
      <c r="B32" s="20" t="s">
        <v>701</v>
      </c>
      <c r="C32" s="60" t="n">
        <v>0.12</v>
      </c>
      <c r="D32" s="60" t="n">
        <v>0</v>
      </c>
      <c r="E32" s="61" t="s">
        <v>140</v>
      </c>
      <c r="F32" s="23" t="n">
        <f aca="false">('06 Needs-Feature Map'!$C$6*C32+'06 Needs-Feature Map'!$C$7*D32)/SUMPRODUCT(MAX('06 Needs-Feature Map'!$C$6*$C$26:$C$35+'06 Needs-Feature Map'!$C$7*$D$26:$D$35))</f>
        <v>0.207458631760929</v>
      </c>
      <c r="G32" s="62" t="s">
        <v>702</v>
      </c>
    </row>
    <row r="33" customFormat="false" ht="37.3" hidden="false" customHeight="false" outlineLevel="0" collapsed="false">
      <c r="B33" s="20" t="s">
        <v>703</v>
      </c>
      <c r="C33" s="60" t="n">
        <v>0.302</v>
      </c>
      <c r="D33" s="60" t="n">
        <v>0.036</v>
      </c>
      <c r="E33" s="61" t="s">
        <v>140</v>
      </c>
      <c r="F33" s="23" t="n">
        <f aca="false">('06 Needs-Feature Map'!$C$6*C33+'06 Needs-Feature Map'!$C$7*D33)/SUMPRODUCT(MAX('06 Needs-Feature Map'!$C$6*$C$26:$C$35+'06 Needs-Feature Map'!$C$7*$D$26:$D$35))</f>
        <v>0.54877747591998</v>
      </c>
      <c r="G33" s="62" t="s">
        <v>704</v>
      </c>
    </row>
    <row r="34" customFormat="false" ht="15" hidden="false" customHeight="false" outlineLevel="0" collapsed="false">
      <c r="B34" s="20" t="s">
        <v>705</v>
      </c>
      <c r="C34" s="60" t="n">
        <v>0.364</v>
      </c>
      <c r="D34" s="60" t="n">
        <v>0.125</v>
      </c>
      <c r="E34" s="61" t="s">
        <v>706</v>
      </c>
      <c r="F34" s="23" t="n">
        <f aca="false">('06 Needs-Feature Map'!$C$6*C34+'06 Needs-Feature Map'!$C$7*D34)/SUMPRODUCT(MAX('06 Needs-Feature Map'!$C$6*$C$26:$C$35+'06 Needs-Feature Map'!$C$7*$D$26:$D$35))</f>
        <v>0.721906643615708</v>
      </c>
      <c r="G34" s="62"/>
    </row>
    <row r="35" customFormat="false" ht="37.3" hidden="false" customHeight="false" outlineLevel="0" collapsed="false">
      <c r="B35" s="20" t="s">
        <v>707</v>
      </c>
      <c r="C35" s="60" t="n">
        <v>0.228</v>
      </c>
      <c r="D35" s="60" t="n">
        <v>0</v>
      </c>
      <c r="E35" s="61" t="s">
        <v>140</v>
      </c>
      <c r="F35" s="23" t="n">
        <f aca="false">('06 Needs-Feature Map'!$C$6*C35+'06 Needs-Feature Map'!$C$7*D35)/SUMPRODUCT(MAX('06 Needs-Feature Map'!$C$6*$C$26:$C$35+'06 Needs-Feature Map'!$C$7*$D$26:$D$35))</f>
        <v>0.394171400345764</v>
      </c>
      <c r="G35" s="62" t="s">
        <v>702</v>
      </c>
    </row>
    <row r="38" customFormat="false" ht="15" hidden="false" customHeight="false" outlineLevel="0" collapsed="false">
      <c r="B38" s="59" t="s">
        <v>708</v>
      </c>
    </row>
    <row r="39" customFormat="false" ht="22.35" hidden="false" customHeight="false" outlineLevel="0" collapsed="false">
      <c r="B39" s="8" t="s">
        <v>671</v>
      </c>
      <c r="C39" s="8" t="s">
        <v>672</v>
      </c>
      <c r="D39" s="8" t="s">
        <v>673</v>
      </c>
      <c r="E39" s="8" t="s">
        <v>674</v>
      </c>
      <c r="F39" s="8" t="s">
        <v>675</v>
      </c>
      <c r="G39" s="8" t="s">
        <v>676</v>
      </c>
    </row>
    <row r="40" customFormat="false" ht="15" hidden="false" customHeight="false" outlineLevel="0" collapsed="false">
      <c r="B40" s="20" t="s">
        <v>709</v>
      </c>
      <c r="C40" s="60" t="n">
        <v>0.694</v>
      </c>
      <c r="D40" s="60" t="n">
        <v>0.76</v>
      </c>
      <c r="E40" s="61" t="s">
        <v>710</v>
      </c>
      <c r="F40" s="23" t="n">
        <f aca="false">('06 Needs-Feature Map'!$C$6*C40+'06 Needs-Feature Map'!$C$7*D40)/SUMPRODUCT(MAX('06 Needs-Feature Map'!$C$6*$C$40:$C$44+'06 Needs-Feature Map'!$C$7*$D$40:$D$44))</f>
        <v>1</v>
      </c>
      <c r="G40" s="62"/>
    </row>
    <row r="41" customFormat="false" ht="15" hidden="false" customHeight="false" outlineLevel="0" collapsed="false">
      <c r="B41" s="20" t="s">
        <v>711</v>
      </c>
      <c r="C41" s="60" t="n">
        <v>0.551</v>
      </c>
      <c r="D41" s="60" t="n">
        <v>0.42</v>
      </c>
      <c r="E41" s="61" t="s">
        <v>712</v>
      </c>
      <c r="F41" s="23" t="n">
        <f aca="false">('06 Needs-Feature Map'!$C$6*C41+'06 Needs-Feature Map'!$C$7*D41)/SUMPRODUCT(MAX('06 Needs-Feature Map'!$C$6*$C$40:$C$44+'06 Needs-Feature Map'!$C$7*$D$40:$D$44))</f>
        <v>0.716867469879518</v>
      </c>
      <c r="G41" s="62"/>
    </row>
    <row r="42" customFormat="false" ht="55.2" hidden="false" customHeight="false" outlineLevel="0" collapsed="false">
      <c r="B42" s="20" t="s">
        <v>713</v>
      </c>
      <c r="C42" s="60" t="n">
        <v>0.491</v>
      </c>
      <c r="D42" s="60" t="n">
        <v>0.22</v>
      </c>
      <c r="E42" s="61" t="s">
        <v>140</v>
      </c>
      <c r="F42" s="23" t="n">
        <f aca="false">('06 Needs-Feature Map'!$C$6*C42+'06 Needs-Feature Map'!$C$7*D42)/SUMPRODUCT(MAX('06 Needs-Feature Map'!$C$6*$C$40:$C$44+'06 Needs-Feature Map'!$C$7*$D$40:$D$44))</f>
        <v>0.573970299803867</v>
      </c>
      <c r="G42" s="62" t="s">
        <v>714</v>
      </c>
    </row>
    <row r="43" customFormat="false" ht="55.2" hidden="false" customHeight="false" outlineLevel="0" collapsed="false">
      <c r="B43" s="20" t="s">
        <v>715</v>
      </c>
      <c r="C43" s="60" t="n">
        <v>0.437</v>
      </c>
      <c r="D43" s="60" t="n">
        <v>0.3</v>
      </c>
      <c r="E43" s="61" t="s">
        <v>140</v>
      </c>
      <c r="F43" s="23" t="n">
        <f aca="false">('06 Needs-Feature Map'!$C$6*C43+'06 Needs-Feature Map'!$C$7*D43)/SUMPRODUCT(MAX('06 Needs-Feature Map'!$C$6*$C$40:$C$44+'06 Needs-Feature Map'!$C$7*$D$40:$D$44))</f>
        <v>0.55463715326422</v>
      </c>
      <c r="G43" s="62" t="s">
        <v>716</v>
      </c>
    </row>
    <row r="44" customFormat="false" ht="55.2" hidden="false" customHeight="false" outlineLevel="0" collapsed="false">
      <c r="B44" s="20" t="s">
        <v>717</v>
      </c>
      <c r="C44" s="60" t="n">
        <v>0.404</v>
      </c>
      <c r="D44" s="60" t="n">
        <v>0.28</v>
      </c>
      <c r="E44" s="61" t="s">
        <v>140</v>
      </c>
      <c r="F44" s="23" t="n">
        <f aca="false">('06 Needs-Feature Map'!$C$6*C44+'06 Needs-Feature Map'!$C$7*D44)/SUMPRODUCT(MAX('06 Needs-Feature Map'!$C$6*$C$40:$C$44+'06 Needs-Feature Map'!$C$7*$D$40:$D$44))</f>
        <v>0.513869431213225</v>
      </c>
      <c r="G44" s="62" t="s">
        <v>718</v>
      </c>
    </row>
    <row r="47" customFormat="false" ht="15" hidden="false" customHeight="false" outlineLevel="0" collapsed="false">
      <c r="B47" s="7" t="s">
        <v>719</v>
      </c>
      <c r="C47" s="7"/>
      <c r="D47" s="7"/>
      <c r="E47" s="7"/>
      <c r="F47" s="7"/>
      <c r="G47" s="7"/>
      <c r="H47" s="7"/>
      <c r="I47" s="7"/>
      <c r="J47" s="7"/>
    </row>
    <row r="48" customFormat="false" ht="43.25" hidden="false" customHeight="false" outlineLevel="0" collapsed="false">
      <c r="B48" s="8" t="s">
        <v>720</v>
      </c>
      <c r="C48" s="8" t="s">
        <v>721</v>
      </c>
      <c r="D48" s="8" t="s">
        <v>722</v>
      </c>
      <c r="E48" s="8" t="s">
        <v>723</v>
      </c>
      <c r="F48" s="8" t="s">
        <v>640</v>
      </c>
    </row>
    <row r="49" customFormat="false" ht="25.5" hidden="false" customHeight="true" outlineLevel="0" collapsed="false">
      <c r="B49" s="30" t="s">
        <v>724</v>
      </c>
      <c r="C49" s="30" t="s">
        <v>725</v>
      </c>
      <c r="D49" s="30" t="s">
        <v>726</v>
      </c>
      <c r="E49" s="30" t="s">
        <v>727</v>
      </c>
      <c r="F49" s="32" t="s">
        <v>649</v>
      </c>
    </row>
    <row r="50" customFormat="false" ht="25.5" hidden="false" customHeight="true" outlineLevel="0" collapsed="false">
      <c r="B50" s="30" t="s">
        <v>724</v>
      </c>
      <c r="C50" s="30" t="s">
        <v>728</v>
      </c>
      <c r="D50" s="30" t="s">
        <v>729</v>
      </c>
      <c r="E50" s="30" t="s">
        <v>730</v>
      </c>
      <c r="F50" s="32" t="s">
        <v>649</v>
      </c>
    </row>
    <row r="51" customFormat="false" ht="25.5" hidden="false" customHeight="true" outlineLevel="0" collapsed="false">
      <c r="B51" s="30" t="s">
        <v>724</v>
      </c>
      <c r="C51" s="30" t="s">
        <v>731</v>
      </c>
      <c r="D51" s="30" t="s">
        <v>732</v>
      </c>
      <c r="E51" s="30" t="s">
        <v>733</v>
      </c>
      <c r="F51" s="32" t="s">
        <v>649</v>
      </c>
    </row>
    <row r="52" customFormat="false" ht="25.5" hidden="false" customHeight="true" outlineLevel="0" collapsed="false">
      <c r="B52" s="30" t="s">
        <v>724</v>
      </c>
      <c r="C52" s="30" t="s">
        <v>734</v>
      </c>
      <c r="D52" s="30" t="s">
        <v>735</v>
      </c>
      <c r="E52" s="30" t="s">
        <v>736</v>
      </c>
      <c r="F52" s="32" t="s">
        <v>649</v>
      </c>
    </row>
    <row r="53" customFormat="false" ht="25.5" hidden="false" customHeight="true" outlineLevel="0" collapsed="false">
      <c r="B53" s="30" t="s">
        <v>737</v>
      </c>
      <c r="C53" s="30" t="s">
        <v>738</v>
      </c>
      <c r="D53" s="30" t="s">
        <v>739</v>
      </c>
      <c r="E53" s="30" t="s">
        <v>740</v>
      </c>
      <c r="F53" s="32" t="s">
        <v>649</v>
      </c>
    </row>
    <row r="54" customFormat="false" ht="25.5" hidden="false" customHeight="true" outlineLevel="0" collapsed="false">
      <c r="B54" s="30" t="s">
        <v>741</v>
      </c>
      <c r="C54" s="30" t="s">
        <v>742</v>
      </c>
      <c r="D54" s="30" t="s">
        <v>743</v>
      </c>
      <c r="E54" s="30" t="s">
        <v>744</v>
      </c>
      <c r="F54" s="32" t="s">
        <v>745</v>
      </c>
    </row>
    <row r="55" customFormat="false" ht="25.5" hidden="false" customHeight="true" outlineLevel="0" collapsed="false">
      <c r="B55" s="30" t="s">
        <v>746</v>
      </c>
      <c r="C55" s="30" t="s">
        <v>747</v>
      </c>
      <c r="D55" s="30" t="s">
        <v>748</v>
      </c>
      <c r="E55" s="30" t="s">
        <v>749</v>
      </c>
      <c r="F55" s="32" t="s">
        <v>649</v>
      </c>
    </row>
    <row r="56" customFormat="false" ht="25.5" hidden="false" customHeight="true" outlineLevel="0" collapsed="false">
      <c r="B56" s="30" t="s">
        <v>746</v>
      </c>
      <c r="C56" s="30" t="s">
        <v>750</v>
      </c>
      <c r="D56" s="30" t="s">
        <v>751</v>
      </c>
      <c r="E56" s="30" t="s">
        <v>752</v>
      </c>
      <c r="F56" s="32" t="s">
        <v>649</v>
      </c>
    </row>
    <row r="57" customFormat="false" ht="25.5" hidden="false" customHeight="true" outlineLevel="0" collapsed="false">
      <c r="B57" s="30" t="s">
        <v>753</v>
      </c>
      <c r="C57" s="30" t="s">
        <v>754</v>
      </c>
      <c r="D57" s="30" t="s">
        <v>755</v>
      </c>
      <c r="E57" s="30" t="s">
        <v>756</v>
      </c>
      <c r="F57" s="32" t="s">
        <v>649</v>
      </c>
    </row>
    <row r="58" customFormat="false" ht="25.5" hidden="false" customHeight="true" outlineLevel="0" collapsed="false">
      <c r="B58" s="30" t="s">
        <v>757</v>
      </c>
      <c r="C58" s="30" t="s">
        <v>758</v>
      </c>
      <c r="D58" s="30" t="s">
        <v>759</v>
      </c>
      <c r="E58" s="30" t="s">
        <v>760</v>
      </c>
      <c r="F58" s="32" t="s">
        <v>649</v>
      </c>
    </row>
    <row r="60" customFormat="false" ht="15" hidden="false" customHeight="false" outlineLevel="0" collapsed="false">
      <c r="B60" s="7" t="s">
        <v>761</v>
      </c>
      <c r="C60" s="7"/>
      <c r="D60" s="7"/>
      <c r="E60" s="7"/>
      <c r="F60" s="7"/>
      <c r="G60" s="7"/>
      <c r="H60" s="7"/>
      <c r="I60" s="7"/>
      <c r="J60" s="7"/>
      <c r="K60" s="7"/>
      <c r="L60" s="7"/>
      <c r="M60" s="7"/>
    </row>
    <row r="61" customFormat="false" ht="15" hidden="false" customHeight="false" outlineLevel="0" collapsed="false">
      <c r="B61" s="43" t="s">
        <v>762</v>
      </c>
    </row>
    <row r="62" customFormat="false" ht="24" hidden="false" customHeight="true" outlineLevel="0" collapsed="false">
      <c r="B62" s="8" t="s">
        <v>36</v>
      </c>
      <c r="C62" s="8" t="s">
        <v>763</v>
      </c>
      <c r="D62" s="8" t="s">
        <v>764</v>
      </c>
      <c r="E62" s="8" t="s">
        <v>679</v>
      </c>
      <c r="F62" s="8" t="s">
        <v>695</v>
      </c>
      <c r="G62" s="8" t="s">
        <v>681</v>
      </c>
      <c r="H62" s="8" t="s">
        <v>710</v>
      </c>
      <c r="I62" s="8" t="s">
        <v>712</v>
      </c>
      <c r="J62" s="8" t="s">
        <v>683</v>
      </c>
      <c r="K62" s="8" t="s">
        <v>706</v>
      </c>
      <c r="L62" s="8" t="s">
        <v>700</v>
      </c>
      <c r="M62" s="8" t="s">
        <v>765</v>
      </c>
      <c r="N62" s="8" t="s">
        <v>766</v>
      </c>
    </row>
    <row r="63" customFormat="false" ht="36" hidden="false" customHeight="true" outlineLevel="0" collapsed="false">
      <c r="B63" s="42" t="s">
        <v>767</v>
      </c>
      <c r="C63" s="54" t="s">
        <v>768</v>
      </c>
      <c r="D63" s="48" t="s">
        <v>769</v>
      </c>
      <c r="E63" s="47" t="n">
        <v>1</v>
      </c>
      <c r="F63" s="47" t="n">
        <v>0</v>
      </c>
      <c r="G63" s="47" t="n">
        <v>0</v>
      </c>
      <c r="H63" s="47" t="n">
        <v>1</v>
      </c>
      <c r="I63" s="47" t="n">
        <v>1</v>
      </c>
      <c r="J63" s="47" t="n">
        <v>0</v>
      </c>
      <c r="K63" s="47" t="n">
        <v>1</v>
      </c>
      <c r="L63" s="47" t="n">
        <v>0</v>
      </c>
      <c r="M63" s="47" t="n">
        <v>0</v>
      </c>
      <c r="N63" s="48" t="s">
        <v>770</v>
      </c>
    </row>
    <row r="64" customFormat="false" ht="36" hidden="false" customHeight="true" outlineLevel="0" collapsed="false">
      <c r="B64" s="42" t="s">
        <v>771</v>
      </c>
      <c r="C64" s="54" t="s">
        <v>768</v>
      </c>
      <c r="D64" s="48" t="s">
        <v>772</v>
      </c>
      <c r="E64" s="47" t="n">
        <v>1</v>
      </c>
      <c r="F64" s="47" t="n">
        <v>0</v>
      </c>
      <c r="G64" s="47" t="n">
        <v>0</v>
      </c>
      <c r="H64" s="47" t="n">
        <v>1</v>
      </c>
      <c r="I64" s="47" t="n">
        <v>0</v>
      </c>
      <c r="J64" s="47" t="n">
        <v>1</v>
      </c>
      <c r="K64" s="47" t="n">
        <v>0</v>
      </c>
      <c r="L64" s="47" t="n">
        <v>0</v>
      </c>
      <c r="M64" s="47" t="n">
        <v>0</v>
      </c>
      <c r="N64" s="48" t="s">
        <v>773</v>
      </c>
    </row>
    <row r="65" customFormat="false" ht="36" hidden="false" customHeight="true" outlineLevel="0" collapsed="false">
      <c r="B65" s="42" t="s">
        <v>774</v>
      </c>
      <c r="C65" s="54" t="s">
        <v>768</v>
      </c>
      <c r="D65" s="48" t="s">
        <v>775</v>
      </c>
      <c r="E65" s="47" t="n">
        <v>0</v>
      </c>
      <c r="F65" s="47" t="n">
        <v>1</v>
      </c>
      <c r="G65" s="47" t="n">
        <v>0</v>
      </c>
      <c r="H65" s="47" t="n">
        <v>0</v>
      </c>
      <c r="I65" s="47" t="n">
        <v>0</v>
      </c>
      <c r="J65" s="47" t="n">
        <v>1</v>
      </c>
      <c r="K65" s="47" t="n">
        <v>0</v>
      </c>
      <c r="L65" s="47" t="n">
        <v>0</v>
      </c>
      <c r="M65" s="47" t="n">
        <v>0</v>
      </c>
      <c r="N65" s="48" t="s">
        <v>776</v>
      </c>
    </row>
    <row r="66" customFormat="false" ht="36" hidden="false" customHeight="true" outlineLevel="0" collapsed="false">
      <c r="B66" s="42" t="s">
        <v>777</v>
      </c>
      <c r="C66" s="54" t="s">
        <v>768</v>
      </c>
      <c r="D66" s="48" t="s">
        <v>778</v>
      </c>
      <c r="E66" s="47" t="n">
        <v>0</v>
      </c>
      <c r="F66" s="47" t="n">
        <v>0</v>
      </c>
      <c r="G66" s="47" t="n">
        <v>1</v>
      </c>
      <c r="H66" s="47" t="n">
        <v>1</v>
      </c>
      <c r="I66" s="47" t="n">
        <v>0</v>
      </c>
      <c r="J66" s="47" t="n">
        <v>0</v>
      </c>
      <c r="K66" s="47" t="n">
        <v>0</v>
      </c>
      <c r="L66" s="47" t="n">
        <v>0</v>
      </c>
      <c r="M66" s="47" t="n">
        <v>0</v>
      </c>
      <c r="N66" s="48" t="s">
        <v>779</v>
      </c>
    </row>
    <row r="67" customFormat="false" ht="36" hidden="false" customHeight="true" outlineLevel="0" collapsed="false">
      <c r="B67" s="42" t="s">
        <v>780</v>
      </c>
      <c r="C67" s="54" t="s">
        <v>768</v>
      </c>
      <c r="D67" s="48" t="s">
        <v>781</v>
      </c>
      <c r="E67" s="47" t="n">
        <v>1</v>
      </c>
      <c r="F67" s="47" t="n">
        <v>0</v>
      </c>
      <c r="G67" s="47" t="n">
        <v>0</v>
      </c>
      <c r="H67" s="47" t="n">
        <v>1</v>
      </c>
      <c r="I67" s="47" t="n">
        <v>0</v>
      </c>
      <c r="J67" s="47" t="n">
        <v>1</v>
      </c>
      <c r="K67" s="47" t="n">
        <v>1</v>
      </c>
      <c r="L67" s="47" t="n">
        <v>0</v>
      </c>
      <c r="M67" s="47" t="n">
        <v>0</v>
      </c>
      <c r="N67" s="48" t="s">
        <v>782</v>
      </c>
    </row>
    <row r="68" customFormat="false" ht="36" hidden="false" customHeight="true" outlineLevel="0" collapsed="false">
      <c r="B68" s="42" t="s">
        <v>783</v>
      </c>
      <c r="C68" s="54" t="s">
        <v>784</v>
      </c>
      <c r="D68" s="48" t="s">
        <v>785</v>
      </c>
      <c r="E68" s="47" t="n">
        <v>1</v>
      </c>
      <c r="F68" s="47" t="n">
        <v>1</v>
      </c>
      <c r="G68" s="47" t="n">
        <v>0</v>
      </c>
      <c r="H68" s="47" t="n">
        <v>1</v>
      </c>
      <c r="I68" s="47" t="n">
        <v>0</v>
      </c>
      <c r="J68" s="47" t="n">
        <v>0</v>
      </c>
      <c r="K68" s="47" t="n">
        <v>0</v>
      </c>
      <c r="L68" s="47" t="n">
        <v>1</v>
      </c>
      <c r="M68" s="47" t="n">
        <v>0</v>
      </c>
      <c r="N68" s="48" t="s">
        <v>786</v>
      </c>
    </row>
    <row r="69" customFormat="false" ht="36" hidden="false" customHeight="true" outlineLevel="0" collapsed="false">
      <c r="B69" s="42" t="s">
        <v>787</v>
      </c>
      <c r="C69" s="54" t="s">
        <v>784</v>
      </c>
      <c r="D69" s="48" t="s">
        <v>788</v>
      </c>
      <c r="E69" s="47" t="n">
        <v>0</v>
      </c>
      <c r="F69" s="47" t="n">
        <v>0</v>
      </c>
      <c r="G69" s="47" t="n">
        <v>1</v>
      </c>
      <c r="H69" s="47" t="n">
        <v>0</v>
      </c>
      <c r="I69" s="47" t="n">
        <v>1</v>
      </c>
      <c r="J69" s="47" t="n">
        <v>0</v>
      </c>
      <c r="K69" s="47" t="n">
        <v>0</v>
      </c>
      <c r="L69" s="47" t="n">
        <v>0</v>
      </c>
      <c r="M69" s="47" t="n">
        <v>0</v>
      </c>
      <c r="N69" s="48" t="s">
        <v>789</v>
      </c>
    </row>
    <row r="70" customFormat="false" ht="36" hidden="false" customHeight="true" outlineLevel="0" collapsed="false">
      <c r="B70" s="42" t="s">
        <v>790</v>
      </c>
      <c r="C70" s="54" t="s">
        <v>784</v>
      </c>
      <c r="D70" s="48" t="s">
        <v>791</v>
      </c>
      <c r="E70" s="47" t="n">
        <v>1</v>
      </c>
      <c r="F70" s="47" t="n">
        <v>0</v>
      </c>
      <c r="G70" s="47" t="n">
        <v>0</v>
      </c>
      <c r="H70" s="47" t="n">
        <v>1</v>
      </c>
      <c r="I70" s="47" t="n">
        <v>1</v>
      </c>
      <c r="J70" s="47" t="n">
        <v>0</v>
      </c>
      <c r="K70" s="47" t="n">
        <v>1</v>
      </c>
      <c r="L70" s="47" t="n">
        <v>0</v>
      </c>
      <c r="M70" s="47" t="n">
        <v>0</v>
      </c>
      <c r="N70" s="48" t="s">
        <v>792</v>
      </c>
    </row>
    <row r="71" customFormat="false" ht="36" hidden="false" customHeight="true" outlineLevel="0" collapsed="false">
      <c r="B71" s="42" t="s">
        <v>793</v>
      </c>
      <c r="C71" s="54" t="s">
        <v>784</v>
      </c>
      <c r="D71" s="48" t="s">
        <v>794</v>
      </c>
      <c r="E71" s="47" t="n">
        <v>1</v>
      </c>
      <c r="F71" s="47" t="n">
        <v>0</v>
      </c>
      <c r="G71" s="47" t="n">
        <v>1</v>
      </c>
      <c r="H71" s="47" t="n">
        <v>0</v>
      </c>
      <c r="I71" s="47" t="n">
        <v>1</v>
      </c>
      <c r="J71" s="47" t="n">
        <v>0</v>
      </c>
      <c r="K71" s="47" t="n">
        <v>0</v>
      </c>
      <c r="L71" s="47" t="n">
        <v>0</v>
      </c>
      <c r="M71" s="47" t="n">
        <v>0</v>
      </c>
      <c r="N71" s="48" t="s">
        <v>795</v>
      </c>
    </row>
    <row r="72" customFormat="false" ht="36" hidden="false" customHeight="true" outlineLevel="0" collapsed="false">
      <c r="B72" s="42" t="s">
        <v>796</v>
      </c>
      <c r="C72" s="54" t="s">
        <v>784</v>
      </c>
      <c r="D72" s="48" t="s">
        <v>797</v>
      </c>
      <c r="E72" s="47" t="n">
        <v>1</v>
      </c>
      <c r="F72" s="47" t="n">
        <v>1</v>
      </c>
      <c r="G72" s="47" t="n">
        <v>1</v>
      </c>
      <c r="H72" s="47" t="n">
        <v>0</v>
      </c>
      <c r="I72" s="47" t="n">
        <v>0</v>
      </c>
      <c r="J72" s="47" t="n">
        <v>0</v>
      </c>
      <c r="K72" s="47" t="n">
        <v>0</v>
      </c>
      <c r="L72" s="47" t="n">
        <v>0</v>
      </c>
      <c r="M72" s="47" t="n">
        <v>0</v>
      </c>
      <c r="N72" s="48" t="s">
        <v>798</v>
      </c>
    </row>
    <row r="73" customFormat="false" ht="36" hidden="false" customHeight="true" outlineLevel="0" collapsed="false">
      <c r="B73" s="42" t="s">
        <v>799</v>
      </c>
      <c r="C73" s="54" t="s">
        <v>784</v>
      </c>
      <c r="D73" s="48" t="s">
        <v>800</v>
      </c>
      <c r="E73" s="47" t="n">
        <v>1</v>
      </c>
      <c r="F73" s="47" t="n">
        <v>1</v>
      </c>
      <c r="G73" s="47" t="n">
        <v>1</v>
      </c>
      <c r="H73" s="47" t="n">
        <v>0</v>
      </c>
      <c r="I73" s="47" t="n">
        <v>0</v>
      </c>
      <c r="J73" s="47" t="n">
        <v>0</v>
      </c>
      <c r="K73" s="47" t="n">
        <v>0</v>
      </c>
      <c r="L73" s="47" t="n">
        <v>0</v>
      </c>
      <c r="M73" s="47" t="n">
        <v>0</v>
      </c>
      <c r="N73" s="48" t="s">
        <v>801</v>
      </c>
    </row>
    <row r="74" customFormat="false" ht="36" hidden="false" customHeight="true" outlineLevel="0" collapsed="false">
      <c r="B74" s="42" t="s">
        <v>802</v>
      </c>
      <c r="C74" s="54" t="s">
        <v>784</v>
      </c>
      <c r="D74" s="48" t="s">
        <v>803</v>
      </c>
      <c r="E74" s="47" t="n">
        <v>1</v>
      </c>
      <c r="F74" s="47" t="n">
        <v>0</v>
      </c>
      <c r="G74" s="47" t="n">
        <v>1</v>
      </c>
      <c r="H74" s="47" t="n">
        <v>0</v>
      </c>
      <c r="I74" s="47" t="n">
        <v>1</v>
      </c>
      <c r="J74" s="47" t="n">
        <v>0</v>
      </c>
      <c r="K74" s="47" t="n">
        <v>1</v>
      </c>
      <c r="L74" s="47" t="n">
        <v>0</v>
      </c>
      <c r="M74" s="47" t="n">
        <v>0</v>
      </c>
      <c r="N74" s="48" t="s">
        <v>804</v>
      </c>
    </row>
    <row r="75" customFormat="false" ht="36" hidden="false" customHeight="true" outlineLevel="0" collapsed="false">
      <c r="B75" s="42" t="s">
        <v>805</v>
      </c>
      <c r="C75" s="54" t="s">
        <v>784</v>
      </c>
      <c r="D75" s="48" t="s">
        <v>806</v>
      </c>
      <c r="E75" s="47" t="n">
        <v>1</v>
      </c>
      <c r="F75" s="47" t="n">
        <v>1</v>
      </c>
      <c r="G75" s="47" t="n">
        <v>1</v>
      </c>
      <c r="H75" s="47" t="n">
        <v>0</v>
      </c>
      <c r="I75" s="47" t="n">
        <v>1</v>
      </c>
      <c r="J75" s="47" t="n">
        <v>1</v>
      </c>
      <c r="K75" s="47" t="n">
        <v>0</v>
      </c>
      <c r="L75" s="47" t="n">
        <v>0</v>
      </c>
      <c r="M75" s="47" t="n">
        <v>0</v>
      </c>
      <c r="N75" s="48" t="s">
        <v>807</v>
      </c>
    </row>
    <row r="76" customFormat="false" ht="36" hidden="false" customHeight="true" outlineLevel="0" collapsed="false">
      <c r="B76" s="42" t="s">
        <v>808</v>
      </c>
      <c r="C76" s="54" t="s">
        <v>784</v>
      </c>
      <c r="D76" s="48" t="s">
        <v>809</v>
      </c>
      <c r="E76" s="47" t="n">
        <v>1</v>
      </c>
      <c r="F76" s="47" t="n">
        <v>0</v>
      </c>
      <c r="G76" s="47" t="n">
        <v>0</v>
      </c>
      <c r="H76" s="47" t="n">
        <v>1</v>
      </c>
      <c r="I76" s="47" t="n">
        <v>1</v>
      </c>
      <c r="J76" s="47" t="n">
        <v>1</v>
      </c>
      <c r="K76" s="47" t="n">
        <v>0</v>
      </c>
      <c r="L76" s="47" t="n">
        <v>1</v>
      </c>
      <c r="M76" s="47" t="n">
        <v>0</v>
      </c>
      <c r="N76" s="48" t="s">
        <v>810</v>
      </c>
    </row>
    <row r="77" customFormat="false" ht="36" hidden="false" customHeight="true" outlineLevel="0" collapsed="false">
      <c r="B77" s="42" t="s">
        <v>811</v>
      </c>
      <c r="C77" s="54" t="s">
        <v>784</v>
      </c>
      <c r="D77" s="48" t="s">
        <v>812</v>
      </c>
      <c r="E77" s="47" t="n">
        <v>1</v>
      </c>
      <c r="F77" s="47" t="n">
        <v>0</v>
      </c>
      <c r="G77" s="47" t="n">
        <v>0</v>
      </c>
      <c r="H77" s="47" t="n">
        <v>1</v>
      </c>
      <c r="I77" s="47" t="n">
        <v>1</v>
      </c>
      <c r="J77" s="47" t="n">
        <v>0</v>
      </c>
      <c r="K77" s="47" t="n">
        <v>1</v>
      </c>
      <c r="L77" s="47" t="n">
        <v>0</v>
      </c>
      <c r="M77" s="47" t="n">
        <v>0</v>
      </c>
      <c r="N77" s="48" t="s">
        <v>813</v>
      </c>
    </row>
    <row r="78" customFormat="false" ht="36" hidden="false" customHeight="true" outlineLevel="0" collapsed="false">
      <c r="B78" s="42" t="s">
        <v>814</v>
      </c>
      <c r="C78" s="54" t="s">
        <v>784</v>
      </c>
      <c r="D78" s="48" t="s">
        <v>815</v>
      </c>
      <c r="E78" s="47" t="n">
        <v>1</v>
      </c>
      <c r="F78" s="47" t="n">
        <v>1</v>
      </c>
      <c r="G78" s="47" t="n">
        <v>1</v>
      </c>
      <c r="H78" s="47" t="n">
        <v>0</v>
      </c>
      <c r="I78" s="47" t="n">
        <v>1</v>
      </c>
      <c r="J78" s="47" t="n">
        <v>0</v>
      </c>
      <c r="K78" s="47" t="n">
        <v>0</v>
      </c>
      <c r="L78" s="47" t="n">
        <v>1</v>
      </c>
      <c r="M78" s="47" t="n">
        <v>0</v>
      </c>
      <c r="N78" s="48" t="s">
        <v>816</v>
      </c>
    </row>
    <row r="79" customFormat="false" ht="36" hidden="false" customHeight="true" outlineLevel="0" collapsed="false">
      <c r="B79" s="42" t="s">
        <v>817</v>
      </c>
      <c r="C79" s="54" t="s">
        <v>784</v>
      </c>
      <c r="D79" s="48" t="s">
        <v>818</v>
      </c>
      <c r="E79" s="47" t="n">
        <v>1</v>
      </c>
      <c r="F79" s="47" t="n">
        <v>0</v>
      </c>
      <c r="G79" s="47" t="n">
        <v>0</v>
      </c>
      <c r="H79" s="47" t="n">
        <v>0</v>
      </c>
      <c r="I79" s="47" t="n">
        <v>1</v>
      </c>
      <c r="J79" s="47" t="n">
        <v>0</v>
      </c>
      <c r="K79" s="47" t="n">
        <v>0</v>
      </c>
      <c r="L79" s="47" t="n">
        <v>1</v>
      </c>
      <c r="M79" s="47" t="n">
        <v>0</v>
      </c>
      <c r="N79" s="48" t="s">
        <v>819</v>
      </c>
    </row>
    <row r="80" customFormat="false" ht="36" hidden="false" customHeight="true" outlineLevel="0" collapsed="false">
      <c r="B80" s="42" t="s">
        <v>820</v>
      </c>
      <c r="C80" s="54" t="s">
        <v>784</v>
      </c>
      <c r="D80" s="48" t="s">
        <v>821</v>
      </c>
      <c r="E80" s="47" t="n">
        <v>0</v>
      </c>
      <c r="F80" s="47" t="n">
        <v>0</v>
      </c>
      <c r="G80" s="47" t="n">
        <v>0</v>
      </c>
      <c r="H80" s="47" t="n">
        <v>1</v>
      </c>
      <c r="I80" s="47" t="n">
        <v>1</v>
      </c>
      <c r="J80" s="47" t="n">
        <v>0</v>
      </c>
      <c r="K80" s="47" t="n">
        <v>1</v>
      </c>
      <c r="L80" s="47" t="n">
        <v>1</v>
      </c>
      <c r="M80" s="47" t="n">
        <v>0</v>
      </c>
      <c r="N80" s="48" t="s">
        <v>822</v>
      </c>
    </row>
    <row r="81" customFormat="false" ht="36" hidden="false" customHeight="true" outlineLevel="0" collapsed="false">
      <c r="B81" s="42" t="s">
        <v>823</v>
      </c>
      <c r="C81" s="54" t="s">
        <v>784</v>
      </c>
      <c r="D81" s="48" t="s">
        <v>824</v>
      </c>
      <c r="E81" s="47" t="n">
        <v>1</v>
      </c>
      <c r="F81" s="47" t="n">
        <v>1</v>
      </c>
      <c r="G81" s="47" t="n">
        <v>0</v>
      </c>
      <c r="H81" s="47" t="n">
        <v>0</v>
      </c>
      <c r="I81" s="47" t="n">
        <v>1</v>
      </c>
      <c r="J81" s="47" t="n">
        <v>0</v>
      </c>
      <c r="K81" s="47" t="n">
        <v>1</v>
      </c>
      <c r="L81" s="47" t="n">
        <v>1</v>
      </c>
      <c r="M81" s="47" t="n">
        <v>0</v>
      </c>
      <c r="N81" s="48" t="s">
        <v>825</v>
      </c>
    </row>
    <row r="82" customFormat="false" ht="36" hidden="false" customHeight="true" outlineLevel="0" collapsed="false">
      <c r="B82" s="42" t="s">
        <v>826</v>
      </c>
      <c r="C82" s="54" t="s">
        <v>827</v>
      </c>
      <c r="D82" s="48" t="s">
        <v>828</v>
      </c>
      <c r="E82" s="47" t="n">
        <v>0</v>
      </c>
      <c r="F82" s="47" t="n">
        <v>0</v>
      </c>
      <c r="G82" s="47" t="n">
        <v>1</v>
      </c>
      <c r="H82" s="47" t="n">
        <v>0</v>
      </c>
      <c r="I82" s="47" t="n">
        <v>0</v>
      </c>
      <c r="J82" s="47" t="n">
        <v>1</v>
      </c>
      <c r="K82" s="47" t="n">
        <v>0</v>
      </c>
      <c r="L82" s="47" t="n">
        <v>0</v>
      </c>
      <c r="M82" s="47" t="n">
        <v>0</v>
      </c>
      <c r="N82" s="48" t="s">
        <v>829</v>
      </c>
    </row>
    <row r="83" customFormat="false" ht="36" hidden="false" customHeight="true" outlineLevel="0" collapsed="false">
      <c r="B83" s="42" t="s">
        <v>830</v>
      </c>
      <c r="C83" s="54" t="s">
        <v>827</v>
      </c>
      <c r="D83" s="48" t="s">
        <v>831</v>
      </c>
      <c r="E83" s="47" t="n">
        <v>1</v>
      </c>
      <c r="F83" s="47" t="n">
        <v>0</v>
      </c>
      <c r="G83" s="47" t="n">
        <v>0</v>
      </c>
      <c r="H83" s="47" t="n">
        <v>0</v>
      </c>
      <c r="I83" s="47" t="n">
        <v>0</v>
      </c>
      <c r="J83" s="47" t="n">
        <v>1</v>
      </c>
      <c r="K83" s="47" t="n">
        <v>1</v>
      </c>
      <c r="L83" s="47" t="n">
        <v>0</v>
      </c>
      <c r="M83" s="47" t="n">
        <v>1</v>
      </c>
      <c r="N83" s="48" t="s">
        <v>832</v>
      </c>
    </row>
    <row r="84" customFormat="false" ht="36" hidden="false" customHeight="true" outlineLevel="0" collapsed="false">
      <c r="B84" s="42" t="s">
        <v>833</v>
      </c>
      <c r="C84" s="54" t="s">
        <v>827</v>
      </c>
      <c r="D84" s="48" t="s">
        <v>834</v>
      </c>
      <c r="E84" s="47" t="n">
        <v>1</v>
      </c>
      <c r="F84" s="47" t="n">
        <v>1</v>
      </c>
      <c r="G84" s="47" t="n">
        <v>1</v>
      </c>
      <c r="H84" s="47" t="n">
        <v>0</v>
      </c>
      <c r="I84" s="47" t="n">
        <v>0</v>
      </c>
      <c r="J84" s="47" t="n">
        <v>1</v>
      </c>
      <c r="K84" s="47" t="n">
        <v>0</v>
      </c>
      <c r="L84" s="47" t="n">
        <v>0</v>
      </c>
      <c r="M84" s="47" t="n">
        <v>0</v>
      </c>
      <c r="N84" s="48" t="s">
        <v>835</v>
      </c>
    </row>
    <row r="85" customFormat="false" ht="36" hidden="false" customHeight="true" outlineLevel="0" collapsed="false">
      <c r="B85" s="42" t="s">
        <v>836</v>
      </c>
      <c r="C85" s="54" t="s">
        <v>827</v>
      </c>
      <c r="D85" s="48" t="s">
        <v>837</v>
      </c>
      <c r="E85" s="47" t="n">
        <v>0</v>
      </c>
      <c r="F85" s="47" t="n">
        <v>0</v>
      </c>
      <c r="G85" s="47" t="n">
        <v>1</v>
      </c>
      <c r="H85" s="47" t="n">
        <v>0</v>
      </c>
      <c r="I85" s="47" t="n">
        <v>0</v>
      </c>
      <c r="J85" s="47" t="n">
        <v>0</v>
      </c>
      <c r="K85" s="47" t="n">
        <v>1</v>
      </c>
      <c r="L85" s="47" t="n">
        <v>1</v>
      </c>
      <c r="M85" s="47" t="n">
        <v>0</v>
      </c>
      <c r="N85" s="48" t="s">
        <v>838</v>
      </c>
    </row>
    <row r="86" customFormat="false" ht="36" hidden="false" customHeight="true" outlineLevel="0" collapsed="false">
      <c r="B86" s="42" t="s">
        <v>839</v>
      </c>
      <c r="C86" s="54" t="s">
        <v>827</v>
      </c>
      <c r="D86" s="48" t="s">
        <v>840</v>
      </c>
      <c r="E86" s="47" t="n">
        <v>1</v>
      </c>
      <c r="F86" s="47" t="n">
        <v>0</v>
      </c>
      <c r="G86" s="47" t="n">
        <v>0</v>
      </c>
      <c r="H86" s="47" t="n">
        <v>1</v>
      </c>
      <c r="I86" s="47" t="n">
        <v>0</v>
      </c>
      <c r="J86" s="47" t="n">
        <v>1</v>
      </c>
      <c r="K86" s="47" t="n">
        <v>0</v>
      </c>
      <c r="L86" s="47" t="n">
        <v>1</v>
      </c>
      <c r="M86" s="47" t="n">
        <v>0</v>
      </c>
      <c r="N86" s="48" t="s">
        <v>841</v>
      </c>
    </row>
    <row r="87" customFormat="false" ht="15" hidden="false" customHeight="false" outlineLevel="0" collapsed="false">
      <c r="D87" s="51" t="s">
        <v>842</v>
      </c>
      <c r="E87" s="63" t="n">
        <f aca="false">SUM(E63:E86)</f>
        <v>18</v>
      </c>
      <c r="F87" s="63" t="n">
        <f aca="false">SUM(F63:F86)</f>
        <v>8</v>
      </c>
      <c r="G87" s="63" t="n">
        <f aca="false">SUM(G63:G86)</f>
        <v>11</v>
      </c>
      <c r="H87" s="63" t="n">
        <f aca="false">SUM(H63:H86)</f>
        <v>10</v>
      </c>
      <c r="I87" s="63" t="n">
        <f aca="false">SUM(I63:I86)</f>
        <v>12</v>
      </c>
      <c r="J87" s="63" t="n">
        <f aca="false">SUM(J63:J86)</f>
        <v>9</v>
      </c>
      <c r="K87" s="63" t="n">
        <f aca="false">SUM(K63:K86)</f>
        <v>9</v>
      </c>
      <c r="L87" s="63" t="n">
        <f aca="false">SUM(L63:L86)</f>
        <v>8</v>
      </c>
      <c r="M87" s="63" t="n">
        <f aca="false">SUM(M63:M86)</f>
        <v>1</v>
      </c>
    </row>
    <row r="88" customFormat="false" ht="15" hidden="false" customHeight="false" outlineLevel="0" collapsed="false">
      <c r="D88" s="51" t="s">
        <v>843</v>
      </c>
      <c r="E88" s="64" t="n">
        <f aca="false">E87/COUNTA($B$63:$B$86)</f>
        <v>0.75</v>
      </c>
      <c r="F88" s="64" t="n">
        <f aca="false">F87/COUNTA($B$63:$B$86)</f>
        <v>0.333333333333333</v>
      </c>
      <c r="G88" s="64" t="n">
        <f aca="false">G87/COUNTA($B$63:$B$86)</f>
        <v>0.458333333333333</v>
      </c>
      <c r="H88" s="64" t="n">
        <f aca="false">H87/COUNTA($B$63:$B$86)</f>
        <v>0.416666666666667</v>
      </c>
      <c r="I88" s="64" t="n">
        <f aca="false">I87/COUNTA($B$63:$B$86)</f>
        <v>0.5</v>
      </c>
      <c r="J88" s="64" t="n">
        <f aca="false">J87/COUNTA($B$63:$B$86)</f>
        <v>0.375</v>
      </c>
      <c r="K88" s="64" t="n">
        <f aca="false">K87/COUNTA($B$63:$B$86)</f>
        <v>0.375</v>
      </c>
      <c r="L88" s="64" t="n">
        <f aca="false">L87/COUNTA($B$63:$B$86)</f>
        <v>0.333333333333333</v>
      </c>
      <c r="M88" s="64" t="n">
        <f aca="false">M87/COUNTA($B$63:$B$86)</f>
        <v>0.0416666666666667</v>
      </c>
    </row>
    <row r="89" customFormat="false" ht="15" hidden="false" customHeight="false" outlineLevel="0" collapsed="false">
      <c r="D89" s="54" t="s">
        <v>844</v>
      </c>
      <c r="E89" s="58" t="n">
        <f aca="false">SUMIF($C$63:$C$86,"Senior",E63:E86)</f>
        <v>3</v>
      </c>
      <c r="F89" s="58" t="n">
        <f aca="false">SUMIF($C$63:$C$86,"Senior",F63:F86)</f>
        <v>1</v>
      </c>
      <c r="G89" s="58" t="n">
        <f aca="false">SUMIF($C$63:$C$86,"Senior",G63:G86)</f>
        <v>1</v>
      </c>
      <c r="H89" s="58" t="n">
        <f aca="false">SUMIF($C$63:$C$86,"Senior",H63:H86)</f>
        <v>4</v>
      </c>
      <c r="I89" s="58" t="n">
        <f aca="false">SUMIF($C$63:$C$86,"Senior",I63:I86)</f>
        <v>1</v>
      </c>
      <c r="J89" s="58" t="n">
        <f aca="false">SUMIF($C$63:$C$86,"Senior",J63:J86)</f>
        <v>3</v>
      </c>
      <c r="K89" s="58" t="n">
        <f aca="false">SUMIF($C$63:$C$86,"Senior",K63:K86)</f>
        <v>2</v>
      </c>
      <c r="L89" s="58" t="n">
        <f aca="false">SUMIF($C$63:$C$86,"Senior",L63:L86)</f>
        <v>0</v>
      </c>
      <c r="M89" s="58" t="n">
        <f aca="false">SUMIF($C$63:$C$86,"Senior",M63:M86)</f>
        <v>0</v>
      </c>
    </row>
    <row r="90" customFormat="false" ht="15" hidden="false" customHeight="false" outlineLevel="0" collapsed="false">
      <c r="D90" s="54" t="s">
        <v>845</v>
      </c>
      <c r="E90" s="58" t="n">
        <f aca="false">SUMIF($C$63:$C$86,"Informal caregiver",E63:E86)</f>
        <v>12</v>
      </c>
      <c r="F90" s="58" t="n">
        <f aca="false">SUMIF($C$63:$C$86,"Informal caregiver",F63:F86)</f>
        <v>6</v>
      </c>
      <c r="G90" s="58" t="n">
        <f aca="false">SUMIF($C$63:$C$86,"Informal caregiver",G63:G86)</f>
        <v>7</v>
      </c>
      <c r="H90" s="58" t="n">
        <f aca="false">SUMIF($C$63:$C$86,"Informal caregiver",H63:H86)</f>
        <v>5</v>
      </c>
      <c r="I90" s="58" t="n">
        <f aca="false">SUMIF($C$63:$C$86,"Informal caregiver",I63:I86)</f>
        <v>11</v>
      </c>
      <c r="J90" s="58" t="n">
        <f aca="false">SUMIF($C$63:$C$86,"Informal caregiver",J63:J86)</f>
        <v>2</v>
      </c>
      <c r="K90" s="58" t="n">
        <f aca="false">SUMIF($C$63:$C$86,"Informal caregiver",K63:K86)</f>
        <v>5</v>
      </c>
      <c r="L90" s="58" t="n">
        <f aca="false">SUMIF($C$63:$C$86,"Informal caregiver",L63:L86)</f>
        <v>6</v>
      </c>
      <c r="M90" s="58" t="n">
        <f aca="false">SUMIF($C$63:$C$86,"Informal caregiver",M63:M86)</f>
        <v>0</v>
      </c>
    </row>
    <row r="91" customFormat="false" ht="15" hidden="false" customHeight="false" outlineLevel="0" collapsed="false">
      <c r="D91" s="54" t="s">
        <v>846</v>
      </c>
      <c r="E91" s="58" t="n">
        <f aca="false">SUMIF($C$63:$C$86,"Professional caregiver",E63:E86)</f>
        <v>3</v>
      </c>
      <c r="F91" s="58" t="n">
        <f aca="false">SUMIF($C$63:$C$86,"Professional caregiver",F63:F86)</f>
        <v>1</v>
      </c>
      <c r="G91" s="58" t="n">
        <f aca="false">SUMIF($C$63:$C$86,"Professional caregiver",G63:G86)</f>
        <v>3</v>
      </c>
      <c r="H91" s="58" t="n">
        <f aca="false">SUMIF($C$63:$C$86,"Professional caregiver",H63:H86)</f>
        <v>1</v>
      </c>
      <c r="I91" s="58" t="n">
        <f aca="false">SUMIF($C$63:$C$86,"Professional caregiver",I63:I86)</f>
        <v>0</v>
      </c>
      <c r="J91" s="58" t="n">
        <f aca="false">SUMIF($C$63:$C$86,"Professional caregiver",J63:J86)</f>
        <v>4</v>
      </c>
      <c r="K91" s="58" t="n">
        <f aca="false">SUMIF($C$63:$C$86,"Professional caregiver",K63:K86)</f>
        <v>2</v>
      </c>
      <c r="L91" s="58" t="n">
        <f aca="false">SUMIF($C$63:$C$86,"Professional caregiver",L63:L86)</f>
        <v>2</v>
      </c>
      <c r="M91" s="58" t="n">
        <f aca="false">SUMIF($C$63:$C$86,"Professional caregiver",M63:M86)</f>
        <v>1</v>
      </c>
    </row>
    <row r="93" customFormat="false" ht="15" hidden="false" customHeight="false" outlineLevel="0" collapsed="false">
      <c r="B93" s="7" t="s">
        <v>847</v>
      </c>
      <c r="C93" s="7"/>
      <c r="D93" s="7"/>
      <c r="E93" s="7"/>
      <c r="F93" s="7"/>
      <c r="G93" s="7"/>
      <c r="H93" s="7"/>
      <c r="I93" s="7"/>
      <c r="J93" s="7"/>
      <c r="K93" s="7"/>
      <c r="L93" s="7"/>
      <c r="M93" s="7"/>
      <c r="N93" s="7"/>
      <c r="O93" s="7"/>
      <c r="P93" s="7"/>
      <c r="Q93" s="7"/>
      <c r="R93" s="7"/>
      <c r="S93" s="7"/>
    </row>
    <row r="94" customFormat="false" ht="24" hidden="false" customHeight="true" outlineLevel="0" collapsed="false">
      <c r="B94" s="8" t="s">
        <v>848</v>
      </c>
      <c r="C94" s="8" t="s">
        <v>783</v>
      </c>
      <c r="D94" s="8" t="s">
        <v>787</v>
      </c>
      <c r="E94" s="8" t="s">
        <v>790</v>
      </c>
      <c r="F94" s="8" t="s">
        <v>793</v>
      </c>
      <c r="G94" s="8" t="s">
        <v>796</v>
      </c>
      <c r="H94" s="8" t="s">
        <v>799</v>
      </c>
      <c r="I94" s="8" t="s">
        <v>802</v>
      </c>
      <c r="J94" s="8" t="s">
        <v>805</v>
      </c>
      <c r="K94" s="8" t="s">
        <v>808</v>
      </c>
      <c r="L94" s="8" t="s">
        <v>811</v>
      </c>
      <c r="M94" s="8" t="s">
        <v>814</v>
      </c>
      <c r="N94" s="8" t="s">
        <v>817</v>
      </c>
      <c r="O94" s="8" t="s">
        <v>820</v>
      </c>
      <c r="P94" s="8" t="s">
        <v>823</v>
      </c>
      <c r="Q94" s="8" t="s">
        <v>849</v>
      </c>
      <c r="R94" s="8" t="s">
        <v>850</v>
      </c>
      <c r="S94" s="8" t="s">
        <v>851</v>
      </c>
    </row>
    <row r="95" customFormat="false" ht="15" hidden="false" customHeight="false" outlineLevel="0" collapsed="false">
      <c r="B95" s="54" t="s">
        <v>699</v>
      </c>
      <c r="C95" s="42" t="n">
        <v>5</v>
      </c>
      <c r="D95" s="42" t="n">
        <v>1</v>
      </c>
      <c r="E95" s="42" t="n">
        <v>1</v>
      </c>
      <c r="F95" s="42" t="n">
        <v>1</v>
      </c>
      <c r="G95" s="42" t="n">
        <v>2</v>
      </c>
      <c r="H95" s="42" t="n">
        <v>3</v>
      </c>
      <c r="I95" s="42" t="n">
        <v>3</v>
      </c>
      <c r="J95" s="42" t="n">
        <v>1</v>
      </c>
      <c r="K95" s="42" t="n">
        <v>4</v>
      </c>
      <c r="L95" s="42" t="n">
        <v>4</v>
      </c>
      <c r="M95" s="42" t="n">
        <v>5</v>
      </c>
      <c r="N95" s="42" t="n">
        <v>5</v>
      </c>
      <c r="O95" s="42" t="n">
        <v>4</v>
      </c>
      <c r="P95" s="42" t="n">
        <v>2</v>
      </c>
      <c r="Q95" s="65" t="n">
        <f aca="false">AVERAGE(C95:P95)</f>
        <v>2.92857142857143</v>
      </c>
      <c r="R95" s="58" t="n">
        <f aca="false">COUNT(C95:P95)</f>
        <v>14</v>
      </c>
      <c r="S95" s="66" t="s">
        <v>852</v>
      </c>
    </row>
    <row r="96" customFormat="false" ht="15" hidden="false" customHeight="false" outlineLevel="0" collapsed="false">
      <c r="B96" s="54" t="s">
        <v>853</v>
      </c>
      <c r="C96" s="42" t="n">
        <v>1</v>
      </c>
      <c r="D96" s="42" t="n">
        <v>2</v>
      </c>
      <c r="E96" s="42" t="n">
        <v>3</v>
      </c>
      <c r="F96" s="42" t="n">
        <v>3</v>
      </c>
      <c r="G96" s="42" t="n">
        <v>2</v>
      </c>
      <c r="H96" s="42" t="n">
        <v>5</v>
      </c>
      <c r="I96" s="42" t="n">
        <v>4</v>
      </c>
      <c r="J96" s="42" t="n">
        <v>4</v>
      </c>
      <c r="K96" s="42" t="n">
        <v>4</v>
      </c>
      <c r="L96" s="42" t="n">
        <v>3</v>
      </c>
      <c r="M96" s="42" t="n">
        <v>5</v>
      </c>
      <c r="N96" s="42" t="n">
        <v>5</v>
      </c>
      <c r="O96" s="42" t="n">
        <v>5</v>
      </c>
      <c r="P96" s="42"/>
      <c r="Q96" s="65" t="n">
        <f aca="false">AVERAGE(C96:P96)</f>
        <v>3.53846153846154</v>
      </c>
      <c r="R96" s="58" t="n">
        <f aca="false">COUNT(C96:P96)</f>
        <v>13</v>
      </c>
      <c r="S96" s="66" t="s">
        <v>854</v>
      </c>
    </row>
    <row r="97" customFormat="false" ht="15" hidden="false" customHeight="false" outlineLevel="0" collapsed="false">
      <c r="B97" s="54" t="s">
        <v>855</v>
      </c>
      <c r="C97" s="42" t="n">
        <v>1</v>
      </c>
      <c r="D97" s="42" t="n">
        <v>1</v>
      </c>
      <c r="E97" s="42" t="n">
        <v>1</v>
      </c>
      <c r="F97" s="42" t="n">
        <v>2</v>
      </c>
      <c r="G97" s="42" t="n">
        <v>1</v>
      </c>
      <c r="H97" s="42" t="n">
        <v>1</v>
      </c>
      <c r="I97" s="42" t="n">
        <v>2</v>
      </c>
      <c r="J97" s="42" t="n">
        <v>1</v>
      </c>
      <c r="K97" s="42" t="n">
        <v>2</v>
      </c>
      <c r="L97" s="42" t="n">
        <v>4</v>
      </c>
      <c r="M97" s="42" t="n">
        <v>3</v>
      </c>
      <c r="N97" s="42" t="n">
        <v>5</v>
      </c>
      <c r="O97" s="42" t="n">
        <v>2</v>
      </c>
      <c r="P97" s="42" t="n">
        <v>1</v>
      </c>
      <c r="Q97" s="65" t="n">
        <f aca="false">AVERAGE(C97:P97)</f>
        <v>1.92857142857143</v>
      </c>
      <c r="R97" s="58" t="n">
        <f aca="false">COUNT(C97:P97)</f>
        <v>14</v>
      </c>
      <c r="S97" s="66" t="s">
        <v>856</v>
      </c>
    </row>
    <row r="98" customFormat="false" ht="15" hidden="false" customHeight="false" outlineLevel="0" collapsed="false">
      <c r="B98" s="54" t="s">
        <v>857</v>
      </c>
      <c r="C98" s="42" t="n">
        <v>1</v>
      </c>
      <c r="D98" s="42" t="n">
        <v>1</v>
      </c>
      <c r="E98" s="42" t="n">
        <v>2</v>
      </c>
      <c r="F98" s="42" t="n">
        <v>1</v>
      </c>
      <c r="G98" s="42" t="n">
        <v>2</v>
      </c>
      <c r="H98" s="42" t="n">
        <v>2</v>
      </c>
      <c r="I98" s="42" t="n">
        <v>4</v>
      </c>
      <c r="J98" s="42" t="n">
        <v>4</v>
      </c>
      <c r="K98" s="42" t="n">
        <v>5</v>
      </c>
      <c r="L98" s="42" t="n">
        <v>5</v>
      </c>
      <c r="M98" s="42" t="n">
        <v>4</v>
      </c>
      <c r="N98" s="42" t="n">
        <v>5</v>
      </c>
      <c r="O98" s="42" t="n">
        <v>1</v>
      </c>
      <c r="P98" s="42" t="n">
        <v>5</v>
      </c>
      <c r="Q98" s="65" t="n">
        <f aca="false">AVERAGE(C98:P98)</f>
        <v>3</v>
      </c>
      <c r="R98" s="58" t="n">
        <f aca="false">COUNT(C98:P98)</f>
        <v>14</v>
      </c>
      <c r="S98" s="66" t="s">
        <v>858</v>
      </c>
    </row>
    <row r="99" customFormat="false" ht="15" hidden="false" customHeight="false" outlineLevel="0" collapsed="false">
      <c r="B99" s="54" t="s">
        <v>859</v>
      </c>
      <c r="C99" s="42" t="n">
        <v>5</v>
      </c>
      <c r="D99" s="42" t="n">
        <v>1</v>
      </c>
      <c r="E99" s="42" t="n">
        <v>3</v>
      </c>
      <c r="F99" s="42" t="n">
        <v>4</v>
      </c>
      <c r="G99" s="42" t="n">
        <v>4</v>
      </c>
      <c r="H99" s="42" t="n">
        <v>4</v>
      </c>
      <c r="I99" s="42" t="n">
        <v>4</v>
      </c>
      <c r="J99" s="42" t="n">
        <v>4</v>
      </c>
      <c r="K99" s="42" t="n">
        <v>3</v>
      </c>
      <c r="L99" s="42" t="n">
        <v>5</v>
      </c>
      <c r="M99" s="42" t="n">
        <v>3</v>
      </c>
      <c r="N99" s="42" t="n">
        <v>5</v>
      </c>
      <c r="O99" s="42" t="n">
        <v>5</v>
      </c>
      <c r="P99" s="42" t="n">
        <v>3</v>
      </c>
      <c r="Q99" s="65" t="n">
        <f aca="false">AVERAGE(C99:P99)</f>
        <v>3.78571428571429</v>
      </c>
      <c r="R99" s="58" t="n">
        <f aca="false">COUNT(C99:P99)</f>
        <v>14</v>
      </c>
      <c r="S99" s="66" t="s">
        <v>860</v>
      </c>
    </row>
    <row r="100" customFormat="false" ht="15" hidden="false" customHeight="false" outlineLevel="0" collapsed="false">
      <c r="B100" s="54" t="s">
        <v>861</v>
      </c>
      <c r="C100" s="42" t="n">
        <v>3</v>
      </c>
      <c r="D100" s="42" t="n">
        <v>1</v>
      </c>
      <c r="E100" s="42" t="n">
        <v>3</v>
      </c>
      <c r="F100" s="42" t="n">
        <v>4</v>
      </c>
      <c r="G100" s="42" t="n">
        <v>2</v>
      </c>
      <c r="H100" s="42" t="n">
        <v>5</v>
      </c>
      <c r="I100" s="42" t="n">
        <v>2</v>
      </c>
      <c r="J100" s="42" t="n">
        <v>4</v>
      </c>
      <c r="K100" s="42" t="n">
        <v>4</v>
      </c>
      <c r="L100" s="42" t="n">
        <v>3</v>
      </c>
      <c r="M100" s="42" t="n">
        <v>5</v>
      </c>
      <c r="N100" s="42" t="n">
        <v>4</v>
      </c>
      <c r="O100" s="42" t="n">
        <v>1</v>
      </c>
      <c r="P100" s="42" t="n">
        <v>3</v>
      </c>
      <c r="Q100" s="65" t="n">
        <f aca="false">AVERAGE(C100:P100)</f>
        <v>3.14285714285714</v>
      </c>
      <c r="R100" s="58" t="n">
        <f aca="false">COUNT(C100:P100)</f>
        <v>14</v>
      </c>
      <c r="S100" s="66" t="s">
        <v>862</v>
      </c>
    </row>
    <row r="101" customFormat="false" ht="15" hidden="false" customHeight="false" outlineLevel="0" collapsed="false">
      <c r="B101" s="54" t="s">
        <v>863</v>
      </c>
      <c r="C101" s="42" t="n">
        <v>5</v>
      </c>
      <c r="D101" s="42" t="n">
        <v>3</v>
      </c>
      <c r="E101" s="42" t="n">
        <v>1</v>
      </c>
      <c r="F101" s="42" t="n">
        <v>3</v>
      </c>
      <c r="G101" s="42" t="n">
        <v>3</v>
      </c>
      <c r="H101" s="42" t="n">
        <v>4</v>
      </c>
      <c r="I101" s="42" t="n">
        <v>5</v>
      </c>
      <c r="J101" s="42" t="n">
        <v>4</v>
      </c>
      <c r="K101" s="42" t="n">
        <v>4</v>
      </c>
      <c r="L101" s="42" t="n">
        <v>5</v>
      </c>
      <c r="M101" s="42" t="n">
        <v>1</v>
      </c>
      <c r="N101" s="42" t="n">
        <v>1</v>
      </c>
      <c r="O101" s="42" t="n">
        <v>4</v>
      </c>
      <c r="P101" s="42"/>
      <c r="Q101" s="65" t="n">
        <f aca="false">AVERAGE(C101:P101)</f>
        <v>3.30769230769231</v>
      </c>
      <c r="R101" s="58" t="n">
        <f aca="false">COUNT(C101:P101)</f>
        <v>13</v>
      </c>
      <c r="S101" s="66" t="s">
        <v>864</v>
      </c>
    </row>
    <row r="104" customFormat="false" ht="15" hidden="false" customHeight="false" outlineLevel="0" collapsed="false">
      <c r="B104" s="7" t="s">
        <v>865</v>
      </c>
      <c r="C104" s="7"/>
      <c r="D104" s="7"/>
      <c r="E104" s="7"/>
      <c r="F104" s="7"/>
      <c r="G104" s="7"/>
      <c r="H104" s="7"/>
      <c r="I104" s="7"/>
      <c r="J104" s="7"/>
    </row>
    <row r="105" customFormat="false" ht="15" hidden="false" customHeight="false" outlineLevel="0" collapsed="false">
      <c r="B105" s="8" t="s">
        <v>866</v>
      </c>
      <c r="C105" s="8" t="s">
        <v>867</v>
      </c>
      <c r="D105" s="8" t="s">
        <v>868</v>
      </c>
    </row>
    <row r="106" customFormat="false" ht="30" hidden="false" customHeight="true" outlineLevel="0" collapsed="false">
      <c r="B106" s="30" t="s">
        <v>869</v>
      </c>
      <c r="C106" s="30" t="s">
        <v>870</v>
      </c>
      <c r="D106" s="30" t="s">
        <v>871</v>
      </c>
    </row>
    <row r="107" customFormat="false" ht="30" hidden="false" customHeight="true" outlineLevel="0" collapsed="false">
      <c r="B107" s="30" t="s">
        <v>872</v>
      </c>
      <c r="C107" s="30" t="s">
        <v>873</v>
      </c>
      <c r="D107" s="30" t="s">
        <v>874</v>
      </c>
    </row>
    <row r="108" customFormat="false" ht="30" hidden="false" customHeight="true" outlineLevel="0" collapsed="false">
      <c r="B108" s="30" t="s">
        <v>875</v>
      </c>
      <c r="C108" s="30" t="s">
        <v>876</v>
      </c>
      <c r="D108" s="30" t="s">
        <v>877</v>
      </c>
    </row>
    <row r="109" customFormat="false" ht="30" hidden="false" customHeight="true" outlineLevel="0" collapsed="false">
      <c r="B109" s="30" t="s">
        <v>878</v>
      </c>
      <c r="C109" s="30" t="s">
        <v>879</v>
      </c>
      <c r="D109" s="30" t="s">
        <v>880</v>
      </c>
    </row>
    <row r="112" customFormat="false" ht="15" hidden="false" customHeight="false" outlineLevel="0" collapsed="false">
      <c r="B112" s="7" t="s">
        <v>881</v>
      </c>
      <c r="C112" s="7"/>
      <c r="D112" s="7"/>
      <c r="E112" s="7"/>
      <c r="F112" s="7"/>
      <c r="G112" s="7"/>
      <c r="H112" s="7"/>
      <c r="I112" s="7"/>
      <c r="J112" s="7"/>
    </row>
    <row r="113" customFormat="false" ht="32.8" hidden="false" customHeight="false" outlineLevel="0" collapsed="false">
      <c r="B113" s="8" t="s">
        <v>882</v>
      </c>
      <c r="C113" s="8" t="s">
        <v>883</v>
      </c>
      <c r="D113" s="8" t="s">
        <v>884</v>
      </c>
      <c r="E113" s="8" t="s">
        <v>885</v>
      </c>
    </row>
    <row r="114" customFormat="false" ht="33.75" hidden="false" customHeight="true" outlineLevel="0" collapsed="false">
      <c r="B114" s="30" t="s">
        <v>886</v>
      </c>
      <c r="C114" s="30" t="s">
        <v>887</v>
      </c>
      <c r="D114" s="30" t="s">
        <v>888</v>
      </c>
      <c r="E114" s="30" t="s">
        <v>889</v>
      </c>
    </row>
    <row r="115" customFormat="false" ht="33.75" hidden="false" customHeight="true" outlineLevel="0" collapsed="false">
      <c r="B115" s="30" t="s">
        <v>890</v>
      </c>
      <c r="C115" s="30" t="s">
        <v>891</v>
      </c>
      <c r="D115" s="30" t="s">
        <v>892</v>
      </c>
      <c r="E115" s="30" t="s">
        <v>893</v>
      </c>
    </row>
    <row r="116" customFormat="false" ht="33.75" hidden="false" customHeight="true" outlineLevel="0" collapsed="false">
      <c r="B116" s="30" t="s">
        <v>894</v>
      </c>
      <c r="C116" s="30" t="s">
        <v>895</v>
      </c>
      <c r="D116" s="30" t="s">
        <v>896</v>
      </c>
      <c r="E116" s="30" t="s">
        <v>897</v>
      </c>
    </row>
    <row r="117" customFormat="false" ht="33.75" hidden="false" customHeight="true" outlineLevel="0" collapsed="false">
      <c r="B117" s="30" t="s">
        <v>898</v>
      </c>
      <c r="C117" s="30" t="s">
        <v>899</v>
      </c>
      <c r="D117" s="30" t="s">
        <v>900</v>
      </c>
      <c r="E117" s="30" t="s">
        <v>901</v>
      </c>
    </row>
    <row r="118" customFormat="false" ht="33.75" hidden="false" customHeight="true" outlineLevel="0" collapsed="false">
      <c r="B118" s="30" t="s">
        <v>902</v>
      </c>
      <c r="C118" s="30" t="s">
        <v>903</v>
      </c>
      <c r="D118" s="30" t="s">
        <v>904</v>
      </c>
      <c r="E118" s="30" t="s">
        <v>905</v>
      </c>
    </row>
    <row r="119" customFormat="false" ht="33.75" hidden="false" customHeight="true" outlineLevel="0" collapsed="false">
      <c r="B119" s="30" t="s">
        <v>906</v>
      </c>
      <c r="C119" s="30" t="s">
        <v>907</v>
      </c>
      <c r="D119" s="30" t="s">
        <v>908</v>
      </c>
      <c r="E119" s="30" t="s">
        <v>909</v>
      </c>
    </row>
    <row r="120" customFormat="false" ht="33.75" hidden="false" customHeight="true" outlineLevel="0" collapsed="false">
      <c r="B120" s="30" t="s">
        <v>910</v>
      </c>
      <c r="C120" s="30" t="s">
        <v>911</v>
      </c>
      <c r="D120" s="30" t="s">
        <v>912</v>
      </c>
      <c r="E120" s="30" t="s">
        <v>913</v>
      </c>
    </row>
    <row r="121" customFormat="false" ht="33.75" hidden="false" customHeight="true" outlineLevel="0" collapsed="false">
      <c r="B121" s="30" t="s">
        <v>914</v>
      </c>
      <c r="C121" s="30" t="s">
        <v>915</v>
      </c>
      <c r="D121" s="30" t="s">
        <v>916</v>
      </c>
      <c r="E121" s="30" t="s">
        <v>917</v>
      </c>
    </row>
    <row r="122" customFormat="false" ht="33.75" hidden="false" customHeight="true" outlineLevel="0" collapsed="false">
      <c r="B122" s="30" t="s">
        <v>918</v>
      </c>
      <c r="C122" s="30" t="s">
        <v>919</v>
      </c>
      <c r="D122" s="30" t="s">
        <v>920</v>
      </c>
      <c r="E122" s="30" t="s">
        <v>921</v>
      </c>
    </row>
  </sheetData>
  <mergeCells count="2">
    <mergeCell ref="B9:J9"/>
    <mergeCell ref="H13:J21"/>
  </mergeCells>
  <conditionalFormatting sqref="E63:M86">
    <cfRule type="cellIs" priority="2" operator="equal" aboveAverage="0" equalAverage="0" bottom="0" percent="0" rank="0" text="" dxfId="1">
      <formula>1</formula>
    </cfRule>
  </conditionalFormatting>
  <dataValidations count="4">
    <dataValidation allowBlank="true" errorStyle="stop" operator="between" showDropDown="false" showErrorMessage="false" showInputMessage="false" sqref="E14:E21" type="list">
      <formula1>"N1,N2,N3,N4,N5,N6,N7,N8,—"</formula1>
      <formula2>0</formula2>
    </dataValidation>
    <dataValidation allowBlank="true" errorStyle="stop" operator="between" showDropDown="false" showErrorMessage="false" showInputMessage="false" sqref="E26:E35" type="list">
      <formula1>"N1,N2,N3,N4,N5,N6,N7,N8,—"</formula1>
      <formula2>0</formula2>
    </dataValidation>
    <dataValidation allowBlank="true" errorStyle="stop" operator="between" showDropDown="false" showErrorMessage="false" showInputMessage="false" sqref="E40:E44" type="list">
      <formula1>"N1,N2,N3,N4,N5,N6,N7,N8,—"</formula1>
      <formula2>0</formula2>
    </dataValidation>
    <dataValidation allowBlank="true" errorStyle="stop" operator="between" showDropDown="false" showErrorMessage="false" showInputMessage="false" sqref="E63:M86" type="list">
      <formula1>"0,1"</formula1>
      <formula2>0</formula2>
    </dataValidation>
  </dataValidations>
  <hyperlinks>
    <hyperlink ref="J6" r:id="rId1" location="'14%20Source%20Register'!A50" display="S40"/>
    <hyperlink ref="J7" r:id="rId2" location="'14%20Source%20Register'!A51" display="S41"/>
    <hyperlink ref="J8" r:id="rId3" location="'14%20Source%20Register'!A52" display="S42"/>
    <hyperlink ref="F49" r:id="rId4" location="'14%20Source%20Register'!A50" display="S40"/>
    <hyperlink ref="F50" r:id="rId5" location="'14%20Source%20Register'!A50" display="S40"/>
    <hyperlink ref="F51" r:id="rId6" location="'14%20Source%20Register'!A50" display="S40"/>
    <hyperlink ref="F52" r:id="rId7" location="'14%20Source%20Register'!A50" display="S40"/>
    <hyperlink ref="F53" r:id="rId8" location="'14%20Source%20Register'!A50" display="S40"/>
    <hyperlink ref="F54" r:id="rId9" location="'14%20Source%20Register'!A50" display="S40;S41"/>
    <hyperlink ref="F55" r:id="rId10" location="'14%20Source%20Register'!A50" display="S40"/>
    <hyperlink ref="F56" r:id="rId11" location="'14%20Source%20Register'!A50" display="S40"/>
    <hyperlink ref="F57" r:id="rId12" location="'14%20Source%20Register'!A50" display="S40"/>
    <hyperlink ref="F58" r:id="rId13" location="'14%20Source%20Register'!A50" display="S4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R13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0"/>
    <col collapsed="false" customWidth="true" hidden="false" outlineLevel="0" max="4" min="4" style="0" width="22"/>
    <col collapsed="false" customWidth="true" hidden="false" outlineLevel="0" max="11" min="5" style="0" width="11"/>
    <col collapsed="false" customWidth="true" hidden="false" outlineLevel="0" max="13" min="12" style="0" width="12"/>
    <col collapsed="false" customWidth="true" hidden="false" outlineLevel="0" max="14" min="14" style="0" width="30"/>
    <col collapsed="false" customWidth="true" hidden="false" outlineLevel="0" max="16" min="15" style="0" width="12"/>
    <col collapsed="false" customWidth="true" hidden="false" outlineLevel="0" max="18" min="17" style="0" width="11"/>
  </cols>
  <sheetData>
    <row r="1" customFormat="false" ht="17.35" hidden="false" customHeight="false" outlineLevel="0" collapsed="false">
      <c r="A1" s="28" t="s">
        <v>922</v>
      </c>
    </row>
    <row r="2" customFormat="false" ht="15" hidden="false" customHeight="false" outlineLevel="0" collapsed="false">
      <c r="A2" s="2" t="s">
        <v>923</v>
      </c>
    </row>
    <row r="4" customFormat="false" ht="15" hidden="false" customHeight="false" outlineLevel="0" collapsed="false">
      <c r="B4" s="7" t="s">
        <v>924</v>
      </c>
      <c r="C4" s="7"/>
      <c r="D4" s="7"/>
      <c r="E4" s="7"/>
      <c r="F4" s="7"/>
    </row>
    <row r="5" customFormat="false" ht="22.35" hidden="false" customHeight="false" outlineLevel="0" collapsed="false">
      <c r="B5" s="8" t="s">
        <v>925</v>
      </c>
      <c r="C5" s="8" t="s">
        <v>926</v>
      </c>
      <c r="D5" s="8" t="s">
        <v>927</v>
      </c>
    </row>
    <row r="6" customFormat="false" ht="15" hidden="false" customHeight="false" outlineLevel="0" collapsed="false">
      <c r="B6" s="20" t="s">
        <v>928</v>
      </c>
      <c r="C6" s="67" t="n">
        <v>0.7</v>
      </c>
      <c r="D6" s="66" t="s">
        <v>929</v>
      </c>
      <c r="E6" s="66"/>
      <c r="F6" s="66"/>
      <c r="G6" s="66"/>
      <c r="H6" s="66"/>
      <c r="I6" s="66"/>
      <c r="J6" s="66"/>
      <c r="K6" s="66"/>
      <c r="L6" s="66"/>
      <c r="M6" s="66"/>
      <c r="N6" s="66"/>
    </row>
    <row r="7" customFormat="false" ht="15" hidden="false" customHeight="false" outlineLevel="0" collapsed="false">
      <c r="B7" s="20" t="s">
        <v>930</v>
      </c>
      <c r="C7" s="68" t="n">
        <f aca="false">1-C6</f>
        <v>0.3</v>
      </c>
      <c r="D7" s="66" t="s">
        <v>931</v>
      </c>
      <c r="E7" s="66"/>
      <c r="F7" s="66"/>
      <c r="G7" s="66"/>
      <c r="H7" s="66"/>
      <c r="I7" s="66"/>
      <c r="J7" s="66"/>
      <c r="K7" s="66"/>
      <c r="L7" s="66"/>
      <c r="M7" s="66"/>
      <c r="N7" s="66"/>
    </row>
    <row r="8" customFormat="false" ht="15" hidden="false" customHeight="false" outlineLevel="0" collapsed="false">
      <c r="B8" s="20" t="s">
        <v>932</v>
      </c>
      <c r="C8" s="67" t="n">
        <v>0.7</v>
      </c>
      <c r="D8" s="66" t="s">
        <v>933</v>
      </c>
      <c r="E8" s="66"/>
      <c r="F8" s="66"/>
      <c r="G8" s="66"/>
      <c r="H8" s="66"/>
      <c r="I8" s="66"/>
      <c r="J8" s="66"/>
      <c r="K8" s="66"/>
      <c r="L8" s="66"/>
      <c r="M8" s="66"/>
      <c r="N8" s="66"/>
    </row>
    <row r="9" customFormat="false" ht="15" hidden="false" customHeight="false" outlineLevel="0" collapsed="false">
      <c r="B9" s="20" t="s">
        <v>934</v>
      </c>
      <c r="C9" s="68" t="n">
        <f aca="false">1-C8</f>
        <v>0.3</v>
      </c>
      <c r="D9" s="66" t="s">
        <v>935</v>
      </c>
      <c r="E9" s="66"/>
      <c r="F9" s="66"/>
      <c r="G9" s="66"/>
      <c r="H9" s="66"/>
      <c r="I9" s="66"/>
      <c r="J9" s="66"/>
      <c r="K9" s="66"/>
      <c r="L9" s="66"/>
      <c r="M9" s="66"/>
      <c r="N9" s="66"/>
    </row>
    <row r="10" customFormat="false" ht="15" hidden="false" customHeight="false" outlineLevel="0" collapsed="false">
      <c r="B10" s="20" t="s">
        <v>936</v>
      </c>
      <c r="C10" s="67" t="n">
        <v>0.5</v>
      </c>
      <c r="D10" s="66" t="s">
        <v>937</v>
      </c>
      <c r="E10" s="66"/>
      <c r="F10" s="66"/>
      <c r="G10" s="66"/>
      <c r="H10" s="66"/>
      <c r="I10" s="66"/>
      <c r="J10" s="66"/>
      <c r="K10" s="66"/>
      <c r="L10" s="66"/>
      <c r="M10" s="66"/>
      <c r="N10" s="66"/>
    </row>
    <row r="12" customFormat="false" ht="15" hidden="false" customHeight="false" outlineLevel="0" collapsed="false">
      <c r="B12" s="7" t="s">
        <v>938</v>
      </c>
      <c r="C12" s="7"/>
      <c r="D12" s="7"/>
      <c r="E12" s="7"/>
      <c r="F12" s="7"/>
      <c r="G12" s="7"/>
      <c r="H12" s="7"/>
      <c r="I12" s="7"/>
      <c r="J12" s="7"/>
      <c r="K12" s="7"/>
      <c r="L12" s="7"/>
      <c r="M12" s="7"/>
      <c r="N12" s="7"/>
      <c r="O12" s="7"/>
    </row>
    <row r="13" customFormat="false" ht="39.75" hidden="false" customHeight="true" outlineLevel="0" collapsed="false">
      <c r="B13" s="8" t="s">
        <v>939</v>
      </c>
      <c r="C13" s="8" t="s">
        <v>940</v>
      </c>
      <c r="D13" s="8" t="s">
        <v>941</v>
      </c>
      <c r="E13" s="8" t="s">
        <v>942</v>
      </c>
      <c r="F13" s="8" t="s">
        <v>943</v>
      </c>
      <c r="G13" s="8" t="s">
        <v>944</v>
      </c>
      <c r="H13" s="8" t="s">
        <v>945</v>
      </c>
      <c r="I13" s="8" t="s">
        <v>946</v>
      </c>
      <c r="J13" s="8" t="s">
        <v>947</v>
      </c>
      <c r="K13" s="8" t="s">
        <v>948</v>
      </c>
      <c r="L13" s="8" t="s">
        <v>949</v>
      </c>
      <c r="M13" s="8" t="s">
        <v>950</v>
      </c>
      <c r="N13" s="8" t="s">
        <v>951</v>
      </c>
    </row>
    <row r="14" customFormat="false" ht="33.75" hidden="false" customHeight="true" outlineLevel="0" collapsed="false">
      <c r="B14" s="69" t="s">
        <v>679</v>
      </c>
      <c r="C14" s="70" t="s">
        <v>952</v>
      </c>
      <c r="D14" s="62" t="s">
        <v>953</v>
      </c>
      <c r="E14" s="71" t="n">
        <f aca="false">IF(COUNTIF('05 Market Research'!$E$14:$E$21,$B14)=0,"",SUMPRODUCT(MAX(('05 Market Research'!$E$14:$E$21=$B14)*'05 Market Research'!$F$14:$F$21))*100)</f>
        <v>100</v>
      </c>
      <c r="F14" s="71" t="n">
        <f aca="false">IF(COUNTIF('05 Market Research'!$E$26:$E$35,$B14)=0,"",SUMPRODUCT(MAX(('05 Market Research'!$E$26:$E$35=$B14)*'05 Market Research'!$F$26:$F$35))*100)</f>
        <v>100</v>
      </c>
      <c r="G14" s="71" t="str">
        <f aca="false">IF(COUNTIF('05 Market Research'!$E$40:$E$44,$B14)=0,"",SUMPRODUCT(MAX(('05 Market Research'!$E$40:$E$44=$B14)*'05 Market Research'!$F$40:$F$44))*100)</f>
        <v/>
      </c>
      <c r="H14" s="71" t="n">
        <f aca="false">IF(COUNT(E14:G14)=0,"",AVERAGE(E14:G14))</f>
        <v>100</v>
      </c>
      <c r="I14" s="15" t="n">
        <f aca="false">'05 Market Research'!E87</f>
        <v>18</v>
      </c>
      <c r="J14" s="71" t="n">
        <f aca="false">I14/MAX($I$14:$I$22)*100</f>
        <v>100</v>
      </c>
      <c r="K14" s="71" t="n">
        <f aca="false">IF(H14="",$C$10*J14,$C$8*H14+$C$9*J14)</f>
        <v>100</v>
      </c>
      <c r="L14" s="72" t="n">
        <f aca="false">K14/SUM($K$14:$K$22)</f>
        <v>0.170618184789444</v>
      </c>
      <c r="M14" s="12" t="n">
        <f aca="false">SUMPRODUCT(--($L$14:$L$22&gt;L14))+1</f>
        <v>1</v>
      </c>
      <c r="N14" s="62" t="s">
        <v>954</v>
      </c>
    </row>
    <row r="15" customFormat="false" ht="33.75" hidden="false" customHeight="true" outlineLevel="0" collapsed="false">
      <c r="B15" s="69" t="s">
        <v>695</v>
      </c>
      <c r="C15" s="70" t="s">
        <v>955</v>
      </c>
      <c r="D15" s="62" t="s">
        <v>956</v>
      </c>
      <c r="E15" s="71" t="str">
        <f aca="false">IF(COUNTIF('05 Market Research'!$E$14:$E$21,$B15)=0,"",SUMPRODUCT(MAX(('05 Market Research'!$E$14:$E$21=$B15)*'05 Market Research'!$F$14:$F$21))*100)</f>
        <v/>
      </c>
      <c r="F15" s="71" t="n">
        <f aca="false">IF(COUNTIF('05 Market Research'!$E$26:$E$35,$B15)=0,"",SUMPRODUCT(MAX(('05 Market Research'!$E$26:$E$35=$B15)*'05 Market Research'!$F$26:$F$35))*100)</f>
        <v>83.5267967399358</v>
      </c>
      <c r="G15" s="71" t="str">
        <f aca="false">IF(COUNTIF('05 Market Research'!$E$40:$E$44,$B15)=0,"",SUMPRODUCT(MAX(('05 Market Research'!$E$40:$E$44=$B15)*'05 Market Research'!$F$40:$F$44))*100)</f>
        <v/>
      </c>
      <c r="H15" s="71" t="n">
        <f aca="false">IF(COUNT(E15:G15)=0,"",AVERAGE(E15:G15))</f>
        <v>83.5267967399358</v>
      </c>
      <c r="I15" s="15" t="n">
        <f aca="false">'05 Market Research'!F87</f>
        <v>8</v>
      </c>
      <c r="J15" s="71" t="n">
        <f aca="false">I15/MAX($I$14:$I$22)*100</f>
        <v>44.4444444444444</v>
      </c>
      <c r="K15" s="71" t="n">
        <f aca="false">IF(H15="",$C$10*J15,$C$8*H15+$C$9*J15)</f>
        <v>71.8020910512884</v>
      </c>
      <c r="L15" s="72" t="n">
        <f aca="false">K15/SUM($K$14:$K$22)</f>
        <v>0.122507424392572</v>
      </c>
      <c r="M15" s="12" t="n">
        <f aca="false">SUMPRODUCT(--($L$14:$L$22&gt;L15))+1</f>
        <v>4</v>
      </c>
      <c r="N15" s="62" t="s">
        <v>957</v>
      </c>
    </row>
    <row r="16" customFormat="false" ht="33.75" hidden="false" customHeight="true" outlineLevel="0" collapsed="false">
      <c r="B16" s="69" t="s">
        <v>681</v>
      </c>
      <c r="C16" s="70" t="s">
        <v>958</v>
      </c>
      <c r="D16" s="62" t="s">
        <v>959</v>
      </c>
      <c r="E16" s="71" t="n">
        <f aca="false">IF(COUNTIF('05 Market Research'!$E$14:$E$21,$B16)=0,"",SUMPRODUCT(MAX(('05 Market Research'!$E$14:$E$21=$B16)*'05 Market Research'!$F$14:$F$21))*100)</f>
        <v>83.4289200732154</v>
      </c>
      <c r="F16" s="71" t="n">
        <f aca="false">IF(COUNTIF('05 Market Research'!$E$26:$E$35,$B16)=0,"",SUMPRODUCT(MAX(('05 Market Research'!$E$26:$E$35=$B16)*'05 Market Research'!$F$26:$F$35))*100)</f>
        <v>90.4914793776241</v>
      </c>
      <c r="G16" s="71" t="str">
        <f aca="false">IF(COUNTIF('05 Market Research'!$E$40:$E$44,$B16)=0,"",SUMPRODUCT(MAX(('05 Market Research'!$E$40:$E$44=$B16)*'05 Market Research'!$F$40:$F$44))*100)</f>
        <v/>
      </c>
      <c r="H16" s="71" t="n">
        <f aca="false">IF(COUNT(E16:G16)=0,"",AVERAGE(E16:G16))</f>
        <v>86.9601997254197</v>
      </c>
      <c r="I16" s="15" t="n">
        <f aca="false">'05 Market Research'!G87</f>
        <v>11</v>
      </c>
      <c r="J16" s="71" t="n">
        <f aca="false">I16/MAX($I$14:$I$22)*100</f>
        <v>61.1111111111111</v>
      </c>
      <c r="K16" s="71" t="n">
        <f aca="false">IF(H16="",$C$10*J16,$C$8*H16+$C$9*J16)</f>
        <v>79.2054731411271</v>
      </c>
      <c r="L16" s="72" t="n">
        <f aca="false">K16/SUM($K$14:$K$22)</f>
        <v>0.135138940527282</v>
      </c>
      <c r="M16" s="12" t="n">
        <f aca="false">SUMPRODUCT(--($L$14:$L$22&gt;L16))+1</f>
        <v>3</v>
      </c>
      <c r="N16" s="62" t="s">
        <v>960</v>
      </c>
    </row>
    <row r="17" customFormat="false" ht="33.75" hidden="false" customHeight="true" outlineLevel="0" collapsed="false">
      <c r="B17" s="69" t="s">
        <v>710</v>
      </c>
      <c r="C17" s="70" t="s">
        <v>961</v>
      </c>
      <c r="D17" s="62" t="s">
        <v>962</v>
      </c>
      <c r="E17" s="71" t="str">
        <f aca="false">IF(COUNTIF('05 Market Research'!$E$14:$E$21,$B17)=0,"",SUMPRODUCT(MAX(('05 Market Research'!$E$14:$E$21=$B17)*'05 Market Research'!$F$14:$F$21))*100)</f>
        <v/>
      </c>
      <c r="F17" s="71" t="str">
        <f aca="false">IF(COUNTIF('05 Market Research'!$E$26:$E$35,$B17)=0,"",SUMPRODUCT(MAX(('05 Market Research'!$E$26:$E$35=$B17)*'05 Market Research'!$F$26:$F$35))*100)</f>
        <v/>
      </c>
      <c r="G17" s="71" t="n">
        <f aca="false">IF(COUNTIF('05 Market Research'!$E$40:$E$44,$B17)=0,"",SUMPRODUCT(MAX(('05 Market Research'!$E$40:$E$44=$B17)*'05 Market Research'!$F$40:$F$44))*100)</f>
        <v>100</v>
      </c>
      <c r="H17" s="71" t="n">
        <f aca="false">IF(COUNT(E17:G17)=0,"",AVERAGE(E17:G17))</f>
        <v>100</v>
      </c>
      <c r="I17" s="15" t="n">
        <f aca="false">'05 Market Research'!H87</f>
        <v>10</v>
      </c>
      <c r="J17" s="71" t="n">
        <f aca="false">I17/MAX($I$14:$I$22)*100</f>
        <v>55.5555555555556</v>
      </c>
      <c r="K17" s="71" t="n">
        <f aca="false">IF(H17="",$C$10*J17,$C$8*H17+$C$9*J17)</f>
        <v>86.6666666666667</v>
      </c>
      <c r="L17" s="72" t="n">
        <f aca="false">K17/SUM($K$14:$K$22)</f>
        <v>0.147869093484185</v>
      </c>
      <c r="M17" s="12" t="n">
        <f aca="false">SUMPRODUCT(--($L$14:$L$22&gt;L17))+1</f>
        <v>2</v>
      </c>
      <c r="N17" s="62" t="s">
        <v>963</v>
      </c>
    </row>
    <row r="18" customFormat="false" ht="33.75" hidden="false" customHeight="true" outlineLevel="0" collapsed="false">
      <c r="B18" s="69" t="s">
        <v>712</v>
      </c>
      <c r="C18" s="70" t="s">
        <v>964</v>
      </c>
      <c r="D18" s="62" t="s">
        <v>965</v>
      </c>
      <c r="E18" s="71" t="str">
        <f aca="false">IF(COUNTIF('05 Market Research'!$E$14:$E$21,$B18)=0,"",SUMPRODUCT(MAX(('05 Market Research'!$E$14:$E$21=$B18)*'05 Market Research'!$F$14:$F$21))*100)</f>
        <v/>
      </c>
      <c r="F18" s="71" t="str">
        <f aca="false">IF(COUNTIF('05 Market Research'!$E$26:$E$35,$B18)=0,"",SUMPRODUCT(MAX(('05 Market Research'!$E$26:$E$35=$B18)*'05 Market Research'!$F$26:$F$35))*100)</f>
        <v/>
      </c>
      <c r="G18" s="71" t="n">
        <f aca="false">IF(COUNTIF('05 Market Research'!$E$40:$E$44,$B18)=0,"",SUMPRODUCT(MAX(('05 Market Research'!$E$40:$E$44=$B18)*'05 Market Research'!$F$40:$F$44))*100)</f>
        <v>71.6867469879518</v>
      </c>
      <c r="H18" s="71" t="n">
        <f aca="false">IF(COUNT(E18:G18)=0,"",AVERAGE(E18:G18))</f>
        <v>71.6867469879518</v>
      </c>
      <c r="I18" s="15" t="n">
        <f aca="false">'05 Market Research'!I87</f>
        <v>12</v>
      </c>
      <c r="J18" s="71" t="n">
        <f aca="false">I18/MAX($I$14:$I$22)*100</f>
        <v>66.6666666666667</v>
      </c>
      <c r="K18" s="71" t="n">
        <f aca="false">IF(H18="",$C$10*J18,$C$8*H18+$C$9*J18)</f>
        <v>70.1807228915663</v>
      </c>
      <c r="L18" s="72" t="n">
        <f aca="false">K18/SUM($K$14:$K$22)</f>
        <v>0.1197410754697</v>
      </c>
      <c r="M18" s="12" t="n">
        <f aca="false">SUMPRODUCT(--($L$14:$L$22&gt;L18))+1</f>
        <v>6</v>
      </c>
      <c r="N18" s="62" t="s">
        <v>966</v>
      </c>
    </row>
    <row r="19" customFormat="false" ht="33.75" hidden="false" customHeight="true" outlineLevel="0" collapsed="false">
      <c r="B19" s="69" t="s">
        <v>683</v>
      </c>
      <c r="C19" s="70" t="s">
        <v>967</v>
      </c>
      <c r="D19" s="62" t="s">
        <v>968</v>
      </c>
      <c r="E19" s="71" t="n">
        <f aca="false">IF(COUNTIF('05 Market Research'!$E$14:$E$21,$B19)=0,"",SUMPRODUCT(MAX(('05 Market Research'!$E$14:$E$21=$B19)*'05 Market Research'!$F$14:$F$21))*100)</f>
        <v>79.9267846247712</v>
      </c>
      <c r="F19" s="71" t="str">
        <f aca="false">IF(COUNTIF('05 Market Research'!$E$26:$E$35,$B19)=0,"",SUMPRODUCT(MAX(('05 Market Research'!$E$26:$E$35=$B19)*'05 Market Research'!$F$26:$F$35))*100)</f>
        <v/>
      </c>
      <c r="G19" s="71" t="str">
        <f aca="false">IF(COUNTIF('05 Market Research'!$E$40:$E$44,$B19)=0,"",SUMPRODUCT(MAX(('05 Market Research'!$E$40:$E$44=$B19)*'05 Market Research'!$F$40:$F$44))*100)</f>
        <v/>
      </c>
      <c r="H19" s="71" t="n">
        <f aca="false">IF(COUNT(E19:G19)=0,"",AVERAGE(E19:G19))</f>
        <v>79.9267846247712</v>
      </c>
      <c r="I19" s="15" t="n">
        <f aca="false">'05 Market Research'!J87</f>
        <v>9</v>
      </c>
      <c r="J19" s="71" t="n">
        <f aca="false">I19/MAX($I$14:$I$22)*100</f>
        <v>50</v>
      </c>
      <c r="K19" s="71" t="n">
        <f aca="false">IF(H19="",$C$10*J19,$C$8*H19+$C$9*J19)</f>
        <v>70.9487492373398</v>
      </c>
      <c r="L19" s="72" t="n">
        <f aca="false">K19/SUM($K$14:$K$22)</f>
        <v>0.121051468079564</v>
      </c>
      <c r="M19" s="12" t="n">
        <f aca="false">SUMPRODUCT(--($L$14:$L$22&gt;L19))+1</f>
        <v>5</v>
      </c>
      <c r="N19" s="62" t="s">
        <v>969</v>
      </c>
    </row>
    <row r="20" customFormat="false" ht="33.75" hidden="false" customHeight="true" outlineLevel="0" collapsed="false">
      <c r="B20" s="69" t="s">
        <v>706</v>
      </c>
      <c r="C20" s="70" t="s">
        <v>970</v>
      </c>
      <c r="D20" s="62" t="s">
        <v>971</v>
      </c>
      <c r="E20" s="71" t="str">
        <f aca="false">IF(COUNTIF('05 Market Research'!$E$14:$E$21,$B20)=0,"",SUMPRODUCT(MAX(('05 Market Research'!$E$14:$E$21=$B20)*'05 Market Research'!$F$14:$F$21))*100)</f>
        <v/>
      </c>
      <c r="F20" s="71" t="n">
        <f aca="false">IF(COUNTIF('05 Market Research'!$E$26:$E$35,$B20)=0,"",SUMPRODUCT(MAX(('05 Market Research'!$E$26:$E$35=$B20)*'05 Market Research'!$F$26:$F$35))*100)</f>
        <v>72.1906643615708</v>
      </c>
      <c r="G20" s="71" t="str">
        <f aca="false">IF(COUNTIF('05 Market Research'!$E$40:$E$44,$B20)=0,"",SUMPRODUCT(MAX(('05 Market Research'!$E$40:$E$44=$B20)*'05 Market Research'!$F$40:$F$44))*100)</f>
        <v/>
      </c>
      <c r="H20" s="71" t="n">
        <f aca="false">IF(COUNT(E20:G20)=0,"",AVERAGE(E20:G20))</f>
        <v>72.1906643615708</v>
      </c>
      <c r="I20" s="15" t="n">
        <f aca="false">'05 Market Research'!K87</f>
        <v>9</v>
      </c>
      <c r="J20" s="71" t="n">
        <f aca="false">I20/MAX($I$14:$I$22)*100</f>
        <v>50</v>
      </c>
      <c r="K20" s="71" t="n">
        <f aca="false">IF(H20="",$C$10*J20,$C$8*H20+$C$9*J20)</f>
        <v>65.5334650530996</v>
      </c>
      <c r="L20" s="72" t="n">
        <f aca="false">K20/SUM($K$14:$K$22)</f>
        <v>0.111812008503223</v>
      </c>
      <c r="M20" s="12" t="n">
        <f aca="false">SUMPRODUCT(--($L$14:$L$22&gt;L20))+1</f>
        <v>7</v>
      </c>
      <c r="N20" s="62" t="s">
        <v>972</v>
      </c>
    </row>
    <row r="21" customFormat="false" ht="33.75" hidden="false" customHeight="true" outlineLevel="0" collapsed="false">
      <c r="B21" s="69" t="s">
        <v>700</v>
      </c>
      <c r="C21" s="70" t="s">
        <v>973</v>
      </c>
      <c r="D21" s="62" t="s">
        <v>974</v>
      </c>
      <c r="E21" s="71" t="str">
        <f aca="false">IF(COUNTIF('05 Market Research'!$E$14:$E$21,$B21)=0,"",SUMPRODUCT(MAX(('05 Market Research'!$E$14:$E$21=$B21)*'05 Market Research'!$F$14:$F$21))*100)</f>
        <v/>
      </c>
      <c r="F21" s="71" t="n">
        <f aca="false">IF(COUNTIF('05 Market Research'!$E$26:$E$35,$B21)=0,"",SUMPRODUCT(MAX(('05 Market Research'!$E$26:$E$35=$B21)*'05 Market Research'!$F$26:$F$35))*100)</f>
        <v>36.6510249444307</v>
      </c>
      <c r="G21" s="71" t="str">
        <f aca="false">IF(COUNTIF('05 Market Research'!$E$40:$E$44,$B21)=0,"",SUMPRODUCT(MAX(('05 Market Research'!$E$40:$E$44=$B21)*'05 Market Research'!$F$40:$F$44))*100)</f>
        <v/>
      </c>
      <c r="H21" s="71" t="n">
        <f aca="false">IF(COUNT(E21:G21)=0,"",AVERAGE(E21:G21))</f>
        <v>36.6510249444307</v>
      </c>
      <c r="I21" s="15" t="n">
        <f aca="false">'05 Market Research'!L87</f>
        <v>8</v>
      </c>
      <c r="J21" s="71" t="n">
        <f aca="false">I21/MAX($I$14:$I$22)*100</f>
        <v>44.4444444444444</v>
      </c>
      <c r="K21" s="71" t="n">
        <f aca="false">IF(H21="",$C$10*J21,$C$8*H21+$C$9*J21)</f>
        <v>38.9890507944348</v>
      </c>
      <c r="L21" s="72" t="n">
        <f aca="false">K21/SUM($K$14:$K$22)</f>
        <v>0.0665224107320992</v>
      </c>
      <c r="M21" s="12" t="n">
        <f aca="false">SUMPRODUCT(--($L$14:$L$22&gt;L21))+1</f>
        <v>8</v>
      </c>
      <c r="N21" s="62" t="s">
        <v>975</v>
      </c>
    </row>
    <row r="22" customFormat="false" ht="33.75" hidden="false" customHeight="true" outlineLevel="0" collapsed="false">
      <c r="B22" s="69" t="s">
        <v>765</v>
      </c>
      <c r="C22" s="70" t="s">
        <v>976</v>
      </c>
      <c r="D22" s="62" t="s">
        <v>977</v>
      </c>
      <c r="E22" s="71" t="str">
        <f aca="false">IF(COUNTIF('05 Market Research'!$E$14:$E$21,$B22)=0,"",SUMPRODUCT(MAX(('05 Market Research'!$E$14:$E$21=$B22)*'05 Market Research'!$F$14:$F$21))*100)</f>
        <v/>
      </c>
      <c r="F22" s="71" t="str">
        <f aca="false">IF(COUNTIF('05 Market Research'!$E$26:$E$35,$B22)=0,"",SUMPRODUCT(MAX(('05 Market Research'!$E$26:$E$35=$B22)*'05 Market Research'!$F$26:$F$35))*100)</f>
        <v/>
      </c>
      <c r="G22" s="71" t="str">
        <f aca="false">IF(COUNTIF('05 Market Research'!$E$40:$E$44,$B22)=0,"",SUMPRODUCT(MAX(('05 Market Research'!$E$40:$E$44=$B22)*'05 Market Research'!$F$40:$F$44))*100)</f>
        <v/>
      </c>
      <c r="H22" s="71" t="str">
        <f aca="false">IF(COUNT(E22:G22)=0,"",AVERAGE(E22:G22))</f>
        <v/>
      </c>
      <c r="I22" s="15" t="n">
        <f aca="false">'05 Market Research'!M87</f>
        <v>1</v>
      </c>
      <c r="J22" s="71" t="n">
        <f aca="false">I22/MAX($I$14:$I$22)*100</f>
        <v>5.55555555555556</v>
      </c>
      <c r="K22" s="71" t="n">
        <f aca="false">IF(H22="",$C$10*J22,$C$8*H22+$C$9*J22)</f>
        <v>2.77777777777778</v>
      </c>
      <c r="L22" s="72" t="n">
        <f aca="false">K22/SUM($K$14:$K$22)</f>
        <v>0.00473939402192901</v>
      </c>
      <c r="M22" s="12" t="n">
        <f aca="false">SUMPRODUCT(--($L$14:$L$22&gt;L22))+1</f>
        <v>9</v>
      </c>
      <c r="N22" s="62" t="s">
        <v>978</v>
      </c>
    </row>
    <row r="23" customFormat="false" ht="15" hidden="false" customHeight="false" outlineLevel="0" collapsed="false">
      <c r="K23" s="73" t="s">
        <v>979</v>
      </c>
      <c r="L23" s="74" t="n">
        <f aca="false">SUM(L14:L22)</f>
        <v>1</v>
      </c>
    </row>
    <row r="24" customFormat="false" ht="15" hidden="false" customHeight="false" outlineLevel="0" collapsed="false">
      <c r="B24" s="7" t="s">
        <v>980</v>
      </c>
      <c r="C24" s="7"/>
      <c r="D24" s="7"/>
      <c r="E24" s="7"/>
      <c r="F24" s="7"/>
      <c r="G24" s="7"/>
      <c r="H24" s="7"/>
      <c r="I24" s="7"/>
      <c r="J24" s="7"/>
      <c r="K24" s="7"/>
      <c r="L24" s="7"/>
      <c r="M24" s="7"/>
      <c r="N24" s="7"/>
    </row>
    <row r="25" customFormat="false" ht="30" hidden="false" customHeight="true" outlineLevel="0" collapsed="false">
      <c r="B25" s="8" t="s">
        <v>981</v>
      </c>
      <c r="C25" s="8" t="s">
        <v>982</v>
      </c>
      <c r="D25" s="8" t="s">
        <v>679</v>
      </c>
      <c r="E25" s="8" t="s">
        <v>695</v>
      </c>
      <c r="F25" s="8" t="s">
        <v>681</v>
      </c>
      <c r="G25" s="8" t="s">
        <v>710</v>
      </c>
      <c r="H25" s="8" t="s">
        <v>712</v>
      </c>
      <c r="I25" s="8" t="s">
        <v>683</v>
      </c>
      <c r="J25" s="8" t="s">
        <v>706</v>
      </c>
      <c r="K25" s="8" t="s">
        <v>700</v>
      </c>
      <c r="L25" s="8" t="s">
        <v>765</v>
      </c>
      <c r="M25" s="8" t="s">
        <v>983</v>
      </c>
      <c r="N25" s="8" t="s">
        <v>984</v>
      </c>
    </row>
    <row r="26" customFormat="false" ht="15" hidden="false" customHeight="false" outlineLevel="0" collapsed="false">
      <c r="C26" s="52" t="s">
        <v>985</v>
      </c>
      <c r="D26" s="75" t="n">
        <f aca="false">$L$14</f>
        <v>0.170618184789444</v>
      </c>
      <c r="E26" s="75" t="n">
        <f aca="false">$L$15</f>
        <v>0.122507424392572</v>
      </c>
      <c r="F26" s="75" t="n">
        <f aca="false">$L$16</f>
        <v>0.135138940527282</v>
      </c>
      <c r="G26" s="75" t="n">
        <f aca="false">$L$17</f>
        <v>0.147869093484185</v>
      </c>
      <c r="H26" s="75" t="n">
        <f aca="false">$L$18</f>
        <v>0.1197410754697</v>
      </c>
      <c r="I26" s="75" t="n">
        <f aca="false">$L$19</f>
        <v>0.121051468079564</v>
      </c>
      <c r="J26" s="75" t="n">
        <f aca="false">$L$20</f>
        <v>0.111812008503223</v>
      </c>
      <c r="K26" s="75" t="n">
        <f aca="false">$L$21</f>
        <v>0.0665224107320992</v>
      </c>
      <c r="L26" s="75" t="n">
        <f aca="false">$L$22</f>
        <v>0.00473939402192901</v>
      </c>
    </row>
    <row r="27" customFormat="false" ht="15" hidden="false" customHeight="true" outlineLevel="0" collapsed="false">
      <c r="B27" s="42" t="s">
        <v>371</v>
      </c>
      <c r="C27" s="54" t="s">
        <v>417</v>
      </c>
      <c r="D27" s="76" t="n">
        <v>0</v>
      </c>
      <c r="E27" s="76" t="n">
        <v>0</v>
      </c>
      <c r="F27" s="76" t="n">
        <v>0.15</v>
      </c>
      <c r="G27" s="76" t="n">
        <v>0</v>
      </c>
      <c r="H27" s="76" t="n">
        <v>0</v>
      </c>
      <c r="I27" s="76" t="n">
        <v>0.1</v>
      </c>
      <c r="J27" s="76" t="n">
        <v>0</v>
      </c>
      <c r="K27" s="76" t="n">
        <v>0</v>
      </c>
      <c r="L27" s="76" t="n">
        <v>0</v>
      </c>
      <c r="M27" s="77" t="n">
        <f aca="false">SUMPRODUCT($D$26:$L$26,D27:L27)</f>
        <v>0.0323759878870487</v>
      </c>
      <c r="N27" s="66" t="s">
        <v>251</v>
      </c>
      <c r="O27" s="27" t="s">
        <v>986</v>
      </c>
      <c r="P27" s="27"/>
      <c r="Q27" s="27"/>
      <c r="R27" s="27"/>
    </row>
    <row r="28" customFormat="false" ht="15" hidden="false" customHeight="false" outlineLevel="0" collapsed="false">
      <c r="B28" s="42" t="s">
        <v>372</v>
      </c>
      <c r="C28" s="54" t="s">
        <v>420</v>
      </c>
      <c r="D28" s="76" t="n">
        <v>0</v>
      </c>
      <c r="E28" s="76" t="n">
        <v>0</v>
      </c>
      <c r="F28" s="76" t="n">
        <v>0.15</v>
      </c>
      <c r="G28" s="76" t="n">
        <v>0</v>
      </c>
      <c r="H28" s="76" t="n">
        <v>0</v>
      </c>
      <c r="I28" s="76" t="n">
        <v>0</v>
      </c>
      <c r="J28" s="76" t="n">
        <v>0</v>
      </c>
      <c r="K28" s="76" t="n">
        <v>0</v>
      </c>
      <c r="L28" s="76" t="n">
        <v>0</v>
      </c>
      <c r="M28" s="77" t="n">
        <f aca="false">SUMPRODUCT($D$26:$L$26,D28:L28)</f>
        <v>0.0202708410790923</v>
      </c>
      <c r="N28" s="66" t="s">
        <v>251</v>
      </c>
      <c r="O28" s="27"/>
      <c r="P28" s="27"/>
      <c r="Q28" s="27"/>
      <c r="R28" s="27"/>
    </row>
    <row r="29" customFormat="false" ht="15" hidden="false" customHeight="false" outlineLevel="0" collapsed="false">
      <c r="B29" s="42" t="s">
        <v>373</v>
      </c>
      <c r="C29" s="54" t="s">
        <v>422</v>
      </c>
      <c r="D29" s="76" t="n">
        <v>0</v>
      </c>
      <c r="E29" s="76" t="n">
        <v>0</v>
      </c>
      <c r="F29" s="76" t="n">
        <v>0</v>
      </c>
      <c r="G29" s="76" t="n">
        <v>0</v>
      </c>
      <c r="H29" s="76" t="n">
        <v>0</v>
      </c>
      <c r="I29" s="76" t="n">
        <v>0.3</v>
      </c>
      <c r="J29" s="76" t="n">
        <v>0</v>
      </c>
      <c r="K29" s="76" t="n">
        <v>0</v>
      </c>
      <c r="L29" s="76" t="n">
        <v>0</v>
      </c>
      <c r="M29" s="77" t="n">
        <f aca="false">SUMPRODUCT($D$26:$L$26,D29:L29)</f>
        <v>0.0363154404238692</v>
      </c>
      <c r="N29" s="66" t="s">
        <v>251</v>
      </c>
      <c r="O29" s="27"/>
      <c r="P29" s="27"/>
      <c r="Q29" s="27"/>
      <c r="R29" s="27"/>
    </row>
    <row r="30" customFormat="false" ht="15" hidden="false" customHeight="false" outlineLevel="0" collapsed="false">
      <c r="B30" s="42" t="s">
        <v>374</v>
      </c>
      <c r="C30" s="54" t="s">
        <v>424</v>
      </c>
      <c r="D30" s="76" t="n">
        <v>0</v>
      </c>
      <c r="E30" s="76" t="n">
        <v>0</v>
      </c>
      <c r="F30" s="76" t="n">
        <v>0.1</v>
      </c>
      <c r="G30" s="76" t="n">
        <v>0</v>
      </c>
      <c r="H30" s="76" t="n">
        <v>0</v>
      </c>
      <c r="I30" s="76" t="n">
        <v>0.2</v>
      </c>
      <c r="J30" s="76" t="n">
        <v>0</v>
      </c>
      <c r="K30" s="76" t="n">
        <v>0</v>
      </c>
      <c r="L30" s="76" t="n">
        <v>0</v>
      </c>
      <c r="M30" s="77" t="n">
        <f aca="false">SUMPRODUCT($D$26:$L$26,D30:L30)</f>
        <v>0.037724187668641</v>
      </c>
      <c r="N30" s="66" t="s">
        <v>251</v>
      </c>
      <c r="O30" s="27"/>
      <c r="P30" s="27"/>
      <c r="Q30" s="27"/>
      <c r="R30" s="27"/>
    </row>
    <row r="31" customFormat="false" ht="15" hidden="false" customHeight="false" outlineLevel="0" collapsed="false">
      <c r="B31" s="42" t="s">
        <v>375</v>
      </c>
      <c r="C31" s="54" t="s">
        <v>426</v>
      </c>
      <c r="D31" s="76" t="n">
        <v>0</v>
      </c>
      <c r="E31" s="76" t="n">
        <v>0</v>
      </c>
      <c r="F31" s="76" t="n">
        <v>0</v>
      </c>
      <c r="G31" s="76" t="n">
        <v>0</v>
      </c>
      <c r="H31" s="76" t="n">
        <v>0</v>
      </c>
      <c r="I31" s="76" t="n">
        <v>0.3</v>
      </c>
      <c r="J31" s="76" t="n">
        <v>0</v>
      </c>
      <c r="K31" s="76" t="n">
        <v>0</v>
      </c>
      <c r="L31" s="76" t="n">
        <v>0</v>
      </c>
      <c r="M31" s="77" t="n">
        <f aca="false">SUMPRODUCT($D$26:$L$26,D31:L31)</f>
        <v>0.0363154404238692</v>
      </c>
      <c r="N31" s="66" t="s">
        <v>251</v>
      </c>
      <c r="O31" s="27"/>
      <c r="P31" s="27"/>
      <c r="Q31" s="27"/>
      <c r="R31" s="27"/>
    </row>
    <row r="32" customFormat="false" ht="15" hidden="false" customHeight="false" outlineLevel="0" collapsed="false">
      <c r="B32" s="42" t="s">
        <v>376</v>
      </c>
      <c r="C32" s="54" t="s">
        <v>428</v>
      </c>
      <c r="D32" s="76" t="n">
        <v>0</v>
      </c>
      <c r="E32" s="76" t="n">
        <v>0</v>
      </c>
      <c r="F32" s="76" t="n">
        <v>0.1</v>
      </c>
      <c r="G32" s="76" t="n">
        <v>0</v>
      </c>
      <c r="H32" s="76" t="n">
        <v>0</v>
      </c>
      <c r="I32" s="76" t="n">
        <v>0.1</v>
      </c>
      <c r="J32" s="76" t="n">
        <v>0</v>
      </c>
      <c r="K32" s="76" t="n">
        <v>0</v>
      </c>
      <c r="L32" s="76" t="n">
        <v>0</v>
      </c>
      <c r="M32" s="77" t="n">
        <f aca="false">SUMPRODUCT($D$26:$L$26,D32:L32)</f>
        <v>0.0256190408606846</v>
      </c>
      <c r="N32" s="66" t="s">
        <v>251</v>
      </c>
      <c r="O32" s="27"/>
      <c r="P32" s="27"/>
      <c r="Q32" s="27"/>
      <c r="R32" s="27"/>
    </row>
    <row r="33" customFormat="false" ht="15" hidden="false" customHeight="false" outlineLevel="0" collapsed="false">
      <c r="B33" s="42" t="s">
        <v>377</v>
      </c>
      <c r="C33" s="54" t="s">
        <v>430</v>
      </c>
      <c r="D33" s="76" t="n">
        <v>0</v>
      </c>
      <c r="E33" s="76" t="n">
        <v>0</v>
      </c>
      <c r="F33" s="76" t="n">
        <v>0.2</v>
      </c>
      <c r="G33" s="76" t="n">
        <v>0</v>
      </c>
      <c r="H33" s="76" t="n">
        <v>0</v>
      </c>
      <c r="I33" s="76" t="n">
        <v>0</v>
      </c>
      <c r="J33" s="76" t="n">
        <v>0</v>
      </c>
      <c r="K33" s="76" t="n">
        <v>0</v>
      </c>
      <c r="L33" s="76" t="n">
        <v>0</v>
      </c>
      <c r="M33" s="77" t="n">
        <f aca="false">SUMPRODUCT($D$26:$L$26,D33:L33)</f>
        <v>0.0270277881054564</v>
      </c>
      <c r="N33" s="66" t="s">
        <v>251</v>
      </c>
    </row>
    <row r="34" customFormat="false" ht="15" hidden="false" customHeight="false" outlineLevel="0" collapsed="false">
      <c r="B34" s="42" t="s">
        <v>378</v>
      </c>
      <c r="C34" s="54" t="s">
        <v>432</v>
      </c>
      <c r="D34" s="76" t="n">
        <v>0</v>
      </c>
      <c r="E34" s="76" t="n">
        <v>0</v>
      </c>
      <c r="F34" s="76" t="n">
        <v>0.15</v>
      </c>
      <c r="G34" s="76" t="n">
        <v>0</v>
      </c>
      <c r="H34" s="76" t="n">
        <v>0</v>
      </c>
      <c r="I34" s="76" t="n">
        <v>0</v>
      </c>
      <c r="J34" s="76" t="n">
        <v>1</v>
      </c>
      <c r="K34" s="76" t="n">
        <v>0</v>
      </c>
      <c r="L34" s="76" t="n">
        <v>0</v>
      </c>
      <c r="M34" s="77" t="n">
        <f aca="false">SUMPRODUCT($D$26:$L$26,D34:L34)</f>
        <v>0.132082849582316</v>
      </c>
      <c r="N34" s="66" t="s">
        <v>251</v>
      </c>
    </row>
    <row r="35" customFormat="false" ht="15" hidden="false" customHeight="false" outlineLevel="0" collapsed="false">
      <c r="B35" s="42" t="s">
        <v>379</v>
      </c>
      <c r="C35" s="54" t="s">
        <v>434</v>
      </c>
      <c r="D35" s="76" t="n">
        <v>0</v>
      </c>
      <c r="E35" s="76" t="n">
        <v>0</v>
      </c>
      <c r="F35" s="76" t="n">
        <v>0.15</v>
      </c>
      <c r="G35" s="76" t="n">
        <v>0</v>
      </c>
      <c r="H35" s="76" t="n">
        <v>0</v>
      </c>
      <c r="I35" s="76" t="n">
        <v>0</v>
      </c>
      <c r="J35" s="76" t="n">
        <v>0</v>
      </c>
      <c r="K35" s="76" t="n">
        <v>0</v>
      </c>
      <c r="L35" s="76" t="n">
        <v>0</v>
      </c>
      <c r="M35" s="77" t="n">
        <f aca="false">SUMPRODUCT($D$26:$L$26,D35:L35)</f>
        <v>0.0202708410790923</v>
      </c>
      <c r="N35" s="66" t="s">
        <v>251</v>
      </c>
    </row>
    <row r="36" customFormat="false" ht="15" hidden="false" customHeight="false" outlineLevel="0" collapsed="false">
      <c r="B36" s="42" t="s">
        <v>380</v>
      </c>
      <c r="C36" s="54" t="s">
        <v>436</v>
      </c>
      <c r="D36" s="76" t="n">
        <v>1</v>
      </c>
      <c r="E36" s="76" t="n">
        <v>0</v>
      </c>
      <c r="F36" s="76" t="n">
        <v>0</v>
      </c>
      <c r="G36" s="76" t="n">
        <v>0</v>
      </c>
      <c r="H36" s="76" t="n">
        <v>0</v>
      </c>
      <c r="I36" s="76" t="n">
        <v>0</v>
      </c>
      <c r="J36" s="76" t="n">
        <v>0</v>
      </c>
      <c r="K36" s="76" t="n">
        <v>0</v>
      </c>
      <c r="L36" s="76" t="n">
        <v>0</v>
      </c>
      <c r="M36" s="77" t="n">
        <f aca="false">SUMPRODUCT($D$26:$L$26,D36:L36)</f>
        <v>0.170618184789444</v>
      </c>
      <c r="N36" s="66" t="s">
        <v>252</v>
      </c>
    </row>
    <row r="37" customFormat="false" ht="15" hidden="false" customHeight="false" outlineLevel="0" collapsed="false">
      <c r="B37" s="42" t="s">
        <v>381</v>
      </c>
      <c r="C37" s="54" t="s">
        <v>437</v>
      </c>
      <c r="D37" s="76" t="n">
        <v>0</v>
      </c>
      <c r="E37" s="76" t="n">
        <v>0.4</v>
      </c>
      <c r="F37" s="76" t="n">
        <v>0</v>
      </c>
      <c r="G37" s="76" t="n">
        <v>0</v>
      </c>
      <c r="H37" s="76" t="n">
        <v>0</v>
      </c>
      <c r="I37" s="76" t="n">
        <v>0</v>
      </c>
      <c r="J37" s="76" t="n">
        <v>0</v>
      </c>
      <c r="K37" s="76" t="n">
        <v>0</v>
      </c>
      <c r="L37" s="76" t="n">
        <v>0</v>
      </c>
      <c r="M37" s="77" t="n">
        <f aca="false">SUMPRODUCT($D$26:$L$26,D37:L37)</f>
        <v>0.0490029697570289</v>
      </c>
      <c r="N37" s="66" t="s">
        <v>252</v>
      </c>
    </row>
    <row r="38" customFormat="false" ht="15" hidden="false" customHeight="false" outlineLevel="0" collapsed="false">
      <c r="B38" s="42" t="s">
        <v>382</v>
      </c>
      <c r="C38" s="54" t="s">
        <v>438</v>
      </c>
      <c r="D38" s="76" t="n">
        <v>0</v>
      </c>
      <c r="E38" s="76" t="n">
        <v>0.3</v>
      </c>
      <c r="F38" s="76" t="n">
        <v>0</v>
      </c>
      <c r="G38" s="76" t="n">
        <v>0</v>
      </c>
      <c r="H38" s="76" t="n">
        <v>0</v>
      </c>
      <c r="I38" s="76" t="n">
        <v>0</v>
      </c>
      <c r="J38" s="76" t="n">
        <v>0</v>
      </c>
      <c r="K38" s="76" t="n">
        <v>0</v>
      </c>
      <c r="L38" s="76" t="n">
        <v>0</v>
      </c>
      <c r="M38" s="77" t="n">
        <f aca="false">SUMPRODUCT($D$26:$L$26,D38:L38)</f>
        <v>0.0367522273177717</v>
      </c>
      <c r="N38" s="66" t="s">
        <v>252</v>
      </c>
    </row>
    <row r="39" customFormat="false" ht="15" hidden="false" customHeight="false" outlineLevel="0" collapsed="false">
      <c r="B39" s="42" t="s">
        <v>383</v>
      </c>
      <c r="C39" s="54" t="s">
        <v>439</v>
      </c>
      <c r="D39" s="76" t="n">
        <v>0</v>
      </c>
      <c r="E39" s="76" t="n">
        <v>0.15</v>
      </c>
      <c r="F39" s="76" t="n">
        <v>0</v>
      </c>
      <c r="G39" s="76" t="n">
        <v>0</v>
      </c>
      <c r="H39" s="76" t="n">
        <v>0</v>
      </c>
      <c r="I39" s="76" t="n">
        <v>0</v>
      </c>
      <c r="J39" s="76" t="n">
        <v>0</v>
      </c>
      <c r="K39" s="76" t="n">
        <v>0</v>
      </c>
      <c r="L39" s="76" t="n">
        <v>0.6</v>
      </c>
      <c r="M39" s="77" t="n">
        <f aca="false">SUMPRODUCT($D$26:$L$26,D39:L39)</f>
        <v>0.0212197500720433</v>
      </c>
      <c r="N39" s="66" t="s">
        <v>252</v>
      </c>
    </row>
    <row r="40" customFormat="false" ht="15" hidden="false" customHeight="false" outlineLevel="0" collapsed="false">
      <c r="B40" s="42" t="s">
        <v>384</v>
      </c>
      <c r="C40" s="54" t="s">
        <v>441</v>
      </c>
      <c r="D40" s="76" t="n">
        <v>0</v>
      </c>
      <c r="E40" s="76" t="n">
        <v>0</v>
      </c>
      <c r="F40" s="76" t="n">
        <v>0</v>
      </c>
      <c r="G40" s="76" t="n">
        <v>0</v>
      </c>
      <c r="H40" s="76" t="n">
        <v>0</v>
      </c>
      <c r="I40" s="76" t="n">
        <v>0</v>
      </c>
      <c r="J40" s="76" t="n">
        <v>0</v>
      </c>
      <c r="K40" s="76" t="n">
        <v>0</v>
      </c>
      <c r="L40" s="76" t="n">
        <v>0.4</v>
      </c>
      <c r="M40" s="77" t="n">
        <f aca="false">SUMPRODUCT($D$26:$L$26,D40:L40)</f>
        <v>0.0018957576087716</v>
      </c>
      <c r="N40" s="66" t="s">
        <v>252</v>
      </c>
    </row>
    <row r="41" customFormat="false" ht="15" hidden="false" customHeight="false" outlineLevel="0" collapsed="false">
      <c r="B41" s="42" t="s">
        <v>385</v>
      </c>
      <c r="C41" s="54" t="s">
        <v>443</v>
      </c>
      <c r="D41" s="76" t="n">
        <v>0</v>
      </c>
      <c r="E41" s="76" t="n">
        <v>0</v>
      </c>
      <c r="F41" s="76" t="n">
        <v>0</v>
      </c>
      <c r="G41" s="76" t="n">
        <v>0</v>
      </c>
      <c r="H41" s="76" t="n">
        <v>0</v>
      </c>
      <c r="I41" s="76" t="n">
        <v>0</v>
      </c>
      <c r="J41" s="76" t="n">
        <v>0</v>
      </c>
      <c r="K41" s="76" t="n">
        <v>0</v>
      </c>
      <c r="L41" s="76" t="n">
        <v>0</v>
      </c>
      <c r="M41" s="77" t="n">
        <f aca="false">SUMPRODUCT($D$26:$L$26,D41:L41)</f>
        <v>0</v>
      </c>
      <c r="N41" s="66" t="s">
        <v>253</v>
      </c>
    </row>
    <row r="42" customFormat="false" ht="15" hidden="false" customHeight="false" outlineLevel="0" collapsed="false">
      <c r="B42" s="42" t="s">
        <v>386</v>
      </c>
      <c r="C42" s="54" t="s">
        <v>445</v>
      </c>
      <c r="D42" s="76" t="n">
        <v>0</v>
      </c>
      <c r="E42" s="76" t="n">
        <v>0.15</v>
      </c>
      <c r="F42" s="76" t="n">
        <v>0</v>
      </c>
      <c r="G42" s="76" t="n">
        <v>0.15</v>
      </c>
      <c r="H42" s="76" t="n">
        <v>0</v>
      </c>
      <c r="I42" s="76" t="n">
        <v>0</v>
      </c>
      <c r="J42" s="76" t="n">
        <v>0</v>
      </c>
      <c r="K42" s="76" t="n">
        <v>0</v>
      </c>
      <c r="L42" s="76" t="n">
        <v>0</v>
      </c>
      <c r="M42" s="77" t="n">
        <f aca="false">SUMPRODUCT($D$26:$L$26,D42:L42)</f>
        <v>0.0405564776815136</v>
      </c>
      <c r="N42" s="66" t="s">
        <v>253</v>
      </c>
    </row>
    <row r="43" customFormat="false" ht="15" hidden="false" customHeight="false" outlineLevel="0" collapsed="false">
      <c r="B43" s="42" t="s">
        <v>387</v>
      </c>
      <c r="C43" s="54" t="s">
        <v>447</v>
      </c>
      <c r="D43" s="76" t="n">
        <v>0</v>
      </c>
      <c r="E43" s="76" t="n">
        <v>0</v>
      </c>
      <c r="F43" s="76" t="n">
        <v>0</v>
      </c>
      <c r="G43" s="76" t="n">
        <v>0.25</v>
      </c>
      <c r="H43" s="76" t="n">
        <v>0</v>
      </c>
      <c r="I43" s="76" t="n">
        <v>0</v>
      </c>
      <c r="J43" s="76" t="n">
        <v>0</v>
      </c>
      <c r="K43" s="76" t="n">
        <v>0</v>
      </c>
      <c r="L43" s="76" t="n">
        <v>0</v>
      </c>
      <c r="M43" s="77" t="n">
        <f aca="false">SUMPRODUCT($D$26:$L$26,D43:L43)</f>
        <v>0.0369672733710463</v>
      </c>
      <c r="N43" s="66" t="s">
        <v>254</v>
      </c>
    </row>
    <row r="44" customFormat="false" ht="15" hidden="false" customHeight="false" outlineLevel="0" collapsed="false">
      <c r="B44" s="42" t="s">
        <v>388</v>
      </c>
      <c r="C44" s="54" t="s">
        <v>448</v>
      </c>
      <c r="D44" s="76" t="n">
        <v>0</v>
      </c>
      <c r="E44" s="76" t="n">
        <v>0</v>
      </c>
      <c r="F44" s="76" t="n">
        <v>0</v>
      </c>
      <c r="G44" s="76" t="n">
        <v>0</v>
      </c>
      <c r="H44" s="76" t="n">
        <v>0</v>
      </c>
      <c r="I44" s="76" t="n">
        <v>0</v>
      </c>
      <c r="J44" s="76" t="n">
        <v>0</v>
      </c>
      <c r="K44" s="76" t="n">
        <v>1</v>
      </c>
      <c r="L44" s="76" t="n">
        <v>0</v>
      </c>
      <c r="M44" s="77" t="n">
        <f aca="false">SUMPRODUCT($D$26:$L$26,D44:L44)</f>
        <v>0.0665224107320992</v>
      </c>
      <c r="N44" s="66" t="s">
        <v>255</v>
      </c>
    </row>
    <row r="45" customFormat="false" ht="15" hidden="false" customHeight="false" outlineLevel="0" collapsed="false">
      <c r="B45" s="42" t="s">
        <v>389</v>
      </c>
      <c r="C45" s="54" t="s">
        <v>449</v>
      </c>
      <c r="D45" s="76" t="n">
        <v>0</v>
      </c>
      <c r="E45" s="76" t="n">
        <v>0</v>
      </c>
      <c r="F45" s="76" t="n">
        <v>0</v>
      </c>
      <c r="G45" s="76" t="n">
        <v>0</v>
      </c>
      <c r="H45" s="76" t="n">
        <v>0</v>
      </c>
      <c r="I45" s="76" t="n">
        <v>0</v>
      </c>
      <c r="J45" s="76" t="n">
        <v>0</v>
      </c>
      <c r="K45" s="76" t="n">
        <v>0</v>
      </c>
      <c r="L45" s="76" t="n">
        <v>0</v>
      </c>
      <c r="M45" s="77" t="n">
        <f aca="false">SUMPRODUCT($D$26:$L$26,D45:L45)</f>
        <v>0</v>
      </c>
      <c r="N45" s="66" t="s">
        <v>987</v>
      </c>
    </row>
    <row r="46" customFormat="false" ht="15" hidden="false" customHeight="false" outlineLevel="0" collapsed="false">
      <c r="B46" s="42" t="s">
        <v>390</v>
      </c>
      <c r="C46" s="54" t="s">
        <v>451</v>
      </c>
      <c r="D46" s="76" t="n">
        <v>0</v>
      </c>
      <c r="E46" s="76" t="n">
        <v>0</v>
      </c>
      <c r="F46" s="76" t="n">
        <v>0</v>
      </c>
      <c r="G46" s="76" t="n">
        <v>0</v>
      </c>
      <c r="H46" s="76" t="n">
        <v>1</v>
      </c>
      <c r="I46" s="76" t="n">
        <v>0</v>
      </c>
      <c r="J46" s="76" t="n">
        <v>0</v>
      </c>
      <c r="K46" s="76" t="n">
        <v>0</v>
      </c>
      <c r="L46" s="76" t="n">
        <v>0</v>
      </c>
      <c r="M46" s="77" t="n">
        <f aca="false">SUMPRODUCT($D$26:$L$26,D46:L46)</f>
        <v>0.1197410754697</v>
      </c>
      <c r="N46" s="66" t="s">
        <v>257</v>
      </c>
    </row>
    <row r="47" customFormat="false" ht="15" hidden="false" customHeight="false" outlineLevel="0" collapsed="false">
      <c r="B47" s="42" t="s">
        <v>391</v>
      </c>
      <c r="C47" s="54" t="s">
        <v>453</v>
      </c>
      <c r="D47" s="76" t="n">
        <v>0</v>
      </c>
      <c r="E47" s="76" t="n">
        <v>0</v>
      </c>
      <c r="F47" s="76" t="n">
        <v>0</v>
      </c>
      <c r="G47" s="76" t="n">
        <v>0</v>
      </c>
      <c r="H47" s="76" t="n">
        <v>0</v>
      </c>
      <c r="I47" s="76" t="n">
        <v>0</v>
      </c>
      <c r="J47" s="76" t="n">
        <v>0</v>
      </c>
      <c r="K47" s="76" t="n">
        <v>0</v>
      </c>
      <c r="L47" s="76" t="n">
        <v>0</v>
      </c>
      <c r="M47" s="77" t="n">
        <f aca="false">SUMPRODUCT($D$26:$L$26,D47:L47)</f>
        <v>0</v>
      </c>
      <c r="N47" s="66" t="s">
        <v>253</v>
      </c>
    </row>
    <row r="48" customFormat="false" ht="15" hidden="false" customHeight="false" outlineLevel="0" collapsed="false">
      <c r="B48" s="42" t="s">
        <v>392</v>
      </c>
      <c r="C48" s="54" t="s">
        <v>454</v>
      </c>
      <c r="D48" s="76" t="n">
        <v>0</v>
      </c>
      <c r="E48" s="76" t="n">
        <v>0</v>
      </c>
      <c r="F48" s="76" t="n">
        <v>0</v>
      </c>
      <c r="G48" s="76" t="n">
        <v>0.1</v>
      </c>
      <c r="H48" s="76" t="n">
        <v>0</v>
      </c>
      <c r="I48" s="76" t="n">
        <v>0</v>
      </c>
      <c r="J48" s="76" t="n">
        <v>0</v>
      </c>
      <c r="K48" s="76" t="n">
        <v>0</v>
      </c>
      <c r="L48" s="76" t="n">
        <v>0</v>
      </c>
      <c r="M48" s="77" t="n">
        <f aca="false">SUMPRODUCT($D$26:$L$26,D48:L48)</f>
        <v>0.0147869093484185</v>
      </c>
      <c r="N48" s="66" t="s">
        <v>254</v>
      </c>
    </row>
    <row r="49" customFormat="false" ht="15" hidden="false" customHeight="false" outlineLevel="0" collapsed="false">
      <c r="B49" s="42" t="s">
        <v>988</v>
      </c>
      <c r="C49" s="54" t="s">
        <v>989</v>
      </c>
      <c r="D49" s="76" t="n">
        <v>0</v>
      </c>
      <c r="E49" s="76" t="n">
        <v>0</v>
      </c>
      <c r="F49" s="76" t="n">
        <v>0</v>
      </c>
      <c r="G49" s="76" t="n">
        <v>0.3</v>
      </c>
      <c r="H49" s="76" t="n">
        <v>0</v>
      </c>
      <c r="I49" s="76" t="n">
        <v>0</v>
      </c>
      <c r="J49" s="76" t="n">
        <v>0</v>
      </c>
      <c r="K49" s="76" t="n">
        <v>0</v>
      </c>
      <c r="L49" s="76" t="n">
        <v>0</v>
      </c>
      <c r="M49" s="77" t="n">
        <f aca="false">SUMPRODUCT($D$26:$L$26,D49:L49)</f>
        <v>0.0443607280452555</v>
      </c>
      <c r="N49" s="66" t="s">
        <v>254</v>
      </c>
    </row>
    <row r="50" customFormat="false" ht="15" hidden="false" customHeight="false" outlineLevel="0" collapsed="false">
      <c r="B50" s="42" t="s">
        <v>990</v>
      </c>
      <c r="C50" s="54" t="s">
        <v>991</v>
      </c>
      <c r="D50" s="76" t="n">
        <v>0</v>
      </c>
      <c r="E50" s="76" t="n">
        <v>0</v>
      </c>
      <c r="F50" s="76" t="n">
        <v>0</v>
      </c>
      <c r="G50" s="76" t="n">
        <v>0.2</v>
      </c>
      <c r="H50" s="76" t="n">
        <v>0</v>
      </c>
      <c r="I50" s="76" t="n">
        <v>0</v>
      </c>
      <c r="J50" s="76" t="n">
        <v>0</v>
      </c>
      <c r="K50" s="76" t="n">
        <v>0</v>
      </c>
      <c r="L50" s="76" t="n">
        <v>0</v>
      </c>
      <c r="M50" s="77" t="n">
        <f aca="false">SUMPRODUCT($D$26:$L$26,D50:L50)</f>
        <v>0.029573818696837</v>
      </c>
      <c r="N50" s="66" t="s">
        <v>254</v>
      </c>
    </row>
    <row r="51" customFormat="false" ht="15" hidden="false" customHeight="false" outlineLevel="0" collapsed="false">
      <c r="C51" s="52" t="s">
        <v>992</v>
      </c>
      <c r="D51" s="78" t="n">
        <f aca="false">SUM(D27:D50)</f>
        <v>1</v>
      </c>
      <c r="E51" s="78" t="n">
        <f aca="false">SUM(E27:E50)</f>
        <v>1</v>
      </c>
      <c r="F51" s="78" t="n">
        <f aca="false">SUM(F27:F50)</f>
        <v>1</v>
      </c>
      <c r="G51" s="78" t="n">
        <f aca="false">SUM(G27:G50)</f>
        <v>1</v>
      </c>
      <c r="H51" s="78" t="n">
        <f aca="false">SUM(H27:H50)</f>
        <v>1</v>
      </c>
      <c r="I51" s="78" t="n">
        <f aca="false">SUM(I27:I50)</f>
        <v>1</v>
      </c>
      <c r="J51" s="78" t="n">
        <f aca="false">SUM(J27:J50)</f>
        <v>1</v>
      </c>
      <c r="K51" s="78" t="n">
        <f aca="false">SUM(K27:K50)</f>
        <v>1</v>
      </c>
      <c r="L51" s="78" t="n">
        <f aca="false">SUM(L27:L50)</f>
        <v>1</v>
      </c>
    </row>
    <row r="53" customFormat="false" ht="15" hidden="false" customHeight="false" outlineLevel="0" collapsed="false">
      <c r="B53" s="7" t="s">
        <v>993</v>
      </c>
      <c r="C53" s="7"/>
      <c r="D53" s="7"/>
      <c r="E53" s="7"/>
      <c r="F53" s="7"/>
      <c r="G53" s="7"/>
      <c r="H53" s="7"/>
      <c r="I53" s="7"/>
      <c r="J53" s="7"/>
      <c r="K53" s="7"/>
      <c r="L53" s="7"/>
      <c r="M53" s="7"/>
      <c r="N53" s="7"/>
      <c r="O53" s="7"/>
      <c r="P53" s="7"/>
    </row>
    <row r="55" customFormat="false" ht="27.75" hidden="false" customHeight="true" outlineLevel="0" collapsed="false">
      <c r="B55" s="8" t="s">
        <v>981</v>
      </c>
      <c r="C55" s="8" t="s">
        <v>982</v>
      </c>
      <c r="D55" s="8" t="s">
        <v>50</v>
      </c>
      <c r="E55" s="8" t="s">
        <v>60</v>
      </c>
      <c r="F55" s="8" t="s">
        <v>66</v>
      </c>
      <c r="G55" s="8" t="s">
        <v>72</v>
      </c>
      <c r="H55" s="8" t="s">
        <v>81</v>
      </c>
      <c r="I55" s="8" t="s">
        <v>87</v>
      </c>
      <c r="J55" s="8" t="s">
        <v>94</v>
      </c>
      <c r="K55" s="8" t="s">
        <v>99</v>
      </c>
      <c r="L55" s="8" t="s">
        <v>107</v>
      </c>
      <c r="M55" s="8" t="s">
        <v>113</v>
      </c>
      <c r="N55" s="8" t="s">
        <v>118</v>
      </c>
      <c r="O55" s="8" t="s">
        <v>123</v>
      </c>
      <c r="P55" s="8" t="s">
        <v>128</v>
      </c>
    </row>
    <row r="56" customFormat="false" ht="15" hidden="false" customHeight="false" outlineLevel="0" collapsed="false">
      <c r="B56" s="42" t="s">
        <v>371</v>
      </c>
      <c r="C56" s="54" t="s">
        <v>417</v>
      </c>
      <c r="D56" s="79" t="n">
        <f aca="false">(('03 Feature Comparison'!F6="Yes")*'10 Scoring &amp; Weights'!$C$7+('03 Feature Comparison'!F6="Conditional")*'10 Scoring &amp; Weights'!$C$8+('03 Feature Comparison'!F6="Unknown")*'10 Scoring &amp; Weights'!$C$9+('03 Feature Comparison'!F6="No")*'10 Scoring &amp; Weights'!$C$10)</f>
        <v>1</v>
      </c>
      <c r="E56" s="79" t="n">
        <f aca="false">(('03 Feature Comparison'!F7="Yes")*'10 Scoring &amp; Weights'!$C$7+('03 Feature Comparison'!F7="Conditional")*'10 Scoring &amp; Weights'!$C$8+('03 Feature Comparison'!F7="Unknown")*'10 Scoring &amp; Weights'!$C$9+('03 Feature Comparison'!F7="No")*'10 Scoring &amp; Weights'!$C$10)</f>
        <v>0.25</v>
      </c>
      <c r="F56" s="79" t="n">
        <f aca="false">(('03 Feature Comparison'!F8="Yes")*'10 Scoring &amp; Weights'!$C$7+('03 Feature Comparison'!F8="Conditional")*'10 Scoring &amp; Weights'!$C$8+('03 Feature Comparison'!F8="Unknown")*'10 Scoring &amp; Weights'!$C$9+('03 Feature Comparison'!F8="No")*'10 Scoring &amp; Weights'!$C$10)</f>
        <v>0.25</v>
      </c>
      <c r="G56" s="79" t="n">
        <f aca="false">(('03 Feature Comparison'!F9="Yes")*'10 Scoring &amp; Weights'!$C$7+('03 Feature Comparison'!F9="Conditional")*'10 Scoring &amp; Weights'!$C$8+('03 Feature Comparison'!F9="Unknown")*'10 Scoring &amp; Weights'!$C$9+('03 Feature Comparison'!F9="No")*'10 Scoring &amp; Weights'!$C$10)</f>
        <v>1</v>
      </c>
      <c r="H56" s="79" t="n">
        <f aca="false">(('03 Feature Comparison'!F10="Yes")*'10 Scoring &amp; Weights'!$C$7+('03 Feature Comparison'!F10="Conditional")*'10 Scoring &amp; Weights'!$C$8+('03 Feature Comparison'!F10="Unknown")*'10 Scoring &amp; Weights'!$C$9+('03 Feature Comparison'!F10="No")*'10 Scoring &amp; Weights'!$C$10)</f>
        <v>1</v>
      </c>
      <c r="I56" s="79" t="n">
        <f aca="false">(('03 Feature Comparison'!F11="Yes")*'10 Scoring &amp; Weights'!$C$7+('03 Feature Comparison'!F11="Conditional")*'10 Scoring &amp; Weights'!$C$8+('03 Feature Comparison'!F11="Unknown")*'10 Scoring &amp; Weights'!$C$9+('03 Feature Comparison'!F11="No")*'10 Scoring &amp; Weights'!$C$10)</f>
        <v>1</v>
      </c>
      <c r="J56" s="79" t="n">
        <f aca="false">(('03 Feature Comparison'!F12="Yes")*'10 Scoring &amp; Weights'!$C$7+('03 Feature Comparison'!F12="Conditional")*'10 Scoring &amp; Weights'!$C$8+('03 Feature Comparison'!F12="Unknown")*'10 Scoring &amp; Weights'!$C$9+('03 Feature Comparison'!F12="No")*'10 Scoring &amp; Weights'!$C$10)</f>
        <v>1</v>
      </c>
      <c r="K56" s="79" t="n">
        <f aca="false">(('03 Feature Comparison'!F13="Yes")*'10 Scoring &amp; Weights'!$C$7+('03 Feature Comparison'!F13="Conditional")*'10 Scoring &amp; Weights'!$C$8+('03 Feature Comparison'!F13="Unknown")*'10 Scoring &amp; Weights'!$C$9+('03 Feature Comparison'!F13="No")*'10 Scoring &amp; Weights'!$C$10)</f>
        <v>1</v>
      </c>
      <c r="L56" s="79" t="n">
        <f aca="false">(('03 Feature Comparison'!F14="Yes")*'10 Scoring &amp; Weights'!$C$7+('03 Feature Comparison'!F14="Conditional")*'10 Scoring &amp; Weights'!$C$8+('03 Feature Comparison'!F14="Unknown")*'10 Scoring &amp; Weights'!$C$9+('03 Feature Comparison'!F14="No")*'10 Scoring &amp; Weights'!$C$10)</f>
        <v>0.25</v>
      </c>
      <c r="M56" s="79" t="n">
        <f aca="false">(('03 Feature Comparison'!F15="Yes")*'10 Scoring &amp; Weights'!$C$7+('03 Feature Comparison'!F15="Conditional")*'10 Scoring &amp; Weights'!$C$8+('03 Feature Comparison'!F15="Unknown")*'10 Scoring &amp; Weights'!$C$9+('03 Feature Comparison'!F15="No")*'10 Scoring &amp; Weights'!$C$10)</f>
        <v>1</v>
      </c>
      <c r="N56" s="79" t="n">
        <f aca="false">(('03 Feature Comparison'!F16="Yes")*'10 Scoring &amp; Weights'!$C$7+('03 Feature Comparison'!F16="Conditional")*'10 Scoring &amp; Weights'!$C$8+('03 Feature Comparison'!F16="Unknown")*'10 Scoring &amp; Weights'!$C$9+('03 Feature Comparison'!F16="No")*'10 Scoring &amp; Weights'!$C$10)</f>
        <v>1</v>
      </c>
      <c r="O56" s="79" t="n">
        <f aca="false">(('03 Feature Comparison'!F17="Yes")*'10 Scoring &amp; Weights'!$C$7+('03 Feature Comparison'!F17="Conditional")*'10 Scoring &amp; Weights'!$C$8+('03 Feature Comparison'!F17="Unknown")*'10 Scoring &amp; Weights'!$C$9+('03 Feature Comparison'!F17="No")*'10 Scoring &amp; Weights'!$C$10)</f>
        <v>1</v>
      </c>
      <c r="P56" s="79" t="n">
        <f aca="false">(('03 Feature Comparison'!F18="Yes")*'10 Scoring &amp; Weights'!$C$7+('03 Feature Comparison'!F18="Conditional")*'10 Scoring &amp; Weights'!$C$8+('03 Feature Comparison'!F18="Unknown")*'10 Scoring &amp; Weights'!$C$9+('03 Feature Comparison'!F18="No")*'10 Scoring &amp; Weights'!$C$10)</f>
        <v>1</v>
      </c>
    </row>
    <row r="57" customFormat="false" ht="15" hidden="false" customHeight="false" outlineLevel="0" collapsed="false">
      <c r="B57" s="42" t="s">
        <v>372</v>
      </c>
      <c r="C57" s="54" t="s">
        <v>420</v>
      </c>
      <c r="D57" s="79" t="n">
        <f aca="false">(('03 Feature Comparison'!G6="Yes")*'10 Scoring &amp; Weights'!$C$7+('03 Feature Comparison'!G6="Conditional")*'10 Scoring &amp; Weights'!$C$8+('03 Feature Comparison'!G6="Unknown")*'10 Scoring &amp; Weights'!$C$9+('03 Feature Comparison'!G6="No")*'10 Scoring &amp; Weights'!$C$10)</f>
        <v>1</v>
      </c>
      <c r="E57" s="79" t="n">
        <f aca="false">(('03 Feature Comparison'!G7="Yes")*'10 Scoring &amp; Weights'!$C$7+('03 Feature Comparison'!G7="Conditional")*'10 Scoring &amp; Weights'!$C$8+('03 Feature Comparison'!G7="Unknown")*'10 Scoring &amp; Weights'!$C$9+('03 Feature Comparison'!G7="No")*'10 Scoring &amp; Weights'!$C$10)</f>
        <v>0.25</v>
      </c>
      <c r="F57" s="79" t="n">
        <f aca="false">(('03 Feature Comparison'!G8="Yes")*'10 Scoring &amp; Weights'!$C$7+('03 Feature Comparison'!G8="Conditional")*'10 Scoring &amp; Weights'!$C$8+('03 Feature Comparison'!G8="Unknown")*'10 Scoring &amp; Weights'!$C$9+('03 Feature Comparison'!G8="No")*'10 Scoring &amp; Weights'!$C$10)</f>
        <v>0.25</v>
      </c>
      <c r="G57" s="79" t="n">
        <f aca="false">(('03 Feature Comparison'!G9="Yes")*'10 Scoring &amp; Weights'!$C$7+('03 Feature Comparison'!G9="Conditional")*'10 Scoring &amp; Weights'!$C$8+('03 Feature Comparison'!G9="Unknown")*'10 Scoring &amp; Weights'!$C$9+('03 Feature Comparison'!G9="No")*'10 Scoring &amp; Weights'!$C$10)</f>
        <v>1</v>
      </c>
      <c r="H57" s="79" t="n">
        <f aca="false">(('03 Feature Comparison'!G10="Yes")*'10 Scoring &amp; Weights'!$C$7+('03 Feature Comparison'!G10="Conditional")*'10 Scoring &amp; Weights'!$C$8+('03 Feature Comparison'!G10="Unknown")*'10 Scoring &amp; Weights'!$C$9+('03 Feature Comparison'!G10="No")*'10 Scoring &amp; Weights'!$C$10)</f>
        <v>1</v>
      </c>
      <c r="I57" s="79" t="n">
        <f aca="false">(('03 Feature Comparison'!G11="Yes")*'10 Scoring &amp; Weights'!$C$7+('03 Feature Comparison'!G11="Conditional")*'10 Scoring &amp; Weights'!$C$8+('03 Feature Comparison'!G11="Unknown")*'10 Scoring &amp; Weights'!$C$9+('03 Feature Comparison'!G11="No")*'10 Scoring &amp; Weights'!$C$10)</f>
        <v>0.25</v>
      </c>
      <c r="J57" s="79" t="n">
        <f aca="false">(('03 Feature Comparison'!G12="Yes")*'10 Scoring &amp; Weights'!$C$7+('03 Feature Comparison'!G12="Conditional")*'10 Scoring &amp; Weights'!$C$8+('03 Feature Comparison'!G12="Unknown")*'10 Scoring &amp; Weights'!$C$9+('03 Feature Comparison'!G12="No")*'10 Scoring &amp; Weights'!$C$10)</f>
        <v>0.25</v>
      </c>
      <c r="K57" s="79" t="n">
        <f aca="false">(('03 Feature Comparison'!G13="Yes")*'10 Scoring &amp; Weights'!$C$7+('03 Feature Comparison'!G13="Conditional")*'10 Scoring &amp; Weights'!$C$8+('03 Feature Comparison'!G13="Unknown")*'10 Scoring &amp; Weights'!$C$9+('03 Feature Comparison'!G13="No")*'10 Scoring &amp; Weights'!$C$10)</f>
        <v>1</v>
      </c>
      <c r="L57" s="79" t="n">
        <f aca="false">(('03 Feature Comparison'!G14="Yes")*'10 Scoring &amp; Weights'!$C$7+('03 Feature Comparison'!G14="Conditional")*'10 Scoring &amp; Weights'!$C$8+('03 Feature Comparison'!G14="Unknown")*'10 Scoring &amp; Weights'!$C$9+('03 Feature Comparison'!G14="No")*'10 Scoring &amp; Weights'!$C$10)</f>
        <v>0.25</v>
      </c>
      <c r="M57" s="79" t="n">
        <f aca="false">(('03 Feature Comparison'!G15="Yes")*'10 Scoring &amp; Weights'!$C$7+('03 Feature Comparison'!G15="Conditional")*'10 Scoring &amp; Weights'!$C$8+('03 Feature Comparison'!G15="Unknown")*'10 Scoring &amp; Weights'!$C$9+('03 Feature Comparison'!G15="No")*'10 Scoring &amp; Weights'!$C$10)</f>
        <v>1</v>
      </c>
      <c r="N57" s="79" t="n">
        <f aca="false">(('03 Feature Comparison'!G16="Yes")*'10 Scoring &amp; Weights'!$C$7+('03 Feature Comparison'!G16="Conditional")*'10 Scoring &amp; Weights'!$C$8+('03 Feature Comparison'!G16="Unknown")*'10 Scoring &amp; Weights'!$C$9+('03 Feature Comparison'!G16="No")*'10 Scoring &amp; Weights'!$C$10)</f>
        <v>0.25</v>
      </c>
      <c r="O57" s="79" t="n">
        <f aca="false">(('03 Feature Comparison'!G17="Yes")*'10 Scoring &amp; Weights'!$C$7+('03 Feature Comparison'!G17="Conditional")*'10 Scoring &amp; Weights'!$C$8+('03 Feature Comparison'!G17="Unknown")*'10 Scoring &amp; Weights'!$C$9+('03 Feature Comparison'!G17="No")*'10 Scoring &amp; Weights'!$C$10)</f>
        <v>0.25</v>
      </c>
      <c r="P57" s="79" t="n">
        <f aca="false">(('03 Feature Comparison'!G18="Yes")*'10 Scoring &amp; Weights'!$C$7+('03 Feature Comparison'!G18="Conditional")*'10 Scoring &amp; Weights'!$C$8+('03 Feature Comparison'!G18="Unknown")*'10 Scoring &amp; Weights'!$C$9+('03 Feature Comparison'!G18="No")*'10 Scoring &amp; Weights'!$C$10)</f>
        <v>0.25</v>
      </c>
    </row>
    <row r="58" customFormat="false" ht="15" hidden="false" customHeight="false" outlineLevel="0" collapsed="false">
      <c r="B58" s="42" t="s">
        <v>373</v>
      </c>
      <c r="C58" s="54" t="s">
        <v>422</v>
      </c>
      <c r="D58" s="79" t="n">
        <f aca="false">(('03 Feature Comparison'!H6="Yes")*'10 Scoring &amp; Weights'!$C$7+('03 Feature Comparison'!H6="Conditional")*'10 Scoring &amp; Weights'!$C$8+('03 Feature Comparison'!H6="Unknown")*'10 Scoring &amp; Weights'!$C$9+('03 Feature Comparison'!H6="No")*'10 Scoring &amp; Weights'!$C$10)</f>
        <v>1</v>
      </c>
      <c r="E58" s="79" t="n">
        <f aca="false">(('03 Feature Comparison'!H7="Yes")*'10 Scoring &amp; Weights'!$C$7+('03 Feature Comparison'!H7="Conditional")*'10 Scoring &amp; Weights'!$C$8+('03 Feature Comparison'!H7="Unknown")*'10 Scoring &amp; Weights'!$C$9+('03 Feature Comparison'!H7="No")*'10 Scoring &amp; Weights'!$C$10)</f>
        <v>0.25</v>
      </c>
      <c r="F58" s="79" t="n">
        <f aca="false">(('03 Feature Comparison'!H8="Yes")*'10 Scoring &amp; Weights'!$C$7+('03 Feature Comparison'!H8="Conditional")*'10 Scoring &amp; Weights'!$C$8+('03 Feature Comparison'!H8="Unknown")*'10 Scoring &amp; Weights'!$C$9+('03 Feature Comparison'!H8="No")*'10 Scoring &amp; Weights'!$C$10)</f>
        <v>0.25</v>
      </c>
      <c r="G58" s="79" t="n">
        <f aca="false">(('03 Feature Comparison'!H9="Yes")*'10 Scoring &amp; Weights'!$C$7+('03 Feature Comparison'!H9="Conditional")*'10 Scoring &amp; Weights'!$C$8+('03 Feature Comparison'!H9="Unknown")*'10 Scoring &amp; Weights'!$C$9+('03 Feature Comparison'!H9="No")*'10 Scoring &amp; Weights'!$C$10)</f>
        <v>1</v>
      </c>
      <c r="H58" s="79" t="n">
        <f aca="false">(('03 Feature Comparison'!H10="Yes")*'10 Scoring &amp; Weights'!$C$7+('03 Feature Comparison'!H10="Conditional")*'10 Scoring &amp; Weights'!$C$8+('03 Feature Comparison'!H10="Unknown")*'10 Scoring &amp; Weights'!$C$9+('03 Feature Comparison'!H10="No")*'10 Scoring &amp; Weights'!$C$10)</f>
        <v>0.25</v>
      </c>
      <c r="I58" s="79" t="n">
        <f aca="false">(('03 Feature Comparison'!H11="Yes")*'10 Scoring &amp; Weights'!$C$7+('03 Feature Comparison'!H11="Conditional")*'10 Scoring &amp; Weights'!$C$8+('03 Feature Comparison'!H11="Unknown")*'10 Scoring &amp; Weights'!$C$9+('03 Feature Comparison'!H11="No")*'10 Scoring &amp; Weights'!$C$10)</f>
        <v>1</v>
      </c>
      <c r="J58" s="79" t="n">
        <f aca="false">(('03 Feature Comparison'!H12="Yes")*'10 Scoring &amp; Weights'!$C$7+('03 Feature Comparison'!H12="Conditional")*'10 Scoring &amp; Weights'!$C$8+('03 Feature Comparison'!H12="Unknown")*'10 Scoring &amp; Weights'!$C$9+('03 Feature Comparison'!H12="No")*'10 Scoring &amp; Weights'!$C$10)</f>
        <v>0.25</v>
      </c>
      <c r="K58" s="79" t="n">
        <f aca="false">(('03 Feature Comparison'!H13="Yes")*'10 Scoring &amp; Weights'!$C$7+('03 Feature Comparison'!H13="Conditional")*'10 Scoring &amp; Weights'!$C$8+('03 Feature Comparison'!H13="Unknown")*'10 Scoring &amp; Weights'!$C$9+('03 Feature Comparison'!H13="No")*'10 Scoring &amp; Weights'!$C$10)</f>
        <v>1</v>
      </c>
      <c r="L58" s="79" t="n">
        <f aca="false">(('03 Feature Comparison'!H14="Yes")*'10 Scoring &amp; Weights'!$C$7+('03 Feature Comparison'!H14="Conditional")*'10 Scoring &amp; Weights'!$C$8+('03 Feature Comparison'!H14="Unknown")*'10 Scoring &amp; Weights'!$C$9+('03 Feature Comparison'!H14="No")*'10 Scoring &amp; Weights'!$C$10)</f>
        <v>0.25</v>
      </c>
      <c r="M58" s="79" t="n">
        <f aca="false">(('03 Feature Comparison'!H15="Yes")*'10 Scoring &amp; Weights'!$C$7+('03 Feature Comparison'!H15="Conditional")*'10 Scoring &amp; Weights'!$C$8+('03 Feature Comparison'!H15="Unknown")*'10 Scoring &amp; Weights'!$C$9+('03 Feature Comparison'!H15="No")*'10 Scoring &amp; Weights'!$C$10)</f>
        <v>0.25</v>
      </c>
      <c r="N58" s="79" t="n">
        <f aca="false">(('03 Feature Comparison'!H16="Yes")*'10 Scoring &amp; Weights'!$C$7+('03 Feature Comparison'!H16="Conditional")*'10 Scoring &amp; Weights'!$C$8+('03 Feature Comparison'!H16="Unknown")*'10 Scoring &amp; Weights'!$C$9+('03 Feature Comparison'!H16="No")*'10 Scoring &amp; Weights'!$C$10)</f>
        <v>0.25</v>
      </c>
      <c r="O58" s="79" t="n">
        <f aca="false">(('03 Feature Comparison'!H17="Yes")*'10 Scoring &amp; Weights'!$C$7+('03 Feature Comparison'!H17="Conditional")*'10 Scoring &amp; Weights'!$C$8+('03 Feature Comparison'!H17="Unknown")*'10 Scoring &amp; Weights'!$C$9+('03 Feature Comparison'!H17="No")*'10 Scoring &amp; Weights'!$C$10)</f>
        <v>0.25</v>
      </c>
      <c r="P58" s="79" t="n">
        <f aca="false">(('03 Feature Comparison'!H18="Yes")*'10 Scoring &amp; Weights'!$C$7+('03 Feature Comparison'!H18="Conditional")*'10 Scoring &amp; Weights'!$C$8+('03 Feature Comparison'!H18="Unknown")*'10 Scoring &amp; Weights'!$C$9+('03 Feature Comparison'!H18="No")*'10 Scoring &amp; Weights'!$C$10)</f>
        <v>0.25</v>
      </c>
    </row>
    <row r="59" customFormat="false" ht="15" hidden="false" customHeight="false" outlineLevel="0" collapsed="false">
      <c r="B59" s="42" t="s">
        <v>374</v>
      </c>
      <c r="C59" s="54" t="s">
        <v>424</v>
      </c>
      <c r="D59" s="79" t="n">
        <f aca="false">(('03 Feature Comparison'!I6="Yes")*'10 Scoring &amp; Weights'!$C$7+('03 Feature Comparison'!I6="Conditional")*'10 Scoring &amp; Weights'!$C$8+('03 Feature Comparison'!I6="Unknown")*'10 Scoring &amp; Weights'!$C$9+('03 Feature Comparison'!I6="No")*'10 Scoring &amp; Weights'!$C$10)</f>
        <v>1</v>
      </c>
      <c r="E59" s="79" t="n">
        <f aca="false">(('03 Feature Comparison'!I7="Yes")*'10 Scoring &amp; Weights'!$C$7+('03 Feature Comparison'!I7="Conditional")*'10 Scoring &amp; Weights'!$C$8+('03 Feature Comparison'!I7="Unknown")*'10 Scoring &amp; Weights'!$C$9+('03 Feature Comparison'!I7="No")*'10 Scoring &amp; Weights'!$C$10)</f>
        <v>0.25</v>
      </c>
      <c r="F59" s="79" t="n">
        <f aca="false">(('03 Feature Comparison'!I8="Yes")*'10 Scoring &amp; Weights'!$C$7+('03 Feature Comparison'!I8="Conditional")*'10 Scoring &amp; Weights'!$C$8+('03 Feature Comparison'!I8="Unknown")*'10 Scoring &amp; Weights'!$C$9+('03 Feature Comparison'!I8="No")*'10 Scoring &amp; Weights'!$C$10)</f>
        <v>0.25</v>
      </c>
      <c r="G59" s="79" t="n">
        <f aca="false">(('03 Feature Comparison'!I9="Yes")*'10 Scoring &amp; Weights'!$C$7+('03 Feature Comparison'!I9="Conditional")*'10 Scoring &amp; Weights'!$C$8+('03 Feature Comparison'!I9="Unknown")*'10 Scoring &amp; Weights'!$C$9+('03 Feature Comparison'!I9="No")*'10 Scoring &amp; Weights'!$C$10)</f>
        <v>1</v>
      </c>
      <c r="H59" s="79" t="n">
        <f aca="false">(('03 Feature Comparison'!I10="Yes")*'10 Scoring &amp; Weights'!$C$7+('03 Feature Comparison'!I10="Conditional")*'10 Scoring &amp; Weights'!$C$8+('03 Feature Comparison'!I10="Unknown")*'10 Scoring &amp; Weights'!$C$9+('03 Feature Comparison'!I10="No")*'10 Scoring &amp; Weights'!$C$10)</f>
        <v>1</v>
      </c>
      <c r="I59" s="79" t="n">
        <f aca="false">(('03 Feature Comparison'!I11="Yes")*'10 Scoring &amp; Weights'!$C$7+('03 Feature Comparison'!I11="Conditional")*'10 Scoring &amp; Weights'!$C$8+('03 Feature Comparison'!I11="Unknown")*'10 Scoring &amp; Weights'!$C$9+('03 Feature Comparison'!I11="No")*'10 Scoring &amp; Weights'!$C$10)</f>
        <v>1</v>
      </c>
      <c r="J59" s="79" t="n">
        <f aca="false">(('03 Feature Comparison'!I12="Yes")*'10 Scoring &amp; Weights'!$C$7+('03 Feature Comparison'!I12="Conditional")*'10 Scoring &amp; Weights'!$C$8+('03 Feature Comparison'!I12="Unknown")*'10 Scoring &amp; Weights'!$C$9+('03 Feature Comparison'!I12="No")*'10 Scoring &amp; Weights'!$C$10)</f>
        <v>1</v>
      </c>
      <c r="K59" s="79" t="n">
        <f aca="false">(('03 Feature Comparison'!I13="Yes")*'10 Scoring &amp; Weights'!$C$7+('03 Feature Comparison'!I13="Conditional")*'10 Scoring &amp; Weights'!$C$8+('03 Feature Comparison'!I13="Unknown")*'10 Scoring &amp; Weights'!$C$9+('03 Feature Comparison'!I13="No")*'10 Scoring &amp; Weights'!$C$10)</f>
        <v>0.25</v>
      </c>
      <c r="L59" s="79" t="n">
        <f aca="false">(('03 Feature Comparison'!I14="Yes")*'10 Scoring &amp; Weights'!$C$7+('03 Feature Comparison'!I14="Conditional")*'10 Scoring &amp; Weights'!$C$8+('03 Feature Comparison'!I14="Unknown")*'10 Scoring &amp; Weights'!$C$9+('03 Feature Comparison'!I14="No")*'10 Scoring &amp; Weights'!$C$10)</f>
        <v>0.25</v>
      </c>
      <c r="M59" s="79" t="n">
        <f aca="false">(('03 Feature Comparison'!I15="Yes")*'10 Scoring &amp; Weights'!$C$7+('03 Feature Comparison'!I15="Conditional")*'10 Scoring &amp; Weights'!$C$8+('03 Feature Comparison'!I15="Unknown")*'10 Scoring &amp; Weights'!$C$9+('03 Feature Comparison'!I15="No")*'10 Scoring &amp; Weights'!$C$10)</f>
        <v>1</v>
      </c>
      <c r="N59" s="79" t="n">
        <f aca="false">(('03 Feature Comparison'!I16="Yes")*'10 Scoring &amp; Weights'!$C$7+('03 Feature Comparison'!I16="Conditional")*'10 Scoring &amp; Weights'!$C$8+('03 Feature Comparison'!I16="Unknown")*'10 Scoring &amp; Weights'!$C$9+('03 Feature Comparison'!I16="No")*'10 Scoring &amp; Weights'!$C$10)</f>
        <v>0.25</v>
      </c>
      <c r="O59" s="79" t="n">
        <f aca="false">(('03 Feature Comparison'!I17="Yes")*'10 Scoring &amp; Weights'!$C$7+('03 Feature Comparison'!I17="Conditional")*'10 Scoring &amp; Weights'!$C$8+('03 Feature Comparison'!I17="Unknown")*'10 Scoring &amp; Weights'!$C$9+('03 Feature Comparison'!I17="No")*'10 Scoring &amp; Weights'!$C$10)</f>
        <v>0.25</v>
      </c>
      <c r="P59" s="79" t="n">
        <f aca="false">(('03 Feature Comparison'!I18="Yes")*'10 Scoring &amp; Weights'!$C$7+('03 Feature Comparison'!I18="Conditional")*'10 Scoring &amp; Weights'!$C$8+('03 Feature Comparison'!I18="Unknown")*'10 Scoring &amp; Weights'!$C$9+('03 Feature Comparison'!I18="No")*'10 Scoring &amp; Weights'!$C$10)</f>
        <v>1</v>
      </c>
    </row>
    <row r="60" customFormat="false" ht="15" hidden="false" customHeight="false" outlineLevel="0" collapsed="false">
      <c r="B60" s="42" t="s">
        <v>375</v>
      </c>
      <c r="C60" s="54" t="s">
        <v>426</v>
      </c>
      <c r="D60" s="79" t="n">
        <f aca="false">(('03 Feature Comparison'!J6="Yes")*'10 Scoring &amp; Weights'!$C$7+('03 Feature Comparison'!J6="Conditional")*'10 Scoring &amp; Weights'!$C$8+('03 Feature Comparison'!J6="Unknown")*'10 Scoring &amp; Weights'!$C$9+('03 Feature Comparison'!J6="No")*'10 Scoring &amp; Weights'!$C$10)</f>
        <v>0.25</v>
      </c>
      <c r="E60" s="79" t="n">
        <f aca="false">(('03 Feature Comparison'!J7="Yes")*'10 Scoring &amp; Weights'!$C$7+('03 Feature Comparison'!J7="Conditional")*'10 Scoring &amp; Weights'!$C$8+('03 Feature Comparison'!J7="Unknown")*'10 Scoring &amp; Weights'!$C$9+('03 Feature Comparison'!J7="No")*'10 Scoring &amp; Weights'!$C$10)</f>
        <v>0.25</v>
      </c>
      <c r="F60" s="79" t="n">
        <f aca="false">(('03 Feature Comparison'!J8="Yes")*'10 Scoring &amp; Weights'!$C$7+('03 Feature Comparison'!J8="Conditional")*'10 Scoring &amp; Weights'!$C$8+('03 Feature Comparison'!J8="Unknown")*'10 Scoring &amp; Weights'!$C$9+('03 Feature Comparison'!J8="No")*'10 Scoring &amp; Weights'!$C$10)</f>
        <v>0.25</v>
      </c>
      <c r="G60" s="79" t="n">
        <f aca="false">(('03 Feature Comparison'!J9="Yes")*'10 Scoring &amp; Weights'!$C$7+('03 Feature Comparison'!J9="Conditional")*'10 Scoring &amp; Weights'!$C$8+('03 Feature Comparison'!J9="Unknown")*'10 Scoring &amp; Weights'!$C$9+('03 Feature Comparison'!J9="No")*'10 Scoring &amp; Weights'!$C$10)</f>
        <v>0.5</v>
      </c>
      <c r="H60" s="79" t="n">
        <f aca="false">(('03 Feature Comparison'!J10="Yes")*'10 Scoring &amp; Weights'!$C$7+('03 Feature Comparison'!J10="Conditional")*'10 Scoring &amp; Weights'!$C$8+('03 Feature Comparison'!J10="Unknown")*'10 Scoring &amp; Weights'!$C$9+('03 Feature Comparison'!J10="No")*'10 Scoring &amp; Weights'!$C$10)</f>
        <v>0.5</v>
      </c>
      <c r="I60" s="79" t="n">
        <f aca="false">(('03 Feature Comparison'!J11="Yes")*'10 Scoring &amp; Weights'!$C$7+('03 Feature Comparison'!J11="Conditional")*'10 Scoring &amp; Weights'!$C$8+('03 Feature Comparison'!J11="Unknown")*'10 Scoring &amp; Weights'!$C$9+('03 Feature Comparison'!J11="No")*'10 Scoring &amp; Weights'!$C$10)</f>
        <v>1</v>
      </c>
      <c r="J60" s="79" t="n">
        <f aca="false">(('03 Feature Comparison'!J12="Yes")*'10 Scoring &amp; Weights'!$C$7+('03 Feature Comparison'!J12="Conditional")*'10 Scoring &amp; Weights'!$C$8+('03 Feature Comparison'!J12="Unknown")*'10 Scoring &amp; Weights'!$C$9+('03 Feature Comparison'!J12="No")*'10 Scoring &amp; Weights'!$C$10)</f>
        <v>1</v>
      </c>
      <c r="K60" s="79" t="n">
        <f aca="false">(('03 Feature Comparison'!J13="Yes")*'10 Scoring &amp; Weights'!$C$7+('03 Feature Comparison'!J13="Conditional")*'10 Scoring &amp; Weights'!$C$8+('03 Feature Comparison'!J13="Unknown")*'10 Scoring &amp; Weights'!$C$9+('03 Feature Comparison'!J13="No")*'10 Scoring &amp; Weights'!$C$10)</f>
        <v>0.25</v>
      </c>
      <c r="L60" s="79" t="n">
        <f aca="false">(('03 Feature Comparison'!J14="Yes")*'10 Scoring &amp; Weights'!$C$7+('03 Feature Comparison'!J14="Conditional")*'10 Scoring &amp; Weights'!$C$8+('03 Feature Comparison'!J14="Unknown")*'10 Scoring &amp; Weights'!$C$9+('03 Feature Comparison'!J14="No")*'10 Scoring &amp; Weights'!$C$10)</f>
        <v>1</v>
      </c>
      <c r="M60" s="79" t="n">
        <f aca="false">(('03 Feature Comparison'!J15="Yes")*'10 Scoring &amp; Weights'!$C$7+('03 Feature Comparison'!J15="Conditional")*'10 Scoring &amp; Weights'!$C$8+('03 Feature Comparison'!J15="Unknown")*'10 Scoring &amp; Weights'!$C$9+('03 Feature Comparison'!J15="No")*'10 Scoring &amp; Weights'!$C$10)</f>
        <v>0.5</v>
      </c>
      <c r="N60" s="79" t="n">
        <f aca="false">(('03 Feature Comparison'!J16="Yes")*'10 Scoring &amp; Weights'!$C$7+('03 Feature Comparison'!J16="Conditional")*'10 Scoring &amp; Weights'!$C$8+('03 Feature Comparison'!J16="Unknown")*'10 Scoring &amp; Weights'!$C$9+('03 Feature Comparison'!J16="No")*'10 Scoring &amp; Weights'!$C$10)</f>
        <v>0.25</v>
      </c>
      <c r="O60" s="79" t="n">
        <f aca="false">(('03 Feature Comparison'!J17="Yes")*'10 Scoring &amp; Weights'!$C$7+('03 Feature Comparison'!J17="Conditional")*'10 Scoring &amp; Weights'!$C$8+('03 Feature Comparison'!J17="Unknown")*'10 Scoring &amp; Weights'!$C$9+('03 Feature Comparison'!J17="No")*'10 Scoring &amp; Weights'!$C$10)</f>
        <v>0.5</v>
      </c>
      <c r="P60" s="79" t="n">
        <f aca="false">(('03 Feature Comparison'!J18="Yes")*'10 Scoring &amp; Weights'!$C$7+('03 Feature Comparison'!J18="Conditional")*'10 Scoring &amp; Weights'!$C$8+('03 Feature Comparison'!J18="Unknown")*'10 Scoring &amp; Weights'!$C$9+('03 Feature Comparison'!J18="No")*'10 Scoring &amp; Weights'!$C$10)</f>
        <v>0.5</v>
      </c>
    </row>
    <row r="61" customFormat="false" ht="15" hidden="false" customHeight="false" outlineLevel="0" collapsed="false">
      <c r="B61" s="42" t="s">
        <v>376</v>
      </c>
      <c r="C61" s="54" t="s">
        <v>428</v>
      </c>
      <c r="D61" s="79" t="n">
        <f aca="false">(('03 Feature Comparison'!K6="Yes")*'10 Scoring &amp; Weights'!$C$7+('03 Feature Comparison'!K6="Conditional")*'10 Scoring &amp; Weights'!$C$8+('03 Feature Comparison'!K6="Unknown")*'10 Scoring &amp; Weights'!$C$9+('03 Feature Comparison'!K6="No")*'10 Scoring &amp; Weights'!$C$10)</f>
        <v>1</v>
      </c>
      <c r="E61" s="79" t="n">
        <f aca="false">(('03 Feature Comparison'!K7="Yes")*'10 Scoring &amp; Weights'!$C$7+('03 Feature Comparison'!K7="Conditional")*'10 Scoring &amp; Weights'!$C$8+('03 Feature Comparison'!K7="Unknown")*'10 Scoring &amp; Weights'!$C$9+('03 Feature Comparison'!K7="No")*'10 Scoring &amp; Weights'!$C$10)</f>
        <v>0.25</v>
      </c>
      <c r="F61" s="79" t="n">
        <f aca="false">(('03 Feature Comparison'!K8="Yes")*'10 Scoring &amp; Weights'!$C$7+('03 Feature Comparison'!K8="Conditional")*'10 Scoring &amp; Weights'!$C$8+('03 Feature Comparison'!K8="Unknown")*'10 Scoring &amp; Weights'!$C$9+('03 Feature Comparison'!K8="No")*'10 Scoring &amp; Weights'!$C$10)</f>
        <v>0.25</v>
      </c>
      <c r="G61" s="79" t="n">
        <f aca="false">(('03 Feature Comparison'!K9="Yes")*'10 Scoring &amp; Weights'!$C$7+('03 Feature Comparison'!K9="Conditional")*'10 Scoring &amp; Weights'!$C$8+('03 Feature Comparison'!K9="Unknown")*'10 Scoring &amp; Weights'!$C$9+('03 Feature Comparison'!K9="No")*'10 Scoring &amp; Weights'!$C$10)</f>
        <v>1</v>
      </c>
      <c r="H61" s="79" t="n">
        <f aca="false">(('03 Feature Comparison'!K10="Yes")*'10 Scoring &amp; Weights'!$C$7+('03 Feature Comparison'!K10="Conditional")*'10 Scoring &amp; Weights'!$C$8+('03 Feature Comparison'!K10="Unknown")*'10 Scoring &amp; Weights'!$C$9+('03 Feature Comparison'!K10="No")*'10 Scoring &amp; Weights'!$C$10)</f>
        <v>1</v>
      </c>
      <c r="I61" s="79" t="n">
        <f aca="false">(('03 Feature Comparison'!K11="Yes")*'10 Scoring &amp; Weights'!$C$7+('03 Feature Comparison'!K11="Conditional")*'10 Scoring &amp; Weights'!$C$8+('03 Feature Comparison'!K11="Unknown")*'10 Scoring &amp; Weights'!$C$9+('03 Feature Comparison'!K11="No")*'10 Scoring &amp; Weights'!$C$10)</f>
        <v>0.25</v>
      </c>
      <c r="J61" s="79" t="n">
        <f aca="false">(('03 Feature Comparison'!K12="Yes")*'10 Scoring &amp; Weights'!$C$7+('03 Feature Comparison'!K12="Conditional")*'10 Scoring &amp; Weights'!$C$8+('03 Feature Comparison'!K12="Unknown")*'10 Scoring &amp; Weights'!$C$9+('03 Feature Comparison'!K12="No")*'10 Scoring &amp; Weights'!$C$10)</f>
        <v>0.25</v>
      </c>
      <c r="K61" s="79" t="n">
        <f aca="false">(('03 Feature Comparison'!K13="Yes")*'10 Scoring &amp; Weights'!$C$7+('03 Feature Comparison'!K13="Conditional")*'10 Scoring &amp; Weights'!$C$8+('03 Feature Comparison'!K13="Unknown")*'10 Scoring &amp; Weights'!$C$9+('03 Feature Comparison'!K13="No")*'10 Scoring &amp; Weights'!$C$10)</f>
        <v>0.25</v>
      </c>
      <c r="L61" s="79" t="n">
        <f aca="false">(('03 Feature Comparison'!K14="Yes")*'10 Scoring &amp; Weights'!$C$7+('03 Feature Comparison'!K14="Conditional")*'10 Scoring &amp; Weights'!$C$8+('03 Feature Comparison'!K14="Unknown")*'10 Scoring &amp; Weights'!$C$9+('03 Feature Comparison'!K14="No")*'10 Scoring &amp; Weights'!$C$10)</f>
        <v>0.25</v>
      </c>
      <c r="M61" s="79" t="n">
        <f aca="false">(('03 Feature Comparison'!K15="Yes")*'10 Scoring &amp; Weights'!$C$7+('03 Feature Comparison'!K15="Conditional")*'10 Scoring &amp; Weights'!$C$8+('03 Feature Comparison'!K15="Unknown")*'10 Scoring &amp; Weights'!$C$9+('03 Feature Comparison'!K15="No")*'10 Scoring &amp; Weights'!$C$10)</f>
        <v>0.25</v>
      </c>
      <c r="N61" s="79" t="n">
        <f aca="false">(('03 Feature Comparison'!K16="Yes")*'10 Scoring &amp; Weights'!$C$7+('03 Feature Comparison'!K16="Conditional")*'10 Scoring &amp; Weights'!$C$8+('03 Feature Comparison'!K16="Unknown")*'10 Scoring &amp; Weights'!$C$9+('03 Feature Comparison'!K16="No")*'10 Scoring &amp; Weights'!$C$10)</f>
        <v>1</v>
      </c>
      <c r="O61" s="79" t="n">
        <f aca="false">(('03 Feature Comparison'!K17="Yes")*'10 Scoring &amp; Weights'!$C$7+('03 Feature Comparison'!K17="Conditional")*'10 Scoring &amp; Weights'!$C$8+('03 Feature Comparison'!K17="Unknown")*'10 Scoring &amp; Weights'!$C$9+('03 Feature Comparison'!K17="No")*'10 Scoring &amp; Weights'!$C$10)</f>
        <v>0.25</v>
      </c>
      <c r="P61" s="79" t="n">
        <f aca="false">(('03 Feature Comparison'!K18="Yes")*'10 Scoring &amp; Weights'!$C$7+('03 Feature Comparison'!K18="Conditional")*'10 Scoring &amp; Weights'!$C$8+('03 Feature Comparison'!K18="Unknown")*'10 Scoring &amp; Weights'!$C$9+('03 Feature Comparison'!K18="No")*'10 Scoring &amp; Weights'!$C$10)</f>
        <v>1</v>
      </c>
    </row>
    <row r="62" customFormat="false" ht="15" hidden="false" customHeight="false" outlineLevel="0" collapsed="false">
      <c r="B62" s="42" t="s">
        <v>377</v>
      </c>
      <c r="C62" s="54" t="s">
        <v>430</v>
      </c>
      <c r="D62" s="79" t="n">
        <f aca="false">(('03 Feature Comparison'!L6="Yes")*'10 Scoring &amp; Weights'!$C$7+('03 Feature Comparison'!L6="Conditional")*'10 Scoring &amp; Weights'!$C$8+('03 Feature Comparison'!L6="Unknown")*'10 Scoring &amp; Weights'!$C$9+('03 Feature Comparison'!L6="No")*'10 Scoring &amp; Weights'!$C$10)</f>
        <v>1</v>
      </c>
      <c r="E62" s="79" t="n">
        <f aca="false">(('03 Feature Comparison'!L7="Yes")*'10 Scoring &amp; Weights'!$C$7+('03 Feature Comparison'!L7="Conditional")*'10 Scoring &amp; Weights'!$C$8+('03 Feature Comparison'!L7="Unknown")*'10 Scoring &amp; Weights'!$C$9+('03 Feature Comparison'!L7="No")*'10 Scoring &amp; Weights'!$C$10)</f>
        <v>0.25</v>
      </c>
      <c r="F62" s="79" t="n">
        <f aca="false">(('03 Feature Comparison'!L8="Yes")*'10 Scoring &amp; Weights'!$C$7+('03 Feature Comparison'!L8="Conditional")*'10 Scoring &amp; Weights'!$C$8+('03 Feature Comparison'!L8="Unknown")*'10 Scoring &amp; Weights'!$C$9+('03 Feature Comparison'!L8="No")*'10 Scoring &amp; Weights'!$C$10)</f>
        <v>0.25</v>
      </c>
      <c r="G62" s="79" t="n">
        <f aca="false">(('03 Feature Comparison'!L9="Yes")*'10 Scoring &amp; Weights'!$C$7+('03 Feature Comparison'!L9="Conditional")*'10 Scoring &amp; Weights'!$C$8+('03 Feature Comparison'!L9="Unknown")*'10 Scoring &amp; Weights'!$C$9+('03 Feature Comparison'!L9="No")*'10 Scoring &amp; Weights'!$C$10)</f>
        <v>1</v>
      </c>
      <c r="H62" s="79" t="n">
        <f aca="false">(('03 Feature Comparison'!L10="Yes")*'10 Scoring &amp; Weights'!$C$7+('03 Feature Comparison'!L10="Conditional")*'10 Scoring &amp; Weights'!$C$8+('03 Feature Comparison'!L10="Unknown")*'10 Scoring &amp; Weights'!$C$9+('03 Feature Comparison'!L10="No")*'10 Scoring &amp; Weights'!$C$10)</f>
        <v>1</v>
      </c>
      <c r="I62" s="79" t="n">
        <f aca="false">(('03 Feature Comparison'!L11="Yes")*'10 Scoring &amp; Weights'!$C$7+('03 Feature Comparison'!L11="Conditional")*'10 Scoring &amp; Weights'!$C$8+('03 Feature Comparison'!L11="Unknown")*'10 Scoring &amp; Weights'!$C$9+('03 Feature Comparison'!L11="No")*'10 Scoring &amp; Weights'!$C$10)</f>
        <v>1</v>
      </c>
      <c r="J62" s="79" t="n">
        <f aca="false">(('03 Feature Comparison'!L12="Yes")*'10 Scoring &amp; Weights'!$C$7+('03 Feature Comparison'!L12="Conditional")*'10 Scoring &amp; Weights'!$C$8+('03 Feature Comparison'!L12="Unknown")*'10 Scoring &amp; Weights'!$C$9+('03 Feature Comparison'!L12="No")*'10 Scoring &amp; Weights'!$C$10)</f>
        <v>1</v>
      </c>
      <c r="K62" s="79" t="n">
        <f aca="false">(('03 Feature Comparison'!L13="Yes")*'10 Scoring &amp; Weights'!$C$7+('03 Feature Comparison'!L13="Conditional")*'10 Scoring &amp; Weights'!$C$8+('03 Feature Comparison'!L13="Unknown")*'10 Scoring &amp; Weights'!$C$9+('03 Feature Comparison'!L13="No")*'10 Scoring &amp; Weights'!$C$10)</f>
        <v>0.25</v>
      </c>
      <c r="L62" s="79" t="n">
        <f aca="false">(('03 Feature Comparison'!L14="Yes")*'10 Scoring &amp; Weights'!$C$7+('03 Feature Comparison'!L14="Conditional")*'10 Scoring &amp; Weights'!$C$8+('03 Feature Comparison'!L14="Unknown")*'10 Scoring &amp; Weights'!$C$9+('03 Feature Comparison'!L14="No")*'10 Scoring &amp; Weights'!$C$10)</f>
        <v>0.25</v>
      </c>
      <c r="M62" s="79" t="n">
        <f aca="false">(('03 Feature Comparison'!L15="Yes")*'10 Scoring &amp; Weights'!$C$7+('03 Feature Comparison'!L15="Conditional")*'10 Scoring &amp; Weights'!$C$8+('03 Feature Comparison'!L15="Unknown")*'10 Scoring &amp; Weights'!$C$9+('03 Feature Comparison'!L15="No")*'10 Scoring &amp; Weights'!$C$10)</f>
        <v>1</v>
      </c>
      <c r="N62" s="79" t="n">
        <f aca="false">(('03 Feature Comparison'!L16="Yes")*'10 Scoring &amp; Weights'!$C$7+('03 Feature Comparison'!L16="Conditional")*'10 Scoring &amp; Weights'!$C$8+('03 Feature Comparison'!L16="Unknown")*'10 Scoring &amp; Weights'!$C$9+('03 Feature Comparison'!L16="No")*'10 Scoring &amp; Weights'!$C$10)</f>
        <v>1</v>
      </c>
      <c r="O62" s="79" t="n">
        <f aca="false">(('03 Feature Comparison'!L17="Yes")*'10 Scoring &amp; Weights'!$C$7+('03 Feature Comparison'!L17="Conditional")*'10 Scoring &amp; Weights'!$C$8+('03 Feature Comparison'!L17="Unknown")*'10 Scoring &amp; Weights'!$C$9+('03 Feature Comparison'!L17="No")*'10 Scoring &amp; Weights'!$C$10)</f>
        <v>0.25</v>
      </c>
      <c r="P62" s="79" t="n">
        <f aca="false">(('03 Feature Comparison'!L18="Yes")*'10 Scoring &amp; Weights'!$C$7+('03 Feature Comparison'!L18="Conditional")*'10 Scoring &amp; Weights'!$C$8+('03 Feature Comparison'!L18="Unknown")*'10 Scoring &amp; Weights'!$C$9+('03 Feature Comparison'!L18="No")*'10 Scoring &amp; Weights'!$C$10)</f>
        <v>0.25</v>
      </c>
    </row>
    <row r="63" customFormat="false" ht="15" hidden="false" customHeight="false" outlineLevel="0" collapsed="false">
      <c r="B63" s="42" t="s">
        <v>378</v>
      </c>
      <c r="C63" s="54" t="s">
        <v>432</v>
      </c>
      <c r="D63" s="79" t="n">
        <f aca="false">(('03 Feature Comparison'!M6="Yes")*'10 Scoring &amp; Weights'!$C$7+('03 Feature Comparison'!M6="Conditional")*'10 Scoring &amp; Weights'!$C$8+('03 Feature Comparison'!M6="Unknown")*'10 Scoring &amp; Weights'!$C$9+('03 Feature Comparison'!M6="No")*'10 Scoring &amp; Weights'!$C$10)</f>
        <v>1</v>
      </c>
      <c r="E63" s="79" t="n">
        <f aca="false">(('03 Feature Comparison'!M7="Yes")*'10 Scoring &amp; Weights'!$C$7+('03 Feature Comparison'!M7="Conditional")*'10 Scoring &amp; Weights'!$C$8+('03 Feature Comparison'!M7="Unknown")*'10 Scoring &amp; Weights'!$C$9+('03 Feature Comparison'!M7="No")*'10 Scoring &amp; Weights'!$C$10)</f>
        <v>0.25</v>
      </c>
      <c r="F63" s="79" t="n">
        <f aca="false">(('03 Feature Comparison'!M8="Yes")*'10 Scoring &amp; Weights'!$C$7+('03 Feature Comparison'!M8="Conditional")*'10 Scoring &amp; Weights'!$C$8+('03 Feature Comparison'!M8="Unknown")*'10 Scoring &amp; Weights'!$C$9+('03 Feature Comparison'!M8="No")*'10 Scoring &amp; Weights'!$C$10)</f>
        <v>0.25</v>
      </c>
      <c r="G63" s="79" t="n">
        <f aca="false">(('03 Feature Comparison'!M9="Yes")*'10 Scoring &amp; Weights'!$C$7+('03 Feature Comparison'!M9="Conditional")*'10 Scoring &amp; Weights'!$C$8+('03 Feature Comparison'!M9="Unknown")*'10 Scoring &amp; Weights'!$C$9+('03 Feature Comparison'!M9="No")*'10 Scoring &amp; Weights'!$C$10)</f>
        <v>1</v>
      </c>
      <c r="H63" s="79" t="n">
        <f aca="false">(('03 Feature Comparison'!M10="Yes")*'10 Scoring &amp; Weights'!$C$7+('03 Feature Comparison'!M10="Conditional")*'10 Scoring &amp; Weights'!$C$8+('03 Feature Comparison'!M10="Unknown")*'10 Scoring &amp; Weights'!$C$9+('03 Feature Comparison'!M10="No")*'10 Scoring &amp; Weights'!$C$10)</f>
        <v>1</v>
      </c>
      <c r="I63" s="79" t="n">
        <f aca="false">(('03 Feature Comparison'!M11="Yes")*'10 Scoring &amp; Weights'!$C$7+('03 Feature Comparison'!M11="Conditional")*'10 Scoring &amp; Weights'!$C$8+('03 Feature Comparison'!M11="Unknown")*'10 Scoring &amp; Weights'!$C$9+('03 Feature Comparison'!M11="No")*'10 Scoring &amp; Weights'!$C$10)</f>
        <v>1</v>
      </c>
      <c r="J63" s="79" t="n">
        <f aca="false">(('03 Feature Comparison'!M12="Yes")*'10 Scoring &amp; Weights'!$C$7+('03 Feature Comparison'!M12="Conditional")*'10 Scoring &amp; Weights'!$C$8+('03 Feature Comparison'!M12="Unknown")*'10 Scoring &amp; Weights'!$C$9+('03 Feature Comparison'!M12="No")*'10 Scoring &amp; Weights'!$C$10)</f>
        <v>1</v>
      </c>
      <c r="K63" s="79" t="n">
        <f aca="false">(('03 Feature Comparison'!M13="Yes")*'10 Scoring &amp; Weights'!$C$7+('03 Feature Comparison'!M13="Conditional")*'10 Scoring &amp; Weights'!$C$8+('03 Feature Comparison'!M13="Unknown")*'10 Scoring &amp; Weights'!$C$9+('03 Feature Comparison'!M13="No")*'10 Scoring &amp; Weights'!$C$10)</f>
        <v>0.25</v>
      </c>
      <c r="L63" s="79" t="n">
        <f aca="false">(('03 Feature Comparison'!M14="Yes")*'10 Scoring &amp; Weights'!$C$7+('03 Feature Comparison'!M14="Conditional")*'10 Scoring &amp; Weights'!$C$8+('03 Feature Comparison'!M14="Unknown")*'10 Scoring &amp; Weights'!$C$9+('03 Feature Comparison'!M14="No")*'10 Scoring &amp; Weights'!$C$10)</f>
        <v>0.25</v>
      </c>
      <c r="M63" s="79" t="n">
        <f aca="false">(('03 Feature Comparison'!M15="Yes")*'10 Scoring &amp; Weights'!$C$7+('03 Feature Comparison'!M15="Conditional")*'10 Scoring &amp; Weights'!$C$8+('03 Feature Comparison'!M15="Unknown")*'10 Scoring &amp; Weights'!$C$9+('03 Feature Comparison'!M15="No")*'10 Scoring &amp; Weights'!$C$10)</f>
        <v>0.25</v>
      </c>
      <c r="N63" s="79" t="n">
        <f aca="false">(('03 Feature Comparison'!M16="Yes")*'10 Scoring &amp; Weights'!$C$7+('03 Feature Comparison'!M16="Conditional")*'10 Scoring &amp; Weights'!$C$8+('03 Feature Comparison'!M16="Unknown")*'10 Scoring &amp; Weights'!$C$9+('03 Feature Comparison'!M16="No")*'10 Scoring &amp; Weights'!$C$10)</f>
        <v>0.25</v>
      </c>
      <c r="O63" s="79" t="n">
        <f aca="false">(('03 Feature Comparison'!M17="Yes")*'10 Scoring &amp; Weights'!$C$7+('03 Feature Comparison'!M17="Conditional")*'10 Scoring &amp; Weights'!$C$8+('03 Feature Comparison'!M17="Unknown")*'10 Scoring &amp; Weights'!$C$9+('03 Feature Comparison'!M17="No")*'10 Scoring &amp; Weights'!$C$10)</f>
        <v>1</v>
      </c>
      <c r="P63" s="79" t="n">
        <f aca="false">(('03 Feature Comparison'!M18="Yes")*'10 Scoring &amp; Weights'!$C$7+('03 Feature Comparison'!M18="Conditional")*'10 Scoring &amp; Weights'!$C$8+('03 Feature Comparison'!M18="Unknown")*'10 Scoring &amp; Weights'!$C$9+('03 Feature Comparison'!M18="No")*'10 Scoring &amp; Weights'!$C$10)</f>
        <v>0.25</v>
      </c>
    </row>
    <row r="64" customFormat="false" ht="15" hidden="false" customHeight="false" outlineLevel="0" collapsed="false">
      <c r="B64" s="42" t="s">
        <v>379</v>
      </c>
      <c r="C64" s="54" t="s">
        <v>434</v>
      </c>
      <c r="D64" s="79" t="n">
        <f aca="false">(('03 Feature Comparison'!N6="Yes")*'10 Scoring &amp; Weights'!$C$7+('03 Feature Comparison'!N6="Conditional")*'10 Scoring &amp; Weights'!$C$8+('03 Feature Comparison'!N6="Unknown")*'10 Scoring &amp; Weights'!$C$9+('03 Feature Comparison'!N6="No")*'10 Scoring &amp; Weights'!$C$10)</f>
        <v>1</v>
      </c>
      <c r="E64" s="79" t="n">
        <f aca="false">(('03 Feature Comparison'!N7="Yes")*'10 Scoring &amp; Weights'!$C$7+('03 Feature Comparison'!N7="Conditional")*'10 Scoring &amp; Weights'!$C$8+('03 Feature Comparison'!N7="Unknown")*'10 Scoring &amp; Weights'!$C$9+('03 Feature Comparison'!N7="No")*'10 Scoring &amp; Weights'!$C$10)</f>
        <v>0.25</v>
      </c>
      <c r="F64" s="79" t="n">
        <f aca="false">(('03 Feature Comparison'!N8="Yes")*'10 Scoring &amp; Weights'!$C$7+('03 Feature Comparison'!N8="Conditional")*'10 Scoring &amp; Weights'!$C$8+('03 Feature Comparison'!N8="Unknown")*'10 Scoring &amp; Weights'!$C$9+('03 Feature Comparison'!N8="No")*'10 Scoring &amp; Weights'!$C$10)</f>
        <v>0.25</v>
      </c>
      <c r="G64" s="79" t="n">
        <f aca="false">(('03 Feature Comparison'!N9="Yes")*'10 Scoring &amp; Weights'!$C$7+('03 Feature Comparison'!N9="Conditional")*'10 Scoring &amp; Weights'!$C$8+('03 Feature Comparison'!N9="Unknown")*'10 Scoring &amp; Weights'!$C$9+('03 Feature Comparison'!N9="No")*'10 Scoring &amp; Weights'!$C$10)</f>
        <v>1</v>
      </c>
      <c r="H64" s="79" t="n">
        <f aca="false">(('03 Feature Comparison'!N10="Yes")*'10 Scoring &amp; Weights'!$C$7+('03 Feature Comparison'!N10="Conditional")*'10 Scoring &amp; Weights'!$C$8+('03 Feature Comparison'!N10="Unknown")*'10 Scoring &amp; Weights'!$C$9+('03 Feature Comparison'!N10="No")*'10 Scoring &amp; Weights'!$C$10)</f>
        <v>1</v>
      </c>
      <c r="I64" s="79" t="n">
        <f aca="false">(('03 Feature Comparison'!N11="Yes")*'10 Scoring &amp; Weights'!$C$7+('03 Feature Comparison'!N11="Conditional")*'10 Scoring &amp; Weights'!$C$8+('03 Feature Comparison'!N11="Unknown")*'10 Scoring &amp; Weights'!$C$9+('03 Feature Comparison'!N11="No")*'10 Scoring &amp; Weights'!$C$10)</f>
        <v>1</v>
      </c>
      <c r="J64" s="79" t="n">
        <f aca="false">(('03 Feature Comparison'!N12="Yes")*'10 Scoring &amp; Weights'!$C$7+('03 Feature Comparison'!N12="Conditional")*'10 Scoring &amp; Weights'!$C$8+('03 Feature Comparison'!N12="Unknown")*'10 Scoring &amp; Weights'!$C$9+('03 Feature Comparison'!N12="No")*'10 Scoring &amp; Weights'!$C$10)</f>
        <v>0.25</v>
      </c>
      <c r="K64" s="79" t="n">
        <f aca="false">(('03 Feature Comparison'!N13="Yes")*'10 Scoring &amp; Weights'!$C$7+('03 Feature Comparison'!N13="Conditional")*'10 Scoring &amp; Weights'!$C$8+('03 Feature Comparison'!N13="Unknown")*'10 Scoring &amp; Weights'!$C$9+('03 Feature Comparison'!N13="No")*'10 Scoring &amp; Weights'!$C$10)</f>
        <v>0.25</v>
      </c>
      <c r="L64" s="79" t="n">
        <f aca="false">(('03 Feature Comparison'!N14="Yes")*'10 Scoring &amp; Weights'!$C$7+('03 Feature Comparison'!N14="Conditional")*'10 Scoring &amp; Weights'!$C$8+('03 Feature Comparison'!N14="Unknown")*'10 Scoring &amp; Weights'!$C$9+('03 Feature Comparison'!N14="No")*'10 Scoring &amp; Weights'!$C$10)</f>
        <v>0.25</v>
      </c>
      <c r="M64" s="79" t="n">
        <f aca="false">(('03 Feature Comparison'!N15="Yes")*'10 Scoring &amp; Weights'!$C$7+('03 Feature Comparison'!N15="Conditional")*'10 Scoring &amp; Weights'!$C$8+('03 Feature Comparison'!N15="Unknown")*'10 Scoring &amp; Weights'!$C$9+('03 Feature Comparison'!N15="No")*'10 Scoring &amp; Weights'!$C$10)</f>
        <v>0.25</v>
      </c>
      <c r="N64" s="79" t="n">
        <f aca="false">(('03 Feature Comparison'!N16="Yes")*'10 Scoring &amp; Weights'!$C$7+('03 Feature Comparison'!N16="Conditional")*'10 Scoring &amp; Weights'!$C$8+('03 Feature Comparison'!N16="Unknown")*'10 Scoring &amp; Weights'!$C$9+('03 Feature Comparison'!N16="No")*'10 Scoring &amp; Weights'!$C$10)</f>
        <v>0.25</v>
      </c>
      <c r="O64" s="79" t="n">
        <f aca="false">(('03 Feature Comparison'!N17="Yes")*'10 Scoring &amp; Weights'!$C$7+('03 Feature Comparison'!N17="Conditional")*'10 Scoring &amp; Weights'!$C$8+('03 Feature Comparison'!N17="Unknown")*'10 Scoring &amp; Weights'!$C$9+('03 Feature Comparison'!N17="No")*'10 Scoring &amp; Weights'!$C$10)</f>
        <v>0.25</v>
      </c>
      <c r="P64" s="79" t="n">
        <f aca="false">(('03 Feature Comparison'!N18="Yes")*'10 Scoring &amp; Weights'!$C$7+('03 Feature Comparison'!N18="Conditional")*'10 Scoring &amp; Weights'!$C$8+('03 Feature Comparison'!N18="Unknown")*'10 Scoring &amp; Weights'!$C$9+('03 Feature Comparison'!N18="No")*'10 Scoring &amp; Weights'!$C$10)</f>
        <v>0.25</v>
      </c>
    </row>
    <row r="65" customFormat="false" ht="15" hidden="false" customHeight="false" outlineLevel="0" collapsed="false">
      <c r="B65" s="42" t="s">
        <v>380</v>
      </c>
      <c r="C65" s="54" t="s">
        <v>436</v>
      </c>
      <c r="D65" s="79" t="n">
        <f aca="false">(('03 Feature Comparison'!O6="Yes")*'10 Scoring &amp; Weights'!$C$7+('03 Feature Comparison'!O6="Conditional")*'10 Scoring &amp; Weights'!$C$8+('03 Feature Comparison'!O6="Unknown")*'10 Scoring &amp; Weights'!$C$9+('03 Feature Comparison'!O6="No")*'10 Scoring &amp; Weights'!$C$10)</f>
        <v>0.25</v>
      </c>
      <c r="E65" s="79" t="n">
        <f aca="false">(('03 Feature Comparison'!O7="Yes")*'10 Scoring &amp; Weights'!$C$7+('03 Feature Comparison'!O7="Conditional")*'10 Scoring &amp; Weights'!$C$8+('03 Feature Comparison'!O7="Unknown")*'10 Scoring &amp; Weights'!$C$9+('03 Feature Comparison'!O7="No")*'10 Scoring &amp; Weights'!$C$10)</f>
        <v>1</v>
      </c>
      <c r="F65" s="79" t="n">
        <f aca="false">(('03 Feature Comparison'!O8="Yes")*'10 Scoring &amp; Weights'!$C$7+('03 Feature Comparison'!O8="Conditional")*'10 Scoring &amp; Weights'!$C$8+('03 Feature Comparison'!O8="Unknown")*'10 Scoring &amp; Weights'!$C$9+('03 Feature Comparison'!O8="No")*'10 Scoring &amp; Weights'!$C$10)</f>
        <v>1</v>
      </c>
      <c r="G65" s="79" t="n">
        <f aca="false">(('03 Feature Comparison'!O9="Yes")*'10 Scoring &amp; Weights'!$C$7+('03 Feature Comparison'!O9="Conditional")*'10 Scoring &amp; Weights'!$C$8+('03 Feature Comparison'!O9="Unknown")*'10 Scoring &amp; Weights'!$C$9+('03 Feature Comparison'!O9="No")*'10 Scoring &amp; Weights'!$C$10)</f>
        <v>0.25</v>
      </c>
      <c r="H65" s="79" t="n">
        <f aca="false">(('03 Feature Comparison'!O10="Yes")*'10 Scoring &amp; Weights'!$C$7+('03 Feature Comparison'!O10="Conditional")*'10 Scoring &amp; Weights'!$C$8+('03 Feature Comparison'!O10="Unknown")*'10 Scoring &amp; Weights'!$C$9+('03 Feature Comparison'!O10="No")*'10 Scoring &amp; Weights'!$C$10)</f>
        <v>0.25</v>
      </c>
      <c r="I65" s="79" t="n">
        <f aca="false">(('03 Feature Comparison'!O11="Yes")*'10 Scoring &amp; Weights'!$C$7+('03 Feature Comparison'!O11="Conditional")*'10 Scoring &amp; Weights'!$C$8+('03 Feature Comparison'!O11="Unknown")*'10 Scoring &amp; Weights'!$C$9+('03 Feature Comparison'!O11="No")*'10 Scoring &amp; Weights'!$C$10)</f>
        <v>0.25</v>
      </c>
      <c r="J65" s="79" t="n">
        <f aca="false">(('03 Feature Comparison'!O12="Yes")*'10 Scoring &amp; Weights'!$C$7+('03 Feature Comparison'!O12="Conditional")*'10 Scoring &amp; Weights'!$C$8+('03 Feature Comparison'!O12="Unknown")*'10 Scoring &amp; Weights'!$C$9+('03 Feature Comparison'!O12="No")*'10 Scoring &amp; Weights'!$C$10)</f>
        <v>1</v>
      </c>
      <c r="K65" s="79" t="n">
        <f aca="false">(('03 Feature Comparison'!O13="Yes")*'10 Scoring &amp; Weights'!$C$7+('03 Feature Comparison'!O13="Conditional")*'10 Scoring &amp; Weights'!$C$8+('03 Feature Comparison'!O13="Unknown")*'10 Scoring &amp; Weights'!$C$9+('03 Feature Comparison'!O13="No")*'10 Scoring &amp; Weights'!$C$10)</f>
        <v>0.25</v>
      </c>
      <c r="L65" s="79" t="n">
        <f aca="false">(('03 Feature Comparison'!O14="Yes")*'10 Scoring &amp; Weights'!$C$7+('03 Feature Comparison'!O14="Conditional")*'10 Scoring &amp; Weights'!$C$8+('03 Feature Comparison'!O14="Unknown")*'10 Scoring &amp; Weights'!$C$9+('03 Feature Comparison'!O14="No")*'10 Scoring &amp; Weights'!$C$10)</f>
        <v>1</v>
      </c>
      <c r="M65" s="79" t="n">
        <f aca="false">(('03 Feature Comparison'!O15="Yes")*'10 Scoring &amp; Weights'!$C$7+('03 Feature Comparison'!O15="Conditional")*'10 Scoring &amp; Weights'!$C$8+('03 Feature Comparison'!O15="Unknown")*'10 Scoring &amp; Weights'!$C$9+('03 Feature Comparison'!O15="No")*'10 Scoring &amp; Weights'!$C$10)</f>
        <v>1</v>
      </c>
      <c r="N65" s="79" t="n">
        <f aca="false">(('03 Feature Comparison'!O16="Yes")*'10 Scoring &amp; Weights'!$C$7+('03 Feature Comparison'!O16="Conditional")*'10 Scoring &amp; Weights'!$C$8+('03 Feature Comparison'!O16="Unknown")*'10 Scoring &amp; Weights'!$C$9+('03 Feature Comparison'!O16="No")*'10 Scoring &amp; Weights'!$C$10)</f>
        <v>1</v>
      </c>
      <c r="O65" s="79" t="n">
        <f aca="false">(('03 Feature Comparison'!O17="Yes")*'10 Scoring &amp; Weights'!$C$7+('03 Feature Comparison'!O17="Conditional")*'10 Scoring &amp; Weights'!$C$8+('03 Feature Comparison'!O17="Unknown")*'10 Scoring &amp; Weights'!$C$9+('03 Feature Comparison'!O17="No")*'10 Scoring &amp; Weights'!$C$10)</f>
        <v>0.25</v>
      </c>
      <c r="P65" s="79" t="n">
        <f aca="false">(('03 Feature Comparison'!O18="Yes")*'10 Scoring &amp; Weights'!$C$7+('03 Feature Comparison'!O18="Conditional")*'10 Scoring &amp; Weights'!$C$8+('03 Feature Comparison'!O18="Unknown")*'10 Scoring &amp; Weights'!$C$9+('03 Feature Comparison'!O18="No")*'10 Scoring &amp; Weights'!$C$10)</f>
        <v>0.25</v>
      </c>
    </row>
    <row r="66" customFormat="false" ht="15" hidden="false" customHeight="false" outlineLevel="0" collapsed="false">
      <c r="B66" s="42" t="s">
        <v>381</v>
      </c>
      <c r="C66" s="54" t="s">
        <v>437</v>
      </c>
      <c r="D66" s="79" t="n">
        <f aca="false">(('03 Feature Comparison'!P6="Yes")*'10 Scoring &amp; Weights'!$C$7+('03 Feature Comparison'!P6="Conditional")*'10 Scoring &amp; Weights'!$C$8+('03 Feature Comparison'!P6="Unknown")*'10 Scoring &amp; Weights'!$C$9+('03 Feature Comparison'!P6="No")*'10 Scoring &amp; Weights'!$C$10)</f>
        <v>0.25</v>
      </c>
      <c r="E66" s="79" t="n">
        <f aca="false">(('03 Feature Comparison'!P7="Yes")*'10 Scoring &amp; Weights'!$C$7+('03 Feature Comparison'!P7="Conditional")*'10 Scoring &amp; Weights'!$C$8+('03 Feature Comparison'!P7="Unknown")*'10 Scoring &amp; Weights'!$C$9+('03 Feature Comparison'!P7="No")*'10 Scoring &amp; Weights'!$C$10)</f>
        <v>0.25</v>
      </c>
      <c r="F66" s="79" t="n">
        <f aca="false">(('03 Feature Comparison'!P8="Yes")*'10 Scoring &amp; Weights'!$C$7+('03 Feature Comparison'!P8="Conditional")*'10 Scoring &amp; Weights'!$C$8+('03 Feature Comparison'!P8="Unknown")*'10 Scoring &amp; Weights'!$C$9+('03 Feature Comparison'!P8="No")*'10 Scoring &amp; Weights'!$C$10)</f>
        <v>1</v>
      </c>
      <c r="G66" s="79" t="n">
        <f aca="false">(('03 Feature Comparison'!P9="Yes")*'10 Scoring &amp; Weights'!$C$7+('03 Feature Comparison'!P9="Conditional")*'10 Scoring &amp; Weights'!$C$8+('03 Feature Comparison'!P9="Unknown")*'10 Scoring &amp; Weights'!$C$9+('03 Feature Comparison'!P9="No")*'10 Scoring &amp; Weights'!$C$10)</f>
        <v>0.25</v>
      </c>
      <c r="H66" s="79" t="n">
        <f aca="false">(('03 Feature Comparison'!P10="Yes")*'10 Scoring &amp; Weights'!$C$7+('03 Feature Comparison'!P10="Conditional")*'10 Scoring &amp; Weights'!$C$8+('03 Feature Comparison'!P10="Unknown")*'10 Scoring &amp; Weights'!$C$9+('03 Feature Comparison'!P10="No")*'10 Scoring &amp; Weights'!$C$10)</f>
        <v>0.25</v>
      </c>
      <c r="I66" s="79" t="n">
        <f aca="false">(('03 Feature Comparison'!P11="Yes")*'10 Scoring &amp; Weights'!$C$7+('03 Feature Comparison'!P11="Conditional")*'10 Scoring &amp; Weights'!$C$8+('03 Feature Comparison'!P11="Unknown")*'10 Scoring &amp; Weights'!$C$9+('03 Feature Comparison'!P11="No")*'10 Scoring &amp; Weights'!$C$10)</f>
        <v>0.25</v>
      </c>
      <c r="J66" s="79" t="n">
        <f aca="false">(('03 Feature Comparison'!P12="Yes")*'10 Scoring &amp; Weights'!$C$7+('03 Feature Comparison'!P12="Conditional")*'10 Scoring &amp; Weights'!$C$8+('03 Feature Comparison'!P12="Unknown")*'10 Scoring &amp; Weights'!$C$9+('03 Feature Comparison'!P12="No")*'10 Scoring &amp; Weights'!$C$10)</f>
        <v>1</v>
      </c>
      <c r="K66" s="79" t="n">
        <f aca="false">(('03 Feature Comparison'!P13="Yes")*'10 Scoring &amp; Weights'!$C$7+('03 Feature Comparison'!P13="Conditional")*'10 Scoring &amp; Weights'!$C$8+('03 Feature Comparison'!P13="Unknown")*'10 Scoring &amp; Weights'!$C$9+('03 Feature Comparison'!P13="No")*'10 Scoring &amp; Weights'!$C$10)</f>
        <v>0.25</v>
      </c>
      <c r="L66" s="79" t="n">
        <f aca="false">(('03 Feature Comparison'!P14="Yes")*'10 Scoring &amp; Weights'!$C$7+('03 Feature Comparison'!P14="Conditional")*'10 Scoring &amp; Weights'!$C$8+('03 Feature Comparison'!P14="Unknown")*'10 Scoring &amp; Weights'!$C$9+('03 Feature Comparison'!P14="No")*'10 Scoring &amp; Weights'!$C$10)</f>
        <v>1</v>
      </c>
      <c r="M66" s="79" t="n">
        <f aca="false">(('03 Feature Comparison'!P15="Yes")*'10 Scoring &amp; Weights'!$C$7+('03 Feature Comparison'!P15="Conditional")*'10 Scoring &amp; Weights'!$C$8+('03 Feature Comparison'!P15="Unknown")*'10 Scoring &amp; Weights'!$C$9+('03 Feature Comparison'!P15="No")*'10 Scoring &amp; Weights'!$C$10)</f>
        <v>1</v>
      </c>
      <c r="N66" s="79" t="n">
        <f aca="false">(('03 Feature Comparison'!P16="Yes")*'10 Scoring &amp; Weights'!$C$7+('03 Feature Comparison'!P16="Conditional")*'10 Scoring &amp; Weights'!$C$8+('03 Feature Comparison'!P16="Unknown")*'10 Scoring &amp; Weights'!$C$9+('03 Feature Comparison'!P16="No")*'10 Scoring &amp; Weights'!$C$10)</f>
        <v>1</v>
      </c>
      <c r="O66" s="79" t="n">
        <f aca="false">(('03 Feature Comparison'!P17="Yes")*'10 Scoring &amp; Weights'!$C$7+('03 Feature Comparison'!P17="Conditional")*'10 Scoring &amp; Weights'!$C$8+('03 Feature Comparison'!P17="Unknown")*'10 Scoring &amp; Weights'!$C$9+('03 Feature Comparison'!P17="No")*'10 Scoring &amp; Weights'!$C$10)</f>
        <v>1</v>
      </c>
      <c r="P66" s="79" t="n">
        <f aca="false">(('03 Feature Comparison'!P18="Yes")*'10 Scoring &amp; Weights'!$C$7+('03 Feature Comparison'!P18="Conditional")*'10 Scoring &amp; Weights'!$C$8+('03 Feature Comparison'!P18="Unknown")*'10 Scoring &amp; Weights'!$C$9+('03 Feature Comparison'!P18="No")*'10 Scoring &amp; Weights'!$C$10)</f>
        <v>1</v>
      </c>
    </row>
    <row r="67" customFormat="false" ht="15" hidden="false" customHeight="false" outlineLevel="0" collapsed="false">
      <c r="B67" s="42" t="s">
        <v>382</v>
      </c>
      <c r="C67" s="54" t="s">
        <v>438</v>
      </c>
      <c r="D67" s="79" t="n">
        <f aca="false">(('03 Feature Comparison'!Q6="Yes")*'10 Scoring &amp; Weights'!$C$7+('03 Feature Comparison'!Q6="Conditional")*'10 Scoring &amp; Weights'!$C$8+('03 Feature Comparison'!Q6="Unknown")*'10 Scoring &amp; Weights'!$C$9+('03 Feature Comparison'!Q6="No")*'10 Scoring &amp; Weights'!$C$10)</f>
        <v>0.25</v>
      </c>
      <c r="E67" s="79" t="n">
        <f aca="false">(('03 Feature Comparison'!Q7="Yes")*'10 Scoring &amp; Weights'!$C$7+('03 Feature Comparison'!Q7="Conditional")*'10 Scoring &amp; Weights'!$C$8+('03 Feature Comparison'!Q7="Unknown")*'10 Scoring &amp; Weights'!$C$9+('03 Feature Comparison'!Q7="No")*'10 Scoring &amp; Weights'!$C$10)</f>
        <v>0.25</v>
      </c>
      <c r="F67" s="79" t="n">
        <f aca="false">(('03 Feature Comparison'!Q8="Yes")*'10 Scoring &amp; Weights'!$C$7+('03 Feature Comparison'!Q8="Conditional")*'10 Scoring &amp; Weights'!$C$8+('03 Feature Comparison'!Q8="Unknown")*'10 Scoring &amp; Weights'!$C$9+('03 Feature Comparison'!Q8="No")*'10 Scoring &amp; Weights'!$C$10)</f>
        <v>0.5</v>
      </c>
      <c r="G67" s="79" t="n">
        <f aca="false">(('03 Feature Comparison'!Q9="Yes")*'10 Scoring &amp; Weights'!$C$7+('03 Feature Comparison'!Q9="Conditional")*'10 Scoring &amp; Weights'!$C$8+('03 Feature Comparison'!Q9="Unknown")*'10 Scoring &amp; Weights'!$C$9+('03 Feature Comparison'!Q9="No")*'10 Scoring &amp; Weights'!$C$10)</f>
        <v>0.25</v>
      </c>
      <c r="H67" s="79" t="n">
        <f aca="false">(('03 Feature Comparison'!Q10="Yes")*'10 Scoring &amp; Weights'!$C$7+('03 Feature Comparison'!Q10="Conditional")*'10 Scoring &amp; Weights'!$C$8+('03 Feature Comparison'!Q10="Unknown")*'10 Scoring &amp; Weights'!$C$9+('03 Feature Comparison'!Q10="No")*'10 Scoring &amp; Weights'!$C$10)</f>
        <v>0.25</v>
      </c>
      <c r="I67" s="79" t="n">
        <f aca="false">(('03 Feature Comparison'!Q11="Yes")*'10 Scoring &amp; Weights'!$C$7+('03 Feature Comparison'!Q11="Conditional")*'10 Scoring &amp; Weights'!$C$8+('03 Feature Comparison'!Q11="Unknown")*'10 Scoring &amp; Weights'!$C$9+('03 Feature Comparison'!Q11="No")*'10 Scoring &amp; Weights'!$C$10)</f>
        <v>0.25</v>
      </c>
      <c r="J67" s="79" t="n">
        <f aca="false">(('03 Feature Comparison'!Q12="Yes")*'10 Scoring &amp; Weights'!$C$7+('03 Feature Comparison'!Q12="Conditional")*'10 Scoring &amp; Weights'!$C$8+('03 Feature Comparison'!Q12="Unknown")*'10 Scoring &amp; Weights'!$C$9+('03 Feature Comparison'!Q12="No")*'10 Scoring &amp; Weights'!$C$10)</f>
        <v>1</v>
      </c>
      <c r="K67" s="79" t="n">
        <f aca="false">(('03 Feature Comparison'!Q13="Yes")*'10 Scoring &amp; Weights'!$C$7+('03 Feature Comparison'!Q13="Conditional")*'10 Scoring &amp; Weights'!$C$8+('03 Feature Comparison'!Q13="Unknown")*'10 Scoring &amp; Weights'!$C$9+('03 Feature Comparison'!Q13="No")*'10 Scoring &amp; Weights'!$C$10)</f>
        <v>0.25</v>
      </c>
      <c r="L67" s="79" t="n">
        <f aca="false">(('03 Feature Comparison'!Q14="Yes")*'10 Scoring &amp; Weights'!$C$7+('03 Feature Comparison'!Q14="Conditional")*'10 Scoring &amp; Weights'!$C$8+('03 Feature Comparison'!Q14="Unknown")*'10 Scoring &amp; Weights'!$C$9+('03 Feature Comparison'!Q14="No")*'10 Scoring &amp; Weights'!$C$10)</f>
        <v>1</v>
      </c>
      <c r="M67" s="79" t="n">
        <f aca="false">(('03 Feature Comparison'!Q15="Yes")*'10 Scoring &amp; Weights'!$C$7+('03 Feature Comparison'!Q15="Conditional")*'10 Scoring &amp; Weights'!$C$8+('03 Feature Comparison'!Q15="Unknown")*'10 Scoring &amp; Weights'!$C$9+('03 Feature Comparison'!Q15="No")*'10 Scoring &amp; Weights'!$C$10)</f>
        <v>1</v>
      </c>
      <c r="N67" s="79" t="n">
        <f aca="false">(('03 Feature Comparison'!Q16="Yes")*'10 Scoring &amp; Weights'!$C$7+('03 Feature Comparison'!Q16="Conditional")*'10 Scoring &amp; Weights'!$C$8+('03 Feature Comparison'!Q16="Unknown")*'10 Scoring &amp; Weights'!$C$9+('03 Feature Comparison'!Q16="No")*'10 Scoring &amp; Weights'!$C$10)</f>
        <v>0.25</v>
      </c>
      <c r="O67" s="79" t="n">
        <f aca="false">(('03 Feature Comparison'!Q17="Yes")*'10 Scoring &amp; Weights'!$C$7+('03 Feature Comparison'!Q17="Conditional")*'10 Scoring &amp; Weights'!$C$8+('03 Feature Comparison'!Q17="Unknown")*'10 Scoring &amp; Weights'!$C$9+('03 Feature Comparison'!Q17="No")*'10 Scoring &amp; Weights'!$C$10)</f>
        <v>1</v>
      </c>
      <c r="P67" s="79" t="n">
        <f aca="false">(('03 Feature Comparison'!Q18="Yes")*'10 Scoring &amp; Weights'!$C$7+('03 Feature Comparison'!Q18="Conditional")*'10 Scoring &amp; Weights'!$C$8+('03 Feature Comparison'!Q18="Unknown")*'10 Scoring &amp; Weights'!$C$9+('03 Feature Comparison'!Q18="No")*'10 Scoring &amp; Weights'!$C$10)</f>
        <v>1</v>
      </c>
    </row>
    <row r="68" customFormat="false" ht="15" hidden="false" customHeight="false" outlineLevel="0" collapsed="false">
      <c r="B68" s="42" t="s">
        <v>383</v>
      </c>
      <c r="C68" s="54" t="s">
        <v>439</v>
      </c>
      <c r="D68" s="79" t="n">
        <f aca="false">(('03 Feature Comparison'!R6="Yes")*'10 Scoring &amp; Weights'!$C$7+('03 Feature Comparison'!R6="Conditional")*'10 Scoring &amp; Weights'!$C$8+('03 Feature Comparison'!R6="Unknown")*'10 Scoring &amp; Weights'!$C$9+('03 Feature Comparison'!R6="No")*'10 Scoring &amp; Weights'!$C$10)</f>
        <v>0</v>
      </c>
      <c r="E68" s="79" t="n">
        <f aca="false">(('03 Feature Comparison'!R7="Yes")*'10 Scoring &amp; Weights'!$C$7+('03 Feature Comparison'!R7="Conditional")*'10 Scoring &amp; Weights'!$C$8+('03 Feature Comparison'!R7="Unknown")*'10 Scoring &amp; Weights'!$C$9+('03 Feature Comparison'!R7="No")*'10 Scoring &amp; Weights'!$C$10)</f>
        <v>0.25</v>
      </c>
      <c r="F68" s="79" t="n">
        <f aca="false">(('03 Feature Comparison'!R8="Yes")*'10 Scoring &amp; Weights'!$C$7+('03 Feature Comparison'!R8="Conditional")*'10 Scoring &amp; Weights'!$C$8+('03 Feature Comparison'!R8="Unknown")*'10 Scoring &amp; Weights'!$C$9+('03 Feature Comparison'!R8="No")*'10 Scoring &amp; Weights'!$C$10)</f>
        <v>1</v>
      </c>
      <c r="G68" s="79" t="n">
        <f aca="false">(('03 Feature Comparison'!R9="Yes")*'10 Scoring &amp; Weights'!$C$7+('03 Feature Comparison'!R9="Conditional")*'10 Scoring &amp; Weights'!$C$8+('03 Feature Comparison'!R9="Unknown")*'10 Scoring &amp; Weights'!$C$9+('03 Feature Comparison'!R9="No")*'10 Scoring &amp; Weights'!$C$10)</f>
        <v>0</v>
      </c>
      <c r="H68" s="79" t="n">
        <f aca="false">(('03 Feature Comparison'!R10="Yes")*'10 Scoring &amp; Weights'!$C$7+('03 Feature Comparison'!R10="Conditional")*'10 Scoring &amp; Weights'!$C$8+('03 Feature Comparison'!R10="Unknown")*'10 Scoring &amp; Weights'!$C$9+('03 Feature Comparison'!R10="No")*'10 Scoring &amp; Weights'!$C$10)</f>
        <v>0</v>
      </c>
      <c r="I68" s="79" t="n">
        <f aca="false">(('03 Feature Comparison'!R11="Yes")*'10 Scoring &amp; Weights'!$C$7+('03 Feature Comparison'!R11="Conditional")*'10 Scoring &amp; Weights'!$C$8+('03 Feature Comparison'!R11="Unknown")*'10 Scoring &amp; Weights'!$C$9+('03 Feature Comparison'!R11="No")*'10 Scoring &amp; Weights'!$C$10)</f>
        <v>0</v>
      </c>
      <c r="J68" s="79" t="n">
        <f aca="false">(('03 Feature Comparison'!R12="Yes")*'10 Scoring &amp; Weights'!$C$7+('03 Feature Comparison'!R12="Conditional")*'10 Scoring &amp; Weights'!$C$8+('03 Feature Comparison'!R12="Unknown")*'10 Scoring &amp; Weights'!$C$9+('03 Feature Comparison'!R12="No")*'10 Scoring &amp; Weights'!$C$10)</f>
        <v>1</v>
      </c>
      <c r="K68" s="79" t="n">
        <f aca="false">(('03 Feature Comparison'!R13="Yes")*'10 Scoring &amp; Weights'!$C$7+('03 Feature Comparison'!R13="Conditional")*'10 Scoring &amp; Weights'!$C$8+('03 Feature Comparison'!R13="Unknown")*'10 Scoring &amp; Weights'!$C$9+('03 Feature Comparison'!R13="No")*'10 Scoring &amp; Weights'!$C$10)</f>
        <v>0</v>
      </c>
      <c r="L68" s="79" t="n">
        <f aca="false">(('03 Feature Comparison'!R14="Yes")*'10 Scoring &amp; Weights'!$C$7+('03 Feature Comparison'!R14="Conditional")*'10 Scoring &amp; Weights'!$C$8+('03 Feature Comparison'!R14="Unknown")*'10 Scoring &amp; Weights'!$C$9+('03 Feature Comparison'!R14="No")*'10 Scoring &amp; Weights'!$C$10)</f>
        <v>1</v>
      </c>
      <c r="M68" s="79" t="n">
        <f aca="false">(('03 Feature Comparison'!R15="Yes")*'10 Scoring &amp; Weights'!$C$7+('03 Feature Comparison'!R15="Conditional")*'10 Scoring &amp; Weights'!$C$8+('03 Feature Comparison'!R15="Unknown")*'10 Scoring &amp; Weights'!$C$9+('03 Feature Comparison'!R15="No")*'10 Scoring &amp; Weights'!$C$10)</f>
        <v>1</v>
      </c>
      <c r="N68" s="79" t="n">
        <f aca="false">(('03 Feature Comparison'!R16="Yes")*'10 Scoring &amp; Weights'!$C$7+('03 Feature Comparison'!R16="Conditional")*'10 Scoring &amp; Weights'!$C$8+('03 Feature Comparison'!R16="Unknown")*'10 Scoring &amp; Weights'!$C$9+('03 Feature Comparison'!R16="No")*'10 Scoring &amp; Weights'!$C$10)</f>
        <v>1</v>
      </c>
      <c r="O68" s="79" t="n">
        <f aca="false">(('03 Feature Comparison'!R17="Yes")*'10 Scoring &amp; Weights'!$C$7+('03 Feature Comparison'!R17="Conditional")*'10 Scoring &amp; Weights'!$C$8+('03 Feature Comparison'!R17="Unknown")*'10 Scoring &amp; Weights'!$C$9+('03 Feature Comparison'!R17="No")*'10 Scoring &amp; Weights'!$C$10)</f>
        <v>1</v>
      </c>
      <c r="P68" s="79" t="n">
        <f aca="false">(('03 Feature Comparison'!R18="Yes")*'10 Scoring &amp; Weights'!$C$7+('03 Feature Comparison'!R18="Conditional")*'10 Scoring &amp; Weights'!$C$8+('03 Feature Comparison'!R18="Unknown")*'10 Scoring &amp; Weights'!$C$9+('03 Feature Comparison'!R18="No")*'10 Scoring &amp; Weights'!$C$10)</f>
        <v>1</v>
      </c>
    </row>
    <row r="69" customFormat="false" ht="15" hidden="false" customHeight="false" outlineLevel="0" collapsed="false">
      <c r="B69" s="42" t="s">
        <v>384</v>
      </c>
      <c r="C69" s="54" t="s">
        <v>441</v>
      </c>
      <c r="D69" s="79" t="n">
        <f aca="false">(('03 Feature Comparison'!S6="Yes")*'10 Scoring &amp; Weights'!$C$7+('03 Feature Comparison'!S6="Conditional")*'10 Scoring &amp; Weights'!$C$8+('03 Feature Comparison'!S6="Unknown")*'10 Scoring &amp; Weights'!$C$9+('03 Feature Comparison'!S6="No")*'10 Scoring &amp; Weights'!$C$10)</f>
        <v>0</v>
      </c>
      <c r="E69" s="79" t="n">
        <f aca="false">(('03 Feature Comparison'!S7="Yes")*'10 Scoring &amp; Weights'!$C$7+('03 Feature Comparison'!S7="Conditional")*'10 Scoring &amp; Weights'!$C$8+('03 Feature Comparison'!S7="Unknown")*'10 Scoring &amp; Weights'!$C$9+('03 Feature Comparison'!S7="No")*'10 Scoring &amp; Weights'!$C$10)</f>
        <v>0.25</v>
      </c>
      <c r="F69" s="79" t="n">
        <f aca="false">(('03 Feature Comparison'!S8="Yes")*'10 Scoring &amp; Weights'!$C$7+('03 Feature Comparison'!S8="Conditional")*'10 Scoring &amp; Weights'!$C$8+('03 Feature Comparison'!S8="Unknown")*'10 Scoring &amp; Weights'!$C$9+('03 Feature Comparison'!S8="No")*'10 Scoring &amp; Weights'!$C$10)</f>
        <v>0.25</v>
      </c>
      <c r="G69" s="79" t="n">
        <f aca="false">(('03 Feature Comparison'!S9="Yes")*'10 Scoring &amp; Weights'!$C$7+('03 Feature Comparison'!S9="Conditional")*'10 Scoring &amp; Weights'!$C$8+('03 Feature Comparison'!S9="Unknown")*'10 Scoring &amp; Weights'!$C$9+('03 Feature Comparison'!S9="No")*'10 Scoring &amp; Weights'!$C$10)</f>
        <v>0</v>
      </c>
      <c r="H69" s="79" t="n">
        <f aca="false">(('03 Feature Comparison'!S10="Yes")*'10 Scoring &amp; Weights'!$C$7+('03 Feature Comparison'!S10="Conditional")*'10 Scoring &amp; Weights'!$C$8+('03 Feature Comparison'!S10="Unknown")*'10 Scoring &amp; Weights'!$C$9+('03 Feature Comparison'!S10="No")*'10 Scoring &amp; Weights'!$C$10)</f>
        <v>0</v>
      </c>
      <c r="I69" s="79" t="n">
        <f aca="false">(('03 Feature Comparison'!S11="Yes")*'10 Scoring &amp; Weights'!$C$7+('03 Feature Comparison'!S11="Conditional")*'10 Scoring &amp; Weights'!$C$8+('03 Feature Comparison'!S11="Unknown")*'10 Scoring &amp; Weights'!$C$9+('03 Feature Comparison'!S11="No")*'10 Scoring &amp; Weights'!$C$10)</f>
        <v>0</v>
      </c>
      <c r="J69" s="79" t="n">
        <f aca="false">(('03 Feature Comparison'!S12="Yes")*'10 Scoring &amp; Weights'!$C$7+('03 Feature Comparison'!S12="Conditional")*'10 Scoring &amp; Weights'!$C$8+('03 Feature Comparison'!S12="Unknown")*'10 Scoring &amp; Weights'!$C$9+('03 Feature Comparison'!S12="No")*'10 Scoring &amp; Weights'!$C$10)</f>
        <v>0.25</v>
      </c>
      <c r="K69" s="79" t="n">
        <f aca="false">(('03 Feature Comparison'!S13="Yes")*'10 Scoring &amp; Weights'!$C$7+('03 Feature Comparison'!S13="Conditional")*'10 Scoring &amp; Weights'!$C$8+('03 Feature Comparison'!S13="Unknown")*'10 Scoring &amp; Weights'!$C$9+('03 Feature Comparison'!S13="No")*'10 Scoring &amp; Weights'!$C$10)</f>
        <v>0</v>
      </c>
      <c r="L69" s="79" t="n">
        <f aca="false">(('03 Feature Comparison'!S14="Yes")*'10 Scoring &amp; Weights'!$C$7+('03 Feature Comparison'!S14="Conditional")*'10 Scoring &amp; Weights'!$C$8+('03 Feature Comparison'!S14="Unknown")*'10 Scoring &amp; Weights'!$C$9+('03 Feature Comparison'!S14="No")*'10 Scoring &amp; Weights'!$C$10)</f>
        <v>0.25</v>
      </c>
      <c r="M69" s="79" t="n">
        <f aca="false">(('03 Feature Comparison'!S15="Yes")*'10 Scoring &amp; Weights'!$C$7+('03 Feature Comparison'!S15="Conditional")*'10 Scoring &amp; Weights'!$C$8+('03 Feature Comparison'!S15="Unknown")*'10 Scoring &amp; Weights'!$C$9+('03 Feature Comparison'!S15="No")*'10 Scoring &amp; Weights'!$C$10)</f>
        <v>0.25</v>
      </c>
      <c r="N69" s="79" t="n">
        <f aca="false">(('03 Feature Comparison'!S16="Yes")*'10 Scoring &amp; Weights'!$C$7+('03 Feature Comparison'!S16="Conditional")*'10 Scoring &amp; Weights'!$C$8+('03 Feature Comparison'!S16="Unknown")*'10 Scoring &amp; Weights'!$C$9+('03 Feature Comparison'!S16="No")*'10 Scoring &amp; Weights'!$C$10)</f>
        <v>1</v>
      </c>
      <c r="O69" s="79" t="n">
        <f aca="false">(('03 Feature Comparison'!S17="Yes")*'10 Scoring &amp; Weights'!$C$7+('03 Feature Comparison'!S17="Conditional")*'10 Scoring &amp; Weights'!$C$8+('03 Feature Comparison'!S17="Unknown")*'10 Scoring &amp; Weights'!$C$9+('03 Feature Comparison'!S17="No")*'10 Scoring &amp; Weights'!$C$10)</f>
        <v>0.25</v>
      </c>
      <c r="P69" s="79" t="n">
        <f aca="false">(('03 Feature Comparison'!S18="Yes")*'10 Scoring &amp; Weights'!$C$7+('03 Feature Comparison'!S18="Conditional")*'10 Scoring &amp; Weights'!$C$8+('03 Feature Comparison'!S18="Unknown")*'10 Scoring &amp; Weights'!$C$9+('03 Feature Comparison'!S18="No")*'10 Scoring &amp; Weights'!$C$10)</f>
        <v>0.25</v>
      </c>
    </row>
    <row r="70" customFormat="false" ht="15" hidden="false" customHeight="false" outlineLevel="0" collapsed="false">
      <c r="B70" s="42" t="s">
        <v>385</v>
      </c>
      <c r="C70" s="54" t="s">
        <v>443</v>
      </c>
      <c r="D70" s="79" t="n">
        <f aca="false">(('03 Feature Comparison'!T6="Yes")*'10 Scoring &amp; Weights'!$C$7+('03 Feature Comparison'!T6="Conditional")*'10 Scoring &amp; Weights'!$C$8+('03 Feature Comparison'!T6="Unknown")*'10 Scoring &amp; Weights'!$C$9+('03 Feature Comparison'!T6="No")*'10 Scoring &amp; Weights'!$C$10)</f>
        <v>0</v>
      </c>
      <c r="E70" s="79" t="n">
        <f aca="false">(('03 Feature Comparison'!T7="Yes")*'10 Scoring &amp; Weights'!$C$7+('03 Feature Comparison'!T7="Conditional")*'10 Scoring &amp; Weights'!$C$8+('03 Feature Comparison'!T7="Unknown")*'10 Scoring &amp; Weights'!$C$9+('03 Feature Comparison'!T7="No")*'10 Scoring &amp; Weights'!$C$10)</f>
        <v>1</v>
      </c>
      <c r="F70" s="79" t="n">
        <f aca="false">(('03 Feature Comparison'!T8="Yes")*'10 Scoring &amp; Weights'!$C$7+('03 Feature Comparison'!T8="Conditional")*'10 Scoring &amp; Weights'!$C$8+('03 Feature Comparison'!T8="Unknown")*'10 Scoring &amp; Weights'!$C$9+('03 Feature Comparison'!T8="No")*'10 Scoring &amp; Weights'!$C$10)</f>
        <v>1</v>
      </c>
      <c r="G70" s="79" t="n">
        <f aca="false">(('03 Feature Comparison'!T9="Yes")*'10 Scoring &amp; Weights'!$C$7+('03 Feature Comparison'!T9="Conditional")*'10 Scoring &amp; Weights'!$C$8+('03 Feature Comparison'!T9="Unknown")*'10 Scoring &amp; Weights'!$C$9+('03 Feature Comparison'!T9="No")*'10 Scoring &amp; Weights'!$C$10)</f>
        <v>0</v>
      </c>
      <c r="H70" s="79" t="n">
        <f aca="false">(('03 Feature Comparison'!T10="Yes")*'10 Scoring &amp; Weights'!$C$7+('03 Feature Comparison'!T10="Conditional")*'10 Scoring &amp; Weights'!$C$8+('03 Feature Comparison'!T10="Unknown")*'10 Scoring &amp; Weights'!$C$9+('03 Feature Comparison'!T10="No")*'10 Scoring &amp; Weights'!$C$10)</f>
        <v>0</v>
      </c>
      <c r="I70" s="79" t="n">
        <f aca="false">(('03 Feature Comparison'!T11="Yes")*'10 Scoring &amp; Weights'!$C$7+('03 Feature Comparison'!T11="Conditional")*'10 Scoring &amp; Weights'!$C$8+('03 Feature Comparison'!T11="Unknown")*'10 Scoring &amp; Weights'!$C$9+('03 Feature Comparison'!T11="No")*'10 Scoring &amp; Weights'!$C$10)</f>
        <v>0</v>
      </c>
      <c r="J70" s="79" t="n">
        <f aca="false">(('03 Feature Comparison'!T12="Yes")*'10 Scoring &amp; Weights'!$C$7+('03 Feature Comparison'!T12="Conditional")*'10 Scoring &amp; Weights'!$C$8+('03 Feature Comparison'!T12="Unknown")*'10 Scoring &amp; Weights'!$C$9+('03 Feature Comparison'!T12="No")*'10 Scoring &amp; Weights'!$C$10)</f>
        <v>1</v>
      </c>
      <c r="K70" s="79" t="n">
        <f aca="false">(('03 Feature Comparison'!T13="Yes")*'10 Scoring &amp; Weights'!$C$7+('03 Feature Comparison'!T13="Conditional")*'10 Scoring &amp; Weights'!$C$8+('03 Feature Comparison'!T13="Unknown")*'10 Scoring &amp; Weights'!$C$9+('03 Feature Comparison'!T13="No")*'10 Scoring &amp; Weights'!$C$10)</f>
        <v>0</v>
      </c>
      <c r="L70" s="79" t="n">
        <f aca="false">(('03 Feature Comparison'!T14="Yes")*'10 Scoring &amp; Weights'!$C$7+('03 Feature Comparison'!T14="Conditional")*'10 Scoring &amp; Weights'!$C$8+('03 Feature Comparison'!T14="Unknown")*'10 Scoring &amp; Weights'!$C$9+('03 Feature Comparison'!T14="No")*'10 Scoring &amp; Weights'!$C$10)</f>
        <v>1</v>
      </c>
      <c r="M70" s="79" t="n">
        <f aca="false">(('03 Feature Comparison'!T15="Yes")*'10 Scoring &amp; Weights'!$C$7+('03 Feature Comparison'!T15="Conditional")*'10 Scoring &amp; Weights'!$C$8+('03 Feature Comparison'!T15="Unknown")*'10 Scoring &amp; Weights'!$C$9+('03 Feature Comparison'!T15="No")*'10 Scoring &amp; Weights'!$C$10)</f>
        <v>1</v>
      </c>
      <c r="N70" s="79" t="n">
        <f aca="false">(('03 Feature Comparison'!T16="Yes")*'10 Scoring &amp; Weights'!$C$7+('03 Feature Comparison'!T16="Conditional")*'10 Scoring &amp; Weights'!$C$8+('03 Feature Comparison'!T16="Unknown")*'10 Scoring &amp; Weights'!$C$9+('03 Feature Comparison'!T16="No")*'10 Scoring &amp; Weights'!$C$10)</f>
        <v>1</v>
      </c>
      <c r="O70" s="79" t="n">
        <f aca="false">(('03 Feature Comparison'!T17="Yes")*'10 Scoring &amp; Weights'!$C$7+('03 Feature Comparison'!T17="Conditional")*'10 Scoring &amp; Weights'!$C$8+('03 Feature Comparison'!T17="Unknown")*'10 Scoring &amp; Weights'!$C$9+('03 Feature Comparison'!T17="No")*'10 Scoring &amp; Weights'!$C$10)</f>
        <v>1</v>
      </c>
      <c r="P70" s="79" t="n">
        <f aca="false">(('03 Feature Comparison'!T18="Yes")*'10 Scoring &amp; Weights'!$C$7+('03 Feature Comparison'!T18="Conditional")*'10 Scoring &amp; Weights'!$C$8+('03 Feature Comparison'!T18="Unknown")*'10 Scoring &amp; Weights'!$C$9+('03 Feature Comparison'!T18="No")*'10 Scoring &amp; Weights'!$C$10)</f>
        <v>1</v>
      </c>
    </row>
    <row r="71" customFormat="false" ht="15" hidden="false" customHeight="false" outlineLevel="0" collapsed="false">
      <c r="B71" s="42" t="s">
        <v>386</v>
      </c>
      <c r="C71" s="54" t="s">
        <v>445</v>
      </c>
      <c r="D71" s="79" t="n">
        <f aca="false">(('03 Feature Comparison'!U6="Yes")*'10 Scoring &amp; Weights'!$C$7+('03 Feature Comparison'!U6="Conditional")*'10 Scoring &amp; Weights'!$C$8+('03 Feature Comparison'!U6="Unknown")*'10 Scoring &amp; Weights'!$C$9+('03 Feature Comparison'!U6="No")*'10 Scoring &amp; Weights'!$C$10)</f>
        <v>0</v>
      </c>
      <c r="E71" s="79" t="n">
        <f aca="false">(('03 Feature Comparison'!U7="Yes")*'10 Scoring &amp; Weights'!$C$7+('03 Feature Comparison'!U7="Conditional")*'10 Scoring &amp; Weights'!$C$8+('03 Feature Comparison'!U7="Unknown")*'10 Scoring &amp; Weights'!$C$9+('03 Feature Comparison'!U7="No")*'10 Scoring &amp; Weights'!$C$10)</f>
        <v>0.5</v>
      </c>
      <c r="F71" s="79" t="n">
        <f aca="false">(('03 Feature Comparison'!U8="Yes")*'10 Scoring &amp; Weights'!$C$7+('03 Feature Comparison'!U8="Conditional")*'10 Scoring &amp; Weights'!$C$8+('03 Feature Comparison'!U8="Unknown")*'10 Scoring &amp; Weights'!$C$9+('03 Feature Comparison'!U8="No")*'10 Scoring &amp; Weights'!$C$10)</f>
        <v>1</v>
      </c>
      <c r="G71" s="79" t="n">
        <f aca="false">(('03 Feature Comparison'!U9="Yes")*'10 Scoring &amp; Weights'!$C$7+('03 Feature Comparison'!U9="Conditional")*'10 Scoring &amp; Weights'!$C$8+('03 Feature Comparison'!U9="Unknown")*'10 Scoring &amp; Weights'!$C$9+('03 Feature Comparison'!U9="No")*'10 Scoring &amp; Weights'!$C$10)</f>
        <v>0</v>
      </c>
      <c r="H71" s="79" t="n">
        <f aca="false">(('03 Feature Comparison'!U10="Yes")*'10 Scoring &amp; Weights'!$C$7+('03 Feature Comparison'!U10="Conditional")*'10 Scoring &amp; Weights'!$C$8+('03 Feature Comparison'!U10="Unknown")*'10 Scoring &amp; Weights'!$C$9+('03 Feature Comparison'!U10="No")*'10 Scoring &amp; Weights'!$C$10)</f>
        <v>0</v>
      </c>
      <c r="I71" s="79" t="n">
        <f aca="false">(('03 Feature Comparison'!U11="Yes")*'10 Scoring &amp; Weights'!$C$7+('03 Feature Comparison'!U11="Conditional")*'10 Scoring &amp; Weights'!$C$8+('03 Feature Comparison'!U11="Unknown")*'10 Scoring &amp; Weights'!$C$9+('03 Feature Comparison'!U11="No")*'10 Scoring &amp; Weights'!$C$10)</f>
        <v>0</v>
      </c>
      <c r="J71" s="79" t="n">
        <f aca="false">(('03 Feature Comparison'!U12="Yes")*'10 Scoring &amp; Weights'!$C$7+('03 Feature Comparison'!U12="Conditional")*'10 Scoring &amp; Weights'!$C$8+('03 Feature Comparison'!U12="Unknown")*'10 Scoring &amp; Weights'!$C$9+('03 Feature Comparison'!U12="No")*'10 Scoring &amp; Weights'!$C$10)</f>
        <v>1</v>
      </c>
      <c r="K71" s="79" t="n">
        <f aca="false">(('03 Feature Comparison'!U13="Yes")*'10 Scoring &amp; Weights'!$C$7+('03 Feature Comparison'!U13="Conditional")*'10 Scoring &amp; Weights'!$C$8+('03 Feature Comparison'!U13="Unknown")*'10 Scoring &amp; Weights'!$C$9+('03 Feature Comparison'!U13="No")*'10 Scoring &amp; Weights'!$C$10)</f>
        <v>0</v>
      </c>
      <c r="L71" s="79" t="n">
        <f aca="false">(('03 Feature Comparison'!U14="Yes")*'10 Scoring &amp; Weights'!$C$7+('03 Feature Comparison'!U14="Conditional")*'10 Scoring &amp; Weights'!$C$8+('03 Feature Comparison'!U14="Unknown")*'10 Scoring &amp; Weights'!$C$9+('03 Feature Comparison'!U14="No")*'10 Scoring &amp; Weights'!$C$10)</f>
        <v>1</v>
      </c>
      <c r="M71" s="79" t="n">
        <f aca="false">(('03 Feature Comparison'!U15="Yes")*'10 Scoring &amp; Weights'!$C$7+('03 Feature Comparison'!U15="Conditional")*'10 Scoring &amp; Weights'!$C$8+('03 Feature Comparison'!U15="Unknown")*'10 Scoring &amp; Weights'!$C$9+('03 Feature Comparison'!U15="No")*'10 Scoring &amp; Weights'!$C$10)</f>
        <v>1</v>
      </c>
      <c r="N71" s="79" t="n">
        <f aca="false">(('03 Feature Comparison'!U16="Yes")*'10 Scoring &amp; Weights'!$C$7+('03 Feature Comparison'!U16="Conditional")*'10 Scoring &amp; Weights'!$C$8+('03 Feature Comparison'!U16="Unknown")*'10 Scoring &amp; Weights'!$C$9+('03 Feature Comparison'!U16="No")*'10 Scoring &amp; Weights'!$C$10)</f>
        <v>1</v>
      </c>
      <c r="O71" s="79" t="n">
        <f aca="false">(('03 Feature Comparison'!U17="Yes")*'10 Scoring &amp; Weights'!$C$7+('03 Feature Comparison'!U17="Conditional")*'10 Scoring &amp; Weights'!$C$8+('03 Feature Comparison'!U17="Unknown")*'10 Scoring &amp; Weights'!$C$9+('03 Feature Comparison'!U17="No")*'10 Scoring &amp; Weights'!$C$10)</f>
        <v>1</v>
      </c>
      <c r="P71" s="79" t="n">
        <f aca="false">(('03 Feature Comparison'!U18="Yes")*'10 Scoring &amp; Weights'!$C$7+('03 Feature Comparison'!U18="Conditional")*'10 Scoring &amp; Weights'!$C$8+('03 Feature Comparison'!U18="Unknown")*'10 Scoring &amp; Weights'!$C$9+('03 Feature Comparison'!U18="No")*'10 Scoring &amp; Weights'!$C$10)</f>
        <v>1</v>
      </c>
    </row>
    <row r="72" customFormat="false" ht="15" hidden="false" customHeight="false" outlineLevel="0" collapsed="false">
      <c r="B72" s="42" t="s">
        <v>387</v>
      </c>
      <c r="C72" s="54" t="s">
        <v>447</v>
      </c>
      <c r="D72" s="79" t="n">
        <f aca="false">(('03 Feature Comparison'!V6="Yes")*'10 Scoring &amp; Weights'!$C$7+('03 Feature Comparison'!V6="Conditional")*'10 Scoring &amp; Weights'!$C$8+('03 Feature Comparison'!V6="Unknown")*'10 Scoring &amp; Weights'!$C$9+('03 Feature Comparison'!V6="No")*'10 Scoring &amp; Weights'!$C$10)</f>
        <v>1</v>
      </c>
      <c r="E72" s="79" t="n">
        <f aca="false">(('03 Feature Comparison'!V7="Yes")*'10 Scoring &amp; Weights'!$C$7+('03 Feature Comparison'!V7="Conditional")*'10 Scoring &amp; Weights'!$C$8+('03 Feature Comparison'!V7="Unknown")*'10 Scoring &amp; Weights'!$C$9+('03 Feature Comparison'!V7="No")*'10 Scoring &amp; Weights'!$C$10)</f>
        <v>0.25</v>
      </c>
      <c r="F72" s="79" t="n">
        <f aca="false">(('03 Feature Comparison'!V8="Yes")*'10 Scoring &amp; Weights'!$C$7+('03 Feature Comparison'!V8="Conditional")*'10 Scoring &amp; Weights'!$C$8+('03 Feature Comparison'!V8="Unknown")*'10 Scoring &amp; Weights'!$C$9+('03 Feature Comparison'!V8="No")*'10 Scoring &amp; Weights'!$C$10)</f>
        <v>1</v>
      </c>
      <c r="G72" s="79" t="n">
        <f aca="false">(('03 Feature Comparison'!V9="Yes")*'10 Scoring &amp; Weights'!$C$7+('03 Feature Comparison'!V9="Conditional")*'10 Scoring &amp; Weights'!$C$8+('03 Feature Comparison'!V9="Unknown")*'10 Scoring &amp; Weights'!$C$9+('03 Feature Comparison'!V9="No")*'10 Scoring &amp; Weights'!$C$10)</f>
        <v>1</v>
      </c>
      <c r="H72" s="79" t="n">
        <f aca="false">(('03 Feature Comparison'!V10="Yes")*'10 Scoring &amp; Weights'!$C$7+('03 Feature Comparison'!V10="Conditional")*'10 Scoring &amp; Weights'!$C$8+('03 Feature Comparison'!V10="Unknown")*'10 Scoring &amp; Weights'!$C$9+('03 Feature Comparison'!V10="No")*'10 Scoring &amp; Weights'!$C$10)</f>
        <v>1</v>
      </c>
      <c r="I72" s="79" t="n">
        <f aca="false">(('03 Feature Comparison'!V11="Yes")*'10 Scoring &amp; Weights'!$C$7+('03 Feature Comparison'!V11="Conditional")*'10 Scoring &amp; Weights'!$C$8+('03 Feature Comparison'!V11="Unknown")*'10 Scoring &amp; Weights'!$C$9+('03 Feature Comparison'!V11="No")*'10 Scoring &amp; Weights'!$C$10)</f>
        <v>0</v>
      </c>
      <c r="J72" s="79" t="n">
        <f aca="false">(('03 Feature Comparison'!V12="Yes")*'10 Scoring &amp; Weights'!$C$7+('03 Feature Comparison'!V12="Conditional")*'10 Scoring &amp; Weights'!$C$8+('03 Feature Comparison'!V12="Unknown")*'10 Scoring &amp; Weights'!$C$9+('03 Feature Comparison'!V12="No")*'10 Scoring &amp; Weights'!$C$10)</f>
        <v>0</v>
      </c>
      <c r="K72" s="79" t="n">
        <f aca="false">(('03 Feature Comparison'!V13="Yes")*'10 Scoring &amp; Weights'!$C$7+('03 Feature Comparison'!V13="Conditional")*'10 Scoring &amp; Weights'!$C$8+('03 Feature Comparison'!V13="Unknown")*'10 Scoring &amp; Weights'!$C$9+('03 Feature Comparison'!V13="No")*'10 Scoring &amp; Weights'!$C$10)</f>
        <v>1</v>
      </c>
      <c r="L72" s="79" t="n">
        <f aca="false">(('03 Feature Comparison'!V14="Yes")*'10 Scoring &amp; Weights'!$C$7+('03 Feature Comparison'!V14="Conditional")*'10 Scoring &amp; Weights'!$C$8+('03 Feature Comparison'!V14="Unknown")*'10 Scoring &amp; Weights'!$C$9+('03 Feature Comparison'!V14="No")*'10 Scoring &amp; Weights'!$C$10)</f>
        <v>0</v>
      </c>
      <c r="M72" s="79" t="n">
        <f aca="false">(('03 Feature Comparison'!V15="Yes")*'10 Scoring &amp; Weights'!$C$7+('03 Feature Comparison'!V15="Conditional")*'10 Scoring &amp; Weights'!$C$8+('03 Feature Comparison'!V15="Unknown")*'10 Scoring &amp; Weights'!$C$9+('03 Feature Comparison'!V15="No")*'10 Scoring &amp; Weights'!$C$10)</f>
        <v>0</v>
      </c>
      <c r="N72" s="79" t="n">
        <f aca="false">(('03 Feature Comparison'!V16="Yes")*'10 Scoring &amp; Weights'!$C$7+('03 Feature Comparison'!V16="Conditional")*'10 Scoring &amp; Weights'!$C$8+('03 Feature Comparison'!V16="Unknown")*'10 Scoring &amp; Weights'!$C$9+('03 Feature Comparison'!V16="No")*'10 Scoring &amp; Weights'!$C$10)</f>
        <v>0</v>
      </c>
      <c r="O72" s="79" t="n">
        <f aca="false">(('03 Feature Comparison'!V17="Yes")*'10 Scoring &amp; Weights'!$C$7+('03 Feature Comparison'!V17="Conditional")*'10 Scoring &amp; Weights'!$C$8+('03 Feature Comparison'!V17="Unknown")*'10 Scoring &amp; Weights'!$C$9+('03 Feature Comparison'!V17="No")*'10 Scoring &amp; Weights'!$C$10)</f>
        <v>0.25</v>
      </c>
      <c r="P72" s="79" t="n">
        <f aca="false">(('03 Feature Comparison'!V18="Yes")*'10 Scoring &amp; Weights'!$C$7+('03 Feature Comparison'!V18="Conditional")*'10 Scoring &amp; Weights'!$C$8+('03 Feature Comparison'!V18="Unknown")*'10 Scoring &amp; Weights'!$C$9+('03 Feature Comparison'!V18="No")*'10 Scoring &amp; Weights'!$C$10)</f>
        <v>1</v>
      </c>
    </row>
    <row r="73" customFormat="false" ht="15" hidden="false" customHeight="false" outlineLevel="0" collapsed="false">
      <c r="B73" s="42" t="s">
        <v>388</v>
      </c>
      <c r="C73" s="54" t="s">
        <v>448</v>
      </c>
      <c r="D73" s="79" t="n">
        <f aca="false">(('03 Feature Comparison'!W6="Yes")*'10 Scoring &amp; Weights'!$C$7+('03 Feature Comparison'!W6="Conditional")*'10 Scoring &amp; Weights'!$C$8+('03 Feature Comparison'!W6="Unknown")*'10 Scoring &amp; Weights'!$C$9+('03 Feature Comparison'!W6="No")*'10 Scoring &amp; Weights'!$C$10)</f>
        <v>0.25</v>
      </c>
      <c r="E73" s="79" t="n">
        <f aca="false">(('03 Feature Comparison'!W7="Yes")*'10 Scoring &amp; Weights'!$C$7+('03 Feature Comparison'!W7="Conditional")*'10 Scoring &amp; Weights'!$C$8+('03 Feature Comparison'!W7="Unknown")*'10 Scoring &amp; Weights'!$C$9+('03 Feature Comparison'!W7="No")*'10 Scoring &amp; Weights'!$C$10)</f>
        <v>0.25</v>
      </c>
      <c r="F73" s="79" t="n">
        <f aca="false">(('03 Feature Comparison'!W8="Yes")*'10 Scoring &amp; Weights'!$C$7+('03 Feature Comparison'!W8="Conditional")*'10 Scoring &amp; Weights'!$C$8+('03 Feature Comparison'!W8="Unknown")*'10 Scoring &amp; Weights'!$C$9+('03 Feature Comparison'!W8="No")*'10 Scoring &amp; Weights'!$C$10)</f>
        <v>0.25</v>
      </c>
      <c r="G73" s="79" t="n">
        <f aca="false">(('03 Feature Comparison'!W9="Yes")*'10 Scoring &amp; Weights'!$C$7+('03 Feature Comparison'!W9="Conditional")*'10 Scoring &amp; Weights'!$C$8+('03 Feature Comparison'!W9="Unknown")*'10 Scoring &amp; Weights'!$C$9+('03 Feature Comparison'!W9="No")*'10 Scoring &amp; Weights'!$C$10)</f>
        <v>1</v>
      </c>
      <c r="H73" s="79" t="n">
        <f aca="false">(('03 Feature Comparison'!W10="Yes")*'10 Scoring &amp; Weights'!$C$7+('03 Feature Comparison'!W10="Conditional")*'10 Scoring &amp; Weights'!$C$8+('03 Feature Comparison'!W10="Unknown")*'10 Scoring &amp; Weights'!$C$9+('03 Feature Comparison'!W10="No")*'10 Scoring &amp; Weights'!$C$10)</f>
        <v>1</v>
      </c>
      <c r="I73" s="79" t="n">
        <f aca="false">(('03 Feature Comparison'!W11="Yes")*'10 Scoring &amp; Weights'!$C$7+('03 Feature Comparison'!W11="Conditional")*'10 Scoring &amp; Weights'!$C$8+('03 Feature Comparison'!W11="Unknown")*'10 Scoring &amp; Weights'!$C$9+('03 Feature Comparison'!W11="No")*'10 Scoring &amp; Weights'!$C$10)</f>
        <v>0.25</v>
      </c>
      <c r="J73" s="79" t="n">
        <f aca="false">(('03 Feature Comparison'!W12="Yes")*'10 Scoring &amp; Weights'!$C$7+('03 Feature Comparison'!W12="Conditional")*'10 Scoring &amp; Weights'!$C$8+('03 Feature Comparison'!W12="Unknown")*'10 Scoring &amp; Weights'!$C$9+('03 Feature Comparison'!W12="No")*'10 Scoring &amp; Weights'!$C$10)</f>
        <v>0.25</v>
      </c>
      <c r="K73" s="79" t="n">
        <f aca="false">(('03 Feature Comparison'!W13="Yes")*'10 Scoring &amp; Weights'!$C$7+('03 Feature Comparison'!W13="Conditional")*'10 Scoring &amp; Weights'!$C$8+('03 Feature Comparison'!W13="Unknown")*'10 Scoring &amp; Weights'!$C$9+('03 Feature Comparison'!W13="No")*'10 Scoring &amp; Weights'!$C$10)</f>
        <v>0.25</v>
      </c>
      <c r="L73" s="79" t="n">
        <f aca="false">(('03 Feature Comparison'!W14="Yes")*'10 Scoring &amp; Weights'!$C$7+('03 Feature Comparison'!W14="Conditional")*'10 Scoring &amp; Weights'!$C$8+('03 Feature Comparison'!W14="Unknown")*'10 Scoring &amp; Weights'!$C$9+('03 Feature Comparison'!W14="No")*'10 Scoring &amp; Weights'!$C$10)</f>
        <v>0.25</v>
      </c>
      <c r="M73" s="79" t="n">
        <f aca="false">(('03 Feature Comparison'!W15="Yes")*'10 Scoring &amp; Weights'!$C$7+('03 Feature Comparison'!W15="Conditional")*'10 Scoring &amp; Weights'!$C$8+('03 Feature Comparison'!W15="Unknown")*'10 Scoring &amp; Weights'!$C$9+('03 Feature Comparison'!W15="No")*'10 Scoring &amp; Weights'!$C$10)</f>
        <v>0.25</v>
      </c>
      <c r="N73" s="79" t="n">
        <f aca="false">(('03 Feature Comparison'!W16="Yes")*'10 Scoring &amp; Weights'!$C$7+('03 Feature Comparison'!W16="Conditional")*'10 Scoring &amp; Weights'!$C$8+('03 Feature Comparison'!W16="Unknown")*'10 Scoring &amp; Weights'!$C$9+('03 Feature Comparison'!W16="No")*'10 Scoring &amp; Weights'!$C$10)</f>
        <v>0.25</v>
      </c>
      <c r="O73" s="79" t="n">
        <f aca="false">(('03 Feature Comparison'!W17="Yes")*'10 Scoring &amp; Weights'!$C$7+('03 Feature Comparison'!W17="Conditional")*'10 Scoring &amp; Weights'!$C$8+('03 Feature Comparison'!W17="Unknown")*'10 Scoring &amp; Weights'!$C$9+('03 Feature Comparison'!W17="No")*'10 Scoring &amp; Weights'!$C$10)</f>
        <v>0.25</v>
      </c>
      <c r="P73" s="79" t="n">
        <f aca="false">(('03 Feature Comparison'!W18="Yes")*'10 Scoring &amp; Weights'!$C$7+('03 Feature Comparison'!W18="Conditional")*'10 Scoring &amp; Weights'!$C$8+('03 Feature Comparison'!W18="Unknown")*'10 Scoring &amp; Weights'!$C$9+('03 Feature Comparison'!W18="No")*'10 Scoring &amp; Weights'!$C$10)</f>
        <v>0.25</v>
      </c>
    </row>
    <row r="74" customFormat="false" ht="15" hidden="false" customHeight="false" outlineLevel="0" collapsed="false">
      <c r="B74" s="42" t="s">
        <v>389</v>
      </c>
      <c r="C74" s="54" t="s">
        <v>449</v>
      </c>
      <c r="D74" s="79" t="n">
        <f aca="false">(('03 Feature Comparison'!X6="Yes")*'10 Scoring &amp; Weights'!$C$7+('03 Feature Comparison'!X6="Conditional")*'10 Scoring &amp; Weights'!$C$8+('03 Feature Comparison'!X6="Unknown")*'10 Scoring &amp; Weights'!$C$9+('03 Feature Comparison'!X6="No")*'10 Scoring &amp; Weights'!$C$10)</f>
        <v>1</v>
      </c>
      <c r="E74" s="79" t="n">
        <f aca="false">(('03 Feature Comparison'!X7="Yes")*'10 Scoring &amp; Weights'!$C$7+('03 Feature Comparison'!X7="Conditional")*'10 Scoring &amp; Weights'!$C$8+('03 Feature Comparison'!X7="Unknown")*'10 Scoring &amp; Weights'!$C$9+('03 Feature Comparison'!X7="No")*'10 Scoring &amp; Weights'!$C$10)</f>
        <v>0.25</v>
      </c>
      <c r="F74" s="79" t="n">
        <f aca="false">(('03 Feature Comparison'!X8="Yes")*'10 Scoring &amp; Weights'!$C$7+('03 Feature Comparison'!X8="Conditional")*'10 Scoring &amp; Weights'!$C$8+('03 Feature Comparison'!X8="Unknown")*'10 Scoring &amp; Weights'!$C$9+('03 Feature Comparison'!X8="No")*'10 Scoring &amp; Weights'!$C$10)</f>
        <v>0.25</v>
      </c>
      <c r="G74" s="79" t="n">
        <f aca="false">(('03 Feature Comparison'!X9="Yes")*'10 Scoring &amp; Weights'!$C$7+('03 Feature Comparison'!X9="Conditional")*'10 Scoring &amp; Weights'!$C$8+('03 Feature Comparison'!X9="Unknown")*'10 Scoring &amp; Weights'!$C$9+('03 Feature Comparison'!X9="No")*'10 Scoring &amp; Weights'!$C$10)</f>
        <v>1</v>
      </c>
      <c r="H74" s="79" t="n">
        <f aca="false">(('03 Feature Comparison'!X10="Yes")*'10 Scoring &amp; Weights'!$C$7+('03 Feature Comparison'!X10="Conditional")*'10 Scoring &amp; Weights'!$C$8+('03 Feature Comparison'!X10="Unknown")*'10 Scoring &amp; Weights'!$C$9+('03 Feature Comparison'!X10="No")*'10 Scoring &amp; Weights'!$C$10)</f>
        <v>1</v>
      </c>
      <c r="I74" s="79" t="n">
        <f aca="false">(('03 Feature Comparison'!X11="Yes")*'10 Scoring &amp; Weights'!$C$7+('03 Feature Comparison'!X11="Conditional")*'10 Scoring &amp; Weights'!$C$8+('03 Feature Comparison'!X11="Unknown")*'10 Scoring &amp; Weights'!$C$9+('03 Feature Comparison'!X11="No")*'10 Scoring &amp; Weights'!$C$10)</f>
        <v>0.25</v>
      </c>
      <c r="J74" s="79" t="n">
        <f aca="false">(('03 Feature Comparison'!X12="Yes")*'10 Scoring &amp; Weights'!$C$7+('03 Feature Comparison'!X12="Conditional")*'10 Scoring &amp; Weights'!$C$8+('03 Feature Comparison'!X12="Unknown")*'10 Scoring &amp; Weights'!$C$9+('03 Feature Comparison'!X12="No")*'10 Scoring &amp; Weights'!$C$10)</f>
        <v>1</v>
      </c>
      <c r="K74" s="79" t="n">
        <f aca="false">(('03 Feature Comparison'!X13="Yes")*'10 Scoring &amp; Weights'!$C$7+('03 Feature Comparison'!X13="Conditional")*'10 Scoring &amp; Weights'!$C$8+('03 Feature Comparison'!X13="Unknown")*'10 Scoring &amp; Weights'!$C$9+('03 Feature Comparison'!X13="No")*'10 Scoring &amp; Weights'!$C$10)</f>
        <v>1</v>
      </c>
      <c r="L74" s="79" t="n">
        <f aca="false">(('03 Feature Comparison'!X14="Yes")*'10 Scoring &amp; Weights'!$C$7+('03 Feature Comparison'!X14="Conditional")*'10 Scoring &amp; Weights'!$C$8+('03 Feature Comparison'!X14="Unknown")*'10 Scoring &amp; Weights'!$C$9+('03 Feature Comparison'!X14="No")*'10 Scoring &amp; Weights'!$C$10)</f>
        <v>1</v>
      </c>
      <c r="M74" s="79" t="n">
        <f aca="false">(('03 Feature Comparison'!X15="Yes")*'10 Scoring &amp; Weights'!$C$7+('03 Feature Comparison'!X15="Conditional")*'10 Scoring &amp; Weights'!$C$8+('03 Feature Comparison'!X15="Unknown")*'10 Scoring &amp; Weights'!$C$9+('03 Feature Comparison'!X15="No")*'10 Scoring &amp; Weights'!$C$10)</f>
        <v>1</v>
      </c>
      <c r="N74" s="79" t="n">
        <f aca="false">(('03 Feature Comparison'!X16="Yes")*'10 Scoring &amp; Weights'!$C$7+('03 Feature Comparison'!X16="Conditional")*'10 Scoring &amp; Weights'!$C$8+('03 Feature Comparison'!X16="Unknown")*'10 Scoring &amp; Weights'!$C$9+('03 Feature Comparison'!X16="No")*'10 Scoring &amp; Weights'!$C$10)</f>
        <v>0.25</v>
      </c>
      <c r="O74" s="79" t="n">
        <f aca="false">(('03 Feature Comparison'!X17="Yes")*'10 Scoring &amp; Weights'!$C$7+('03 Feature Comparison'!X17="Conditional")*'10 Scoring &amp; Weights'!$C$8+('03 Feature Comparison'!X17="Unknown")*'10 Scoring &amp; Weights'!$C$9+('03 Feature Comparison'!X17="No")*'10 Scoring &amp; Weights'!$C$10)</f>
        <v>0.25</v>
      </c>
      <c r="P74" s="79" t="n">
        <f aca="false">(('03 Feature Comparison'!X18="Yes")*'10 Scoring &amp; Weights'!$C$7+('03 Feature Comparison'!X18="Conditional")*'10 Scoring &amp; Weights'!$C$8+('03 Feature Comparison'!X18="Unknown")*'10 Scoring &amp; Weights'!$C$9+('03 Feature Comparison'!X18="No")*'10 Scoring &amp; Weights'!$C$10)</f>
        <v>0.25</v>
      </c>
    </row>
    <row r="75" customFormat="false" ht="15" hidden="false" customHeight="false" outlineLevel="0" collapsed="false">
      <c r="B75" s="42" t="s">
        <v>390</v>
      </c>
      <c r="C75" s="54" t="s">
        <v>451</v>
      </c>
      <c r="D75" s="79" t="n">
        <f aca="false">(('03 Feature Comparison'!Y6="Yes")*'10 Scoring &amp; Weights'!$C$7+('03 Feature Comparison'!Y6="Conditional")*'10 Scoring &amp; Weights'!$C$8+('03 Feature Comparison'!Y6="Unknown")*'10 Scoring &amp; Weights'!$C$9+('03 Feature Comparison'!Y6="No")*'10 Scoring &amp; Weights'!$C$10)</f>
        <v>1</v>
      </c>
      <c r="E75" s="79" t="n">
        <f aca="false">(('03 Feature Comparison'!Y7="Yes")*'10 Scoring &amp; Weights'!$C$7+('03 Feature Comparison'!Y7="Conditional")*'10 Scoring &amp; Weights'!$C$8+('03 Feature Comparison'!Y7="Unknown")*'10 Scoring &amp; Weights'!$C$9+('03 Feature Comparison'!Y7="No")*'10 Scoring &amp; Weights'!$C$10)</f>
        <v>0.25</v>
      </c>
      <c r="F75" s="79" t="n">
        <f aca="false">(('03 Feature Comparison'!Y8="Yes")*'10 Scoring &amp; Weights'!$C$7+('03 Feature Comparison'!Y8="Conditional")*'10 Scoring &amp; Weights'!$C$8+('03 Feature Comparison'!Y8="Unknown")*'10 Scoring &amp; Weights'!$C$9+('03 Feature Comparison'!Y8="No")*'10 Scoring &amp; Weights'!$C$10)</f>
        <v>1</v>
      </c>
      <c r="G75" s="79" t="n">
        <f aca="false">(('03 Feature Comparison'!Y9="Yes")*'10 Scoring &amp; Weights'!$C$7+('03 Feature Comparison'!Y9="Conditional")*'10 Scoring &amp; Weights'!$C$8+('03 Feature Comparison'!Y9="Unknown")*'10 Scoring &amp; Weights'!$C$9+('03 Feature Comparison'!Y9="No")*'10 Scoring &amp; Weights'!$C$10)</f>
        <v>1</v>
      </c>
      <c r="H75" s="79" t="n">
        <f aca="false">(('03 Feature Comparison'!Y10="Yes")*'10 Scoring &amp; Weights'!$C$7+('03 Feature Comparison'!Y10="Conditional")*'10 Scoring &amp; Weights'!$C$8+('03 Feature Comparison'!Y10="Unknown")*'10 Scoring &amp; Weights'!$C$9+('03 Feature Comparison'!Y10="No")*'10 Scoring &amp; Weights'!$C$10)</f>
        <v>1</v>
      </c>
      <c r="I75" s="79" t="n">
        <f aca="false">(('03 Feature Comparison'!Y11="Yes")*'10 Scoring &amp; Weights'!$C$7+('03 Feature Comparison'!Y11="Conditional")*'10 Scoring &amp; Weights'!$C$8+('03 Feature Comparison'!Y11="Unknown")*'10 Scoring &amp; Weights'!$C$9+('03 Feature Comparison'!Y11="No")*'10 Scoring &amp; Weights'!$C$10)</f>
        <v>1</v>
      </c>
      <c r="J75" s="79" t="n">
        <f aca="false">(('03 Feature Comparison'!Y12="Yes")*'10 Scoring &amp; Weights'!$C$7+('03 Feature Comparison'!Y12="Conditional")*'10 Scoring &amp; Weights'!$C$8+('03 Feature Comparison'!Y12="Unknown")*'10 Scoring &amp; Weights'!$C$9+('03 Feature Comparison'!Y12="No")*'10 Scoring &amp; Weights'!$C$10)</f>
        <v>1</v>
      </c>
      <c r="K75" s="79" t="n">
        <f aca="false">(('03 Feature Comparison'!Y13="Yes")*'10 Scoring &amp; Weights'!$C$7+('03 Feature Comparison'!Y13="Conditional")*'10 Scoring &amp; Weights'!$C$8+('03 Feature Comparison'!Y13="Unknown")*'10 Scoring &amp; Weights'!$C$9+('03 Feature Comparison'!Y13="No")*'10 Scoring &amp; Weights'!$C$10)</f>
        <v>1</v>
      </c>
      <c r="L75" s="79" t="n">
        <f aca="false">(('03 Feature Comparison'!Y14="Yes")*'10 Scoring &amp; Weights'!$C$7+('03 Feature Comparison'!Y14="Conditional")*'10 Scoring &amp; Weights'!$C$8+('03 Feature Comparison'!Y14="Unknown")*'10 Scoring &amp; Weights'!$C$9+('03 Feature Comparison'!Y14="No")*'10 Scoring &amp; Weights'!$C$10)</f>
        <v>1</v>
      </c>
      <c r="M75" s="79" t="n">
        <f aca="false">(('03 Feature Comparison'!Y15="Yes")*'10 Scoring &amp; Weights'!$C$7+('03 Feature Comparison'!Y15="Conditional")*'10 Scoring &amp; Weights'!$C$8+('03 Feature Comparison'!Y15="Unknown")*'10 Scoring &amp; Weights'!$C$9+('03 Feature Comparison'!Y15="No")*'10 Scoring &amp; Weights'!$C$10)</f>
        <v>1</v>
      </c>
      <c r="N75" s="79" t="n">
        <f aca="false">(('03 Feature Comparison'!Y16="Yes")*'10 Scoring &amp; Weights'!$C$7+('03 Feature Comparison'!Y16="Conditional")*'10 Scoring &amp; Weights'!$C$8+('03 Feature Comparison'!Y16="Unknown")*'10 Scoring &amp; Weights'!$C$9+('03 Feature Comparison'!Y16="No")*'10 Scoring &amp; Weights'!$C$10)</f>
        <v>1</v>
      </c>
      <c r="O75" s="79" t="n">
        <f aca="false">(('03 Feature Comparison'!Y17="Yes")*'10 Scoring &amp; Weights'!$C$7+('03 Feature Comparison'!Y17="Conditional")*'10 Scoring &amp; Weights'!$C$8+('03 Feature Comparison'!Y17="Unknown")*'10 Scoring &amp; Weights'!$C$9+('03 Feature Comparison'!Y17="No")*'10 Scoring &amp; Weights'!$C$10)</f>
        <v>1</v>
      </c>
      <c r="P75" s="79" t="n">
        <f aca="false">(('03 Feature Comparison'!Y18="Yes")*'10 Scoring &amp; Weights'!$C$7+('03 Feature Comparison'!Y18="Conditional")*'10 Scoring &amp; Weights'!$C$8+('03 Feature Comparison'!Y18="Unknown")*'10 Scoring &amp; Weights'!$C$9+('03 Feature Comparison'!Y18="No")*'10 Scoring &amp; Weights'!$C$10)</f>
        <v>1</v>
      </c>
    </row>
    <row r="76" customFormat="false" ht="15" hidden="false" customHeight="false" outlineLevel="0" collapsed="false">
      <c r="B76" s="42" t="s">
        <v>391</v>
      </c>
      <c r="C76" s="54" t="s">
        <v>453</v>
      </c>
      <c r="D76" s="79" t="n">
        <f aca="false">(('03 Feature Comparison'!Z6="Yes")*'10 Scoring &amp; Weights'!$C$7+('03 Feature Comparison'!Z6="Conditional")*'10 Scoring &amp; Weights'!$C$8+('03 Feature Comparison'!Z6="Unknown")*'10 Scoring &amp; Weights'!$C$9+('03 Feature Comparison'!Z6="No")*'10 Scoring &amp; Weights'!$C$10)</f>
        <v>0.25</v>
      </c>
      <c r="E76" s="79" t="n">
        <f aca="false">(('03 Feature Comparison'!Z7="Yes")*'10 Scoring &amp; Weights'!$C$7+('03 Feature Comparison'!Z7="Conditional")*'10 Scoring &amp; Weights'!$C$8+('03 Feature Comparison'!Z7="Unknown")*'10 Scoring &amp; Weights'!$C$9+('03 Feature Comparison'!Z7="No")*'10 Scoring &amp; Weights'!$C$10)</f>
        <v>0.25</v>
      </c>
      <c r="F76" s="79" t="n">
        <f aca="false">(('03 Feature Comparison'!Z8="Yes")*'10 Scoring &amp; Weights'!$C$7+('03 Feature Comparison'!Z8="Conditional")*'10 Scoring &amp; Weights'!$C$8+('03 Feature Comparison'!Z8="Unknown")*'10 Scoring &amp; Weights'!$C$9+('03 Feature Comparison'!Z8="No")*'10 Scoring &amp; Weights'!$C$10)</f>
        <v>0.25</v>
      </c>
      <c r="G76" s="79" t="n">
        <f aca="false">(('03 Feature Comparison'!Z9="Yes")*'10 Scoring &amp; Weights'!$C$7+('03 Feature Comparison'!Z9="Conditional")*'10 Scoring &amp; Weights'!$C$8+('03 Feature Comparison'!Z9="Unknown")*'10 Scoring &amp; Weights'!$C$9+('03 Feature Comparison'!Z9="No")*'10 Scoring &amp; Weights'!$C$10)</f>
        <v>0.25</v>
      </c>
      <c r="H76" s="79" t="n">
        <f aca="false">(('03 Feature Comparison'!Z10="Yes")*'10 Scoring &amp; Weights'!$C$7+('03 Feature Comparison'!Z10="Conditional")*'10 Scoring &amp; Weights'!$C$8+('03 Feature Comparison'!Z10="Unknown")*'10 Scoring &amp; Weights'!$C$9+('03 Feature Comparison'!Z10="No")*'10 Scoring &amp; Weights'!$C$10)</f>
        <v>0.25</v>
      </c>
      <c r="I76" s="79" t="n">
        <f aca="false">(('03 Feature Comparison'!Z11="Yes")*'10 Scoring &amp; Weights'!$C$7+('03 Feature Comparison'!Z11="Conditional")*'10 Scoring &amp; Weights'!$C$8+('03 Feature Comparison'!Z11="Unknown")*'10 Scoring &amp; Weights'!$C$9+('03 Feature Comparison'!Z11="No")*'10 Scoring &amp; Weights'!$C$10)</f>
        <v>0.25</v>
      </c>
      <c r="J76" s="79" t="n">
        <f aca="false">(('03 Feature Comparison'!Z12="Yes")*'10 Scoring &amp; Weights'!$C$7+('03 Feature Comparison'!Z12="Conditional")*'10 Scoring &amp; Weights'!$C$8+('03 Feature Comparison'!Z12="Unknown")*'10 Scoring &amp; Weights'!$C$9+('03 Feature Comparison'!Z12="No")*'10 Scoring &amp; Weights'!$C$10)</f>
        <v>0.25</v>
      </c>
      <c r="K76" s="79" t="n">
        <f aca="false">(('03 Feature Comparison'!Z13="Yes")*'10 Scoring &amp; Weights'!$C$7+('03 Feature Comparison'!Z13="Conditional")*'10 Scoring &amp; Weights'!$C$8+('03 Feature Comparison'!Z13="Unknown")*'10 Scoring &amp; Weights'!$C$9+('03 Feature Comparison'!Z13="No")*'10 Scoring &amp; Weights'!$C$10)</f>
        <v>0.25</v>
      </c>
      <c r="L76" s="79" t="n">
        <f aca="false">(('03 Feature Comparison'!Z14="Yes")*'10 Scoring &amp; Weights'!$C$7+('03 Feature Comparison'!Z14="Conditional")*'10 Scoring &amp; Weights'!$C$8+('03 Feature Comparison'!Z14="Unknown")*'10 Scoring &amp; Weights'!$C$9+('03 Feature Comparison'!Z14="No")*'10 Scoring &amp; Weights'!$C$10)</f>
        <v>0.25</v>
      </c>
      <c r="M76" s="79" t="n">
        <f aca="false">(('03 Feature Comparison'!Z15="Yes")*'10 Scoring &amp; Weights'!$C$7+('03 Feature Comparison'!Z15="Conditional")*'10 Scoring &amp; Weights'!$C$8+('03 Feature Comparison'!Z15="Unknown")*'10 Scoring &amp; Weights'!$C$9+('03 Feature Comparison'!Z15="No")*'10 Scoring &amp; Weights'!$C$10)</f>
        <v>0.25</v>
      </c>
      <c r="N76" s="79" t="n">
        <f aca="false">(('03 Feature Comparison'!Z16="Yes")*'10 Scoring &amp; Weights'!$C$7+('03 Feature Comparison'!Z16="Conditional")*'10 Scoring &amp; Weights'!$C$8+('03 Feature Comparison'!Z16="Unknown")*'10 Scoring &amp; Weights'!$C$9+('03 Feature Comparison'!Z16="No")*'10 Scoring &amp; Weights'!$C$10)</f>
        <v>0.25</v>
      </c>
      <c r="O76" s="79" t="n">
        <f aca="false">(('03 Feature Comparison'!Z17="Yes")*'10 Scoring &amp; Weights'!$C$7+('03 Feature Comparison'!Z17="Conditional")*'10 Scoring &amp; Weights'!$C$8+('03 Feature Comparison'!Z17="Unknown")*'10 Scoring &amp; Weights'!$C$9+('03 Feature Comparison'!Z17="No")*'10 Scoring &amp; Weights'!$C$10)</f>
        <v>0.25</v>
      </c>
      <c r="P76" s="79" t="n">
        <f aca="false">(('03 Feature Comparison'!Z18="Yes")*'10 Scoring &amp; Weights'!$C$7+('03 Feature Comparison'!Z18="Conditional")*'10 Scoring &amp; Weights'!$C$8+('03 Feature Comparison'!Z18="Unknown")*'10 Scoring &amp; Weights'!$C$9+('03 Feature Comparison'!Z18="No")*'10 Scoring &amp; Weights'!$C$10)</f>
        <v>0.25</v>
      </c>
    </row>
    <row r="77" customFormat="false" ht="15" hidden="false" customHeight="false" outlineLevel="0" collapsed="false">
      <c r="B77" s="42" t="s">
        <v>392</v>
      </c>
      <c r="C77" s="54" t="s">
        <v>454</v>
      </c>
      <c r="D77" s="79" t="n">
        <f aca="false">(('03 Feature Comparison'!AA6="Yes")*'10 Scoring &amp; Weights'!$C$7+('03 Feature Comparison'!AA6="Conditional")*'10 Scoring &amp; Weights'!$C$8+('03 Feature Comparison'!AA6="Unknown")*'10 Scoring &amp; Weights'!$C$9+('03 Feature Comparison'!AA6="No")*'10 Scoring &amp; Weights'!$C$10)</f>
        <v>1</v>
      </c>
      <c r="E77" s="79" t="n">
        <f aca="false">(('03 Feature Comparison'!AA7="Yes")*'10 Scoring &amp; Weights'!$C$7+('03 Feature Comparison'!AA7="Conditional")*'10 Scoring &amp; Weights'!$C$8+('03 Feature Comparison'!AA7="Unknown")*'10 Scoring &amp; Weights'!$C$9+('03 Feature Comparison'!AA7="No")*'10 Scoring &amp; Weights'!$C$10)</f>
        <v>0.25</v>
      </c>
      <c r="F77" s="79" t="n">
        <f aca="false">(('03 Feature Comparison'!AA8="Yes")*'10 Scoring &amp; Weights'!$C$7+('03 Feature Comparison'!AA8="Conditional")*'10 Scoring &amp; Weights'!$C$8+('03 Feature Comparison'!AA8="Unknown")*'10 Scoring &amp; Weights'!$C$9+('03 Feature Comparison'!AA8="No")*'10 Scoring &amp; Weights'!$C$10)</f>
        <v>1</v>
      </c>
      <c r="G77" s="79" t="n">
        <f aca="false">(('03 Feature Comparison'!AA9="Yes")*'10 Scoring &amp; Weights'!$C$7+('03 Feature Comparison'!AA9="Conditional")*'10 Scoring &amp; Weights'!$C$8+('03 Feature Comparison'!AA9="Unknown")*'10 Scoring &amp; Weights'!$C$9+('03 Feature Comparison'!AA9="No")*'10 Scoring &amp; Weights'!$C$10)</f>
        <v>1</v>
      </c>
      <c r="H77" s="79" t="n">
        <f aca="false">(('03 Feature Comparison'!AA10="Yes")*'10 Scoring &amp; Weights'!$C$7+('03 Feature Comparison'!AA10="Conditional")*'10 Scoring &amp; Weights'!$C$8+('03 Feature Comparison'!AA10="Unknown")*'10 Scoring &amp; Weights'!$C$9+('03 Feature Comparison'!AA10="No")*'10 Scoring &amp; Weights'!$C$10)</f>
        <v>1</v>
      </c>
      <c r="I77" s="79" t="n">
        <f aca="false">(('03 Feature Comparison'!AA11="Yes")*'10 Scoring &amp; Weights'!$C$7+('03 Feature Comparison'!AA11="Conditional")*'10 Scoring &amp; Weights'!$C$8+('03 Feature Comparison'!AA11="Unknown")*'10 Scoring &amp; Weights'!$C$9+('03 Feature Comparison'!AA11="No")*'10 Scoring &amp; Weights'!$C$10)</f>
        <v>0</v>
      </c>
      <c r="J77" s="79" t="n">
        <f aca="false">(('03 Feature Comparison'!AA12="Yes")*'10 Scoring &amp; Weights'!$C$7+('03 Feature Comparison'!AA12="Conditional")*'10 Scoring &amp; Weights'!$C$8+('03 Feature Comparison'!AA12="Unknown")*'10 Scoring &amp; Weights'!$C$9+('03 Feature Comparison'!AA12="No")*'10 Scoring &amp; Weights'!$C$10)</f>
        <v>0.25</v>
      </c>
      <c r="K77" s="79" t="n">
        <f aca="false">(('03 Feature Comparison'!AA13="Yes")*'10 Scoring &amp; Weights'!$C$7+('03 Feature Comparison'!AA13="Conditional")*'10 Scoring &amp; Weights'!$C$8+('03 Feature Comparison'!AA13="Unknown")*'10 Scoring &amp; Weights'!$C$9+('03 Feature Comparison'!AA13="No")*'10 Scoring &amp; Weights'!$C$10)</f>
        <v>0.25</v>
      </c>
      <c r="L77" s="79" t="n">
        <f aca="false">(('03 Feature Comparison'!AA14="Yes")*'10 Scoring &amp; Weights'!$C$7+('03 Feature Comparison'!AA14="Conditional")*'10 Scoring &amp; Weights'!$C$8+('03 Feature Comparison'!AA14="Unknown")*'10 Scoring &amp; Weights'!$C$9+('03 Feature Comparison'!AA14="No")*'10 Scoring &amp; Weights'!$C$10)</f>
        <v>1</v>
      </c>
      <c r="M77" s="79" t="n">
        <f aca="false">(('03 Feature Comparison'!AA15="Yes")*'10 Scoring &amp; Weights'!$C$7+('03 Feature Comparison'!AA15="Conditional")*'10 Scoring &amp; Weights'!$C$8+('03 Feature Comparison'!AA15="Unknown")*'10 Scoring &amp; Weights'!$C$9+('03 Feature Comparison'!AA15="No")*'10 Scoring &amp; Weights'!$C$10)</f>
        <v>0.25</v>
      </c>
      <c r="N77" s="79" t="n">
        <f aca="false">(('03 Feature Comparison'!AA16="Yes")*'10 Scoring &amp; Weights'!$C$7+('03 Feature Comparison'!AA16="Conditional")*'10 Scoring &amp; Weights'!$C$8+('03 Feature Comparison'!AA16="Unknown")*'10 Scoring &amp; Weights'!$C$9+('03 Feature Comparison'!AA16="No")*'10 Scoring &amp; Weights'!$C$10)</f>
        <v>1</v>
      </c>
      <c r="O77" s="79" t="n">
        <f aca="false">(('03 Feature Comparison'!AA17="Yes")*'10 Scoring &amp; Weights'!$C$7+('03 Feature Comparison'!AA17="Conditional")*'10 Scoring &amp; Weights'!$C$8+('03 Feature Comparison'!AA17="Unknown")*'10 Scoring &amp; Weights'!$C$9+('03 Feature Comparison'!AA17="No")*'10 Scoring &amp; Weights'!$C$10)</f>
        <v>0.25</v>
      </c>
      <c r="P77" s="79" t="n">
        <f aca="false">(('03 Feature Comparison'!AA18="Yes")*'10 Scoring &amp; Weights'!$C$7+('03 Feature Comparison'!AA18="Conditional")*'10 Scoring &amp; Weights'!$C$8+('03 Feature Comparison'!AA18="Unknown")*'10 Scoring &amp; Weights'!$C$9+('03 Feature Comparison'!AA18="No")*'10 Scoring &amp; Weights'!$C$10)</f>
        <v>1</v>
      </c>
    </row>
    <row r="78" customFormat="false" ht="15" hidden="false" customHeight="false" outlineLevel="0" collapsed="false">
      <c r="B78" s="42" t="s">
        <v>988</v>
      </c>
      <c r="C78" s="54" t="s">
        <v>989</v>
      </c>
      <c r="D78" s="79" t="n">
        <f aca="false">IF('03 Feature Comparison'!AG6="",'10 Scoring &amp; Weights'!$C$9,IF('03 Feature Comparison'!AH6="X",'10 Scoring &amp; Weights'!$C$8,IF('03 Feature Comparison'!AG6&gt;='10 Scoring &amp; Weights'!$C$14,'10 Scoring &amp; Weights'!$D$14,IF('03 Feature Comparison'!AG6&gt;='10 Scoring &amp; Weights'!$C$15,'10 Scoring &amp; Weights'!$D$15,'10 Scoring &amp; Weights'!$D$16))))</f>
        <v>0.5</v>
      </c>
      <c r="E78" s="79" t="n">
        <f aca="false">IF('03 Feature Comparison'!AG7="",'10 Scoring &amp; Weights'!$C$9,IF('03 Feature Comparison'!AH7="X",'10 Scoring &amp; Weights'!$C$8,IF('03 Feature Comparison'!AG7&gt;='10 Scoring &amp; Weights'!$C$14,'10 Scoring &amp; Weights'!$D$14,IF('03 Feature Comparison'!AG7&gt;='10 Scoring &amp; Weights'!$C$15,'10 Scoring &amp; Weights'!$D$15,'10 Scoring &amp; Weights'!$D$16))))</f>
        <v>0.25</v>
      </c>
      <c r="F78" s="79" t="n">
        <f aca="false">IF('03 Feature Comparison'!AG8="",'10 Scoring &amp; Weights'!$C$9,IF('03 Feature Comparison'!AH8="X",'10 Scoring &amp; Weights'!$C$8,IF('03 Feature Comparison'!AG8&gt;='10 Scoring &amp; Weights'!$C$14,'10 Scoring &amp; Weights'!$D$14,IF('03 Feature Comparison'!AG8&gt;='10 Scoring &amp; Weights'!$C$15,'10 Scoring &amp; Weights'!$D$15,'10 Scoring &amp; Weights'!$D$16))))</f>
        <v>0.6</v>
      </c>
      <c r="G78" s="79" t="n">
        <f aca="false">IF('03 Feature Comparison'!AG9="",'10 Scoring &amp; Weights'!$C$9,IF('03 Feature Comparison'!AH9="X",'10 Scoring &amp; Weights'!$C$8,IF('03 Feature Comparison'!AG9&gt;='10 Scoring &amp; Weights'!$C$14,'10 Scoring &amp; Weights'!$D$14,IF('03 Feature Comparison'!AG9&gt;='10 Scoring &amp; Weights'!$C$15,'10 Scoring &amp; Weights'!$D$15,'10 Scoring &amp; Weights'!$D$16))))</f>
        <v>1</v>
      </c>
      <c r="H78" s="79" t="n">
        <f aca="false">IF('03 Feature Comparison'!AG10="",'10 Scoring &amp; Weights'!$C$9,IF('03 Feature Comparison'!AH10="X",'10 Scoring &amp; Weights'!$C$8,IF('03 Feature Comparison'!AG10&gt;='10 Scoring &amp; Weights'!$C$14,'10 Scoring &amp; Weights'!$D$14,IF('03 Feature Comparison'!AG10&gt;='10 Scoring &amp; Weights'!$C$15,'10 Scoring &amp; Weights'!$D$15,'10 Scoring &amp; Weights'!$D$16))))</f>
        <v>1</v>
      </c>
      <c r="I78" s="79" t="n">
        <f aca="false">IF('03 Feature Comparison'!AG11="",'10 Scoring &amp; Weights'!$C$9,IF('03 Feature Comparison'!AH11="X",'10 Scoring &amp; Weights'!$C$8,IF('03 Feature Comparison'!AG11&gt;='10 Scoring &amp; Weights'!$C$14,'10 Scoring &amp; Weights'!$D$14,IF('03 Feature Comparison'!AG11&gt;='10 Scoring &amp; Weights'!$C$15,'10 Scoring &amp; Weights'!$D$15,'10 Scoring &amp; Weights'!$D$16))))</f>
        <v>0.25</v>
      </c>
      <c r="J78" s="79" t="n">
        <f aca="false">IF('03 Feature Comparison'!AG12="",'10 Scoring &amp; Weights'!$C$9,IF('03 Feature Comparison'!AH12="X",'10 Scoring &amp; Weights'!$C$8,IF('03 Feature Comparison'!AG12&gt;='10 Scoring &amp; Weights'!$C$14,'10 Scoring &amp; Weights'!$D$14,IF('03 Feature Comparison'!AG12&gt;='10 Scoring &amp; Weights'!$C$15,'10 Scoring &amp; Weights'!$D$15,'10 Scoring &amp; Weights'!$D$16))))</f>
        <v>0.25</v>
      </c>
      <c r="K78" s="79" t="n">
        <f aca="false">IF('03 Feature Comparison'!AG13="",'10 Scoring &amp; Weights'!$C$9,IF('03 Feature Comparison'!AH13="X",'10 Scoring &amp; Weights'!$C$8,IF('03 Feature Comparison'!AG13&gt;='10 Scoring &amp; Weights'!$C$14,'10 Scoring &amp; Weights'!$D$14,IF('03 Feature Comparison'!AG13&gt;='10 Scoring &amp; Weights'!$C$15,'10 Scoring &amp; Weights'!$D$15,'10 Scoring &amp; Weights'!$D$16))))</f>
        <v>0.25</v>
      </c>
      <c r="L78" s="79" t="n">
        <f aca="false">IF('03 Feature Comparison'!AG14="",'10 Scoring &amp; Weights'!$C$9,IF('03 Feature Comparison'!AH14="X",'10 Scoring &amp; Weights'!$C$8,IF('03 Feature Comparison'!AG14&gt;='10 Scoring &amp; Weights'!$C$14,'10 Scoring &amp; Weights'!$D$14,IF('03 Feature Comparison'!AG14&gt;='10 Scoring &amp; Weights'!$C$15,'10 Scoring &amp; Weights'!$D$15,'10 Scoring &amp; Weights'!$D$16))))</f>
        <v>0.6</v>
      </c>
      <c r="M78" s="79" t="n">
        <f aca="false">IF('03 Feature Comparison'!AG15="",'10 Scoring &amp; Weights'!$C$9,IF('03 Feature Comparison'!AH15="X",'10 Scoring &amp; Weights'!$C$8,IF('03 Feature Comparison'!AG15&gt;='10 Scoring &amp; Weights'!$C$14,'10 Scoring &amp; Weights'!$D$14,IF('03 Feature Comparison'!AG15&gt;='10 Scoring &amp; Weights'!$C$15,'10 Scoring &amp; Weights'!$D$15,'10 Scoring &amp; Weights'!$D$16))))</f>
        <v>0.25</v>
      </c>
      <c r="N78" s="79" t="n">
        <f aca="false">IF('03 Feature Comparison'!AG16="",'10 Scoring &amp; Weights'!$C$9,IF('03 Feature Comparison'!AH16="X",'10 Scoring &amp; Weights'!$C$8,IF('03 Feature Comparison'!AG16&gt;='10 Scoring &amp; Weights'!$C$14,'10 Scoring &amp; Weights'!$D$14,IF('03 Feature Comparison'!AG16&gt;='10 Scoring &amp; Weights'!$C$15,'10 Scoring &amp; Weights'!$D$15,'10 Scoring &amp; Weights'!$D$16))))</f>
        <v>0.25</v>
      </c>
      <c r="O78" s="79" t="n">
        <f aca="false">IF('03 Feature Comparison'!AG17="",'10 Scoring &amp; Weights'!$C$9,IF('03 Feature Comparison'!AH17="X",'10 Scoring &amp; Weights'!$C$8,IF('03 Feature Comparison'!AG17&gt;='10 Scoring &amp; Weights'!$C$14,'10 Scoring &amp; Weights'!$D$14,IF('03 Feature Comparison'!AG17&gt;='10 Scoring &amp; Weights'!$C$15,'10 Scoring &amp; Weights'!$D$15,'10 Scoring &amp; Weights'!$D$16))))</f>
        <v>0.25</v>
      </c>
      <c r="P78" s="79" t="n">
        <f aca="false">IF('03 Feature Comparison'!AG18="",'10 Scoring &amp; Weights'!$C$9,IF('03 Feature Comparison'!AH18="X",'10 Scoring &amp; Weights'!$C$8,IF('03 Feature Comparison'!AG18&gt;='10 Scoring &amp; Weights'!$C$14,'10 Scoring &amp; Weights'!$D$14,IF('03 Feature Comparison'!AG18&gt;='10 Scoring &amp; Weights'!$C$15,'10 Scoring &amp; Weights'!$D$15,'10 Scoring &amp; Weights'!$D$16))))</f>
        <v>0.25</v>
      </c>
    </row>
    <row r="79" customFormat="false" ht="15" hidden="false" customHeight="false" outlineLevel="0" collapsed="false">
      <c r="B79" s="42" t="s">
        <v>990</v>
      </c>
      <c r="C79" s="54" t="s">
        <v>991</v>
      </c>
      <c r="D79" s="79" t="n">
        <f aca="false">IF('03 Feature Comparison'!AJ6="",'10 Scoring &amp; Weights'!$C$9,IF('03 Feature Comparison'!AJ6&lt;='10 Scoring &amp; Weights'!$C$17,'10 Scoring &amp; Weights'!$D$17,IF('03 Feature Comparison'!AJ6&lt;='10 Scoring &amp; Weights'!$C$18,'10 Scoring &amp; Weights'!$D$18,'10 Scoring &amp; Weights'!$D$19)))</f>
        <v>0.25</v>
      </c>
      <c r="E79" s="79" t="n">
        <f aca="false">IF('03 Feature Comparison'!AJ7="",'10 Scoring &amp; Weights'!$C$9,IF('03 Feature Comparison'!AJ7&lt;='10 Scoring &amp; Weights'!$C$17,'10 Scoring &amp; Weights'!$D$17,IF('03 Feature Comparison'!AJ7&lt;='10 Scoring &amp; Weights'!$C$18,'10 Scoring &amp; Weights'!$D$18,'10 Scoring &amp; Weights'!$D$19)))</f>
        <v>0.25</v>
      </c>
      <c r="F79" s="79" t="n">
        <f aca="false">IF('03 Feature Comparison'!AJ8="",'10 Scoring &amp; Weights'!$C$9,IF('03 Feature Comparison'!AJ8&lt;='10 Scoring &amp; Weights'!$C$17,'10 Scoring &amp; Weights'!$D$17,IF('03 Feature Comparison'!AJ8&lt;='10 Scoring &amp; Weights'!$C$18,'10 Scoring &amp; Weights'!$D$18,'10 Scoring &amp; Weights'!$D$19)))</f>
        <v>0.25</v>
      </c>
      <c r="G79" s="79" t="n">
        <f aca="false">IF('03 Feature Comparison'!AJ9="",'10 Scoring &amp; Weights'!$C$9,IF('03 Feature Comparison'!AJ9&lt;='10 Scoring &amp; Weights'!$C$17,'10 Scoring &amp; Weights'!$D$17,IF('03 Feature Comparison'!AJ9&lt;='10 Scoring &amp; Weights'!$C$18,'10 Scoring &amp; Weights'!$D$18,'10 Scoring &amp; Weights'!$D$19)))</f>
        <v>0.25</v>
      </c>
      <c r="H79" s="79" t="n">
        <f aca="false">IF('03 Feature Comparison'!AJ10="",'10 Scoring &amp; Weights'!$C$9,IF('03 Feature Comparison'!AJ10&lt;='10 Scoring &amp; Weights'!$C$17,'10 Scoring &amp; Weights'!$D$17,IF('03 Feature Comparison'!AJ10&lt;='10 Scoring &amp; Weights'!$C$18,'10 Scoring &amp; Weights'!$D$18,'10 Scoring &amp; Weights'!$D$19)))</f>
        <v>1</v>
      </c>
      <c r="I79" s="79" t="n">
        <f aca="false">IF('03 Feature Comparison'!AJ11="",'10 Scoring &amp; Weights'!$C$9,IF('03 Feature Comparison'!AJ11&lt;='10 Scoring &amp; Weights'!$C$17,'10 Scoring &amp; Weights'!$D$17,IF('03 Feature Comparison'!AJ11&lt;='10 Scoring &amp; Weights'!$C$18,'10 Scoring &amp; Weights'!$D$18,'10 Scoring &amp; Weights'!$D$19)))</f>
        <v>0.25</v>
      </c>
      <c r="J79" s="79" t="n">
        <f aca="false">IF('03 Feature Comparison'!AJ12="",'10 Scoring &amp; Weights'!$C$9,IF('03 Feature Comparison'!AJ12&lt;='10 Scoring &amp; Weights'!$C$17,'10 Scoring &amp; Weights'!$D$17,IF('03 Feature Comparison'!AJ12&lt;='10 Scoring &amp; Weights'!$C$18,'10 Scoring &amp; Weights'!$D$18,'10 Scoring &amp; Weights'!$D$19)))</f>
        <v>0.25</v>
      </c>
      <c r="K79" s="79" t="n">
        <f aca="false">IF('03 Feature Comparison'!AJ13="",'10 Scoring &amp; Weights'!$C$9,IF('03 Feature Comparison'!AJ13&lt;='10 Scoring &amp; Weights'!$C$17,'10 Scoring &amp; Weights'!$D$17,IF('03 Feature Comparison'!AJ13&lt;='10 Scoring &amp; Weights'!$C$18,'10 Scoring &amp; Weights'!$D$18,'10 Scoring &amp; Weights'!$D$19)))</f>
        <v>0.25</v>
      </c>
      <c r="L79" s="79" t="n">
        <f aca="false">IF('03 Feature Comparison'!AJ14="",'10 Scoring &amp; Weights'!$C$9,IF('03 Feature Comparison'!AJ14&lt;='10 Scoring &amp; Weights'!$C$17,'10 Scoring &amp; Weights'!$D$17,IF('03 Feature Comparison'!AJ14&lt;='10 Scoring &amp; Weights'!$C$18,'10 Scoring &amp; Weights'!$D$18,'10 Scoring &amp; Weights'!$D$19)))</f>
        <v>0.25</v>
      </c>
      <c r="M79" s="79" t="n">
        <f aca="false">IF('03 Feature Comparison'!AJ15="",'10 Scoring &amp; Weights'!$C$9,IF('03 Feature Comparison'!AJ15&lt;='10 Scoring &amp; Weights'!$C$17,'10 Scoring &amp; Weights'!$D$17,IF('03 Feature Comparison'!AJ15&lt;='10 Scoring &amp; Weights'!$C$18,'10 Scoring &amp; Weights'!$D$18,'10 Scoring &amp; Weights'!$D$19)))</f>
        <v>0.25</v>
      </c>
      <c r="N79" s="79" t="n">
        <f aca="false">IF('03 Feature Comparison'!AJ16="",'10 Scoring &amp; Weights'!$C$9,IF('03 Feature Comparison'!AJ16&lt;='10 Scoring &amp; Weights'!$C$17,'10 Scoring &amp; Weights'!$D$17,IF('03 Feature Comparison'!AJ16&lt;='10 Scoring &amp; Weights'!$C$18,'10 Scoring &amp; Weights'!$D$18,'10 Scoring &amp; Weights'!$D$19)))</f>
        <v>0.25</v>
      </c>
      <c r="O79" s="79" t="n">
        <f aca="false">IF('03 Feature Comparison'!AJ17="",'10 Scoring &amp; Weights'!$C$9,IF('03 Feature Comparison'!AJ17&lt;='10 Scoring &amp; Weights'!$C$17,'10 Scoring &amp; Weights'!$D$17,IF('03 Feature Comparison'!AJ17&lt;='10 Scoring &amp; Weights'!$C$18,'10 Scoring &amp; Weights'!$D$18,'10 Scoring &amp; Weights'!$D$19)))</f>
        <v>0.25</v>
      </c>
      <c r="P79" s="79" t="n">
        <f aca="false">IF('03 Feature Comparison'!AJ18="",'10 Scoring &amp; Weights'!$C$9,IF('03 Feature Comparison'!AJ18&lt;='10 Scoring &amp; Weights'!$C$17,'10 Scoring &amp; Weights'!$D$17,IF('03 Feature Comparison'!AJ18&lt;='10 Scoring &amp; Weights'!$C$18,'10 Scoring &amp; Weights'!$D$18,'10 Scoring &amp; Weights'!$D$19)))</f>
        <v>0.7</v>
      </c>
    </row>
    <row r="82" customFormat="false" ht="15" hidden="false" customHeight="false" outlineLevel="0" collapsed="false">
      <c r="B82" s="7" t="s">
        <v>994</v>
      </c>
      <c r="C82" s="7"/>
      <c r="D82" s="7"/>
      <c r="E82" s="7"/>
      <c r="F82" s="7"/>
      <c r="G82" s="7"/>
      <c r="H82" s="7"/>
      <c r="I82" s="7"/>
      <c r="J82" s="7"/>
      <c r="K82" s="7"/>
      <c r="L82" s="7"/>
      <c r="M82" s="7"/>
      <c r="N82" s="7"/>
      <c r="O82" s="7"/>
      <c r="P82" s="7"/>
    </row>
    <row r="84" customFormat="false" ht="15" hidden="false" customHeight="false" outlineLevel="0" collapsed="false">
      <c r="B84" s="80" t="s">
        <v>981</v>
      </c>
      <c r="C84" s="80" t="s">
        <v>982</v>
      </c>
      <c r="D84" s="8" t="s">
        <v>50</v>
      </c>
      <c r="E84" s="8" t="s">
        <v>60</v>
      </c>
      <c r="F84" s="8" t="s">
        <v>66</v>
      </c>
      <c r="G84" s="8" t="s">
        <v>72</v>
      </c>
      <c r="H84" s="8" t="s">
        <v>81</v>
      </c>
      <c r="I84" s="8" t="s">
        <v>87</v>
      </c>
      <c r="J84" s="8" t="s">
        <v>94</v>
      </c>
      <c r="K84" s="8" t="s">
        <v>99</v>
      </c>
      <c r="L84" s="8" t="s">
        <v>107</v>
      </c>
      <c r="M84" s="8" t="s">
        <v>113</v>
      </c>
      <c r="N84" s="8" t="s">
        <v>118</v>
      </c>
      <c r="O84" s="8" t="s">
        <v>123</v>
      </c>
      <c r="P84" s="8" t="s">
        <v>128</v>
      </c>
    </row>
    <row r="85" customFormat="false" ht="15" hidden="false" customHeight="false" outlineLevel="0" collapsed="false">
      <c r="B85" s="42" t="s">
        <v>371</v>
      </c>
      <c r="C85" s="54" t="s">
        <v>417</v>
      </c>
      <c r="D85" s="58" t="n">
        <f aca="false">IF('03 Feature Comparison'!F6="Unknown",1,0)</f>
        <v>0</v>
      </c>
      <c r="E85" s="58" t="n">
        <f aca="false">IF('03 Feature Comparison'!F7="Unknown",1,0)</f>
        <v>1</v>
      </c>
      <c r="F85" s="58" t="n">
        <f aca="false">IF('03 Feature Comparison'!F8="Unknown",1,0)</f>
        <v>1</v>
      </c>
      <c r="G85" s="58" t="n">
        <f aca="false">IF('03 Feature Comparison'!F9="Unknown",1,0)</f>
        <v>0</v>
      </c>
      <c r="H85" s="58" t="n">
        <f aca="false">IF('03 Feature Comparison'!F10="Unknown",1,0)</f>
        <v>0</v>
      </c>
      <c r="I85" s="58" t="n">
        <f aca="false">IF('03 Feature Comparison'!F11="Unknown",1,0)</f>
        <v>0</v>
      </c>
      <c r="J85" s="58" t="n">
        <f aca="false">IF('03 Feature Comparison'!F12="Unknown",1,0)</f>
        <v>0</v>
      </c>
      <c r="K85" s="58" t="n">
        <f aca="false">IF('03 Feature Comparison'!F13="Unknown",1,0)</f>
        <v>0</v>
      </c>
      <c r="L85" s="58" t="n">
        <f aca="false">IF('03 Feature Comparison'!F14="Unknown",1,0)</f>
        <v>1</v>
      </c>
      <c r="M85" s="58" t="n">
        <f aca="false">IF('03 Feature Comparison'!F15="Unknown",1,0)</f>
        <v>0</v>
      </c>
      <c r="N85" s="58" t="n">
        <f aca="false">IF('03 Feature Comparison'!F16="Unknown",1,0)</f>
        <v>0</v>
      </c>
      <c r="O85" s="58" t="n">
        <f aca="false">IF('03 Feature Comparison'!F17="Unknown",1,0)</f>
        <v>0</v>
      </c>
      <c r="P85" s="58" t="n">
        <f aca="false">IF('03 Feature Comparison'!F18="Unknown",1,0)</f>
        <v>0</v>
      </c>
    </row>
    <row r="86" customFormat="false" ht="15" hidden="false" customHeight="false" outlineLevel="0" collapsed="false">
      <c r="B86" s="42" t="s">
        <v>372</v>
      </c>
      <c r="C86" s="54" t="s">
        <v>420</v>
      </c>
      <c r="D86" s="58" t="n">
        <f aca="false">IF('03 Feature Comparison'!G6="Unknown",1,0)</f>
        <v>0</v>
      </c>
      <c r="E86" s="58" t="n">
        <f aca="false">IF('03 Feature Comparison'!G7="Unknown",1,0)</f>
        <v>1</v>
      </c>
      <c r="F86" s="58" t="n">
        <f aca="false">IF('03 Feature Comparison'!G8="Unknown",1,0)</f>
        <v>1</v>
      </c>
      <c r="G86" s="58" t="n">
        <f aca="false">IF('03 Feature Comparison'!G9="Unknown",1,0)</f>
        <v>0</v>
      </c>
      <c r="H86" s="58" t="n">
        <f aca="false">IF('03 Feature Comparison'!G10="Unknown",1,0)</f>
        <v>0</v>
      </c>
      <c r="I86" s="58" t="n">
        <f aca="false">IF('03 Feature Comparison'!G11="Unknown",1,0)</f>
        <v>1</v>
      </c>
      <c r="J86" s="58" t="n">
        <f aca="false">IF('03 Feature Comparison'!G12="Unknown",1,0)</f>
        <v>1</v>
      </c>
      <c r="K86" s="58" t="n">
        <f aca="false">IF('03 Feature Comparison'!G13="Unknown",1,0)</f>
        <v>0</v>
      </c>
      <c r="L86" s="58" t="n">
        <f aca="false">IF('03 Feature Comparison'!G14="Unknown",1,0)</f>
        <v>1</v>
      </c>
      <c r="M86" s="58" t="n">
        <f aca="false">IF('03 Feature Comparison'!G15="Unknown",1,0)</f>
        <v>0</v>
      </c>
      <c r="N86" s="58" t="n">
        <f aca="false">IF('03 Feature Comparison'!G16="Unknown",1,0)</f>
        <v>1</v>
      </c>
      <c r="O86" s="58" t="n">
        <f aca="false">IF('03 Feature Comparison'!G17="Unknown",1,0)</f>
        <v>1</v>
      </c>
      <c r="P86" s="58" t="n">
        <f aca="false">IF('03 Feature Comparison'!G18="Unknown",1,0)</f>
        <v>1</v>
      </c>
    </row>
    <row r="87" customFormat="false" ht="15" hidden="false" customHeight="false" outlineLevel="0" collapsed="false">
      <c r="B87" s="42" t="s">
        <v>373</v>
      </c>
      <c r="C87" s="54" t="s">
        <v>422</v>
      </c>
      <c r="D87" s="58" t="n">
        <f aca="false">IF('03 Feature Comparison'!H6="Unknown",1,0)</f>
        <v>0</v>
      </c>
      <c r="E87" s="58" t="n">
        <f aca="false">IF('03 Feature Comparison'!H7="Unknown",1,0)</f>
        <v>1</v>
      </c>
      <c r="F87" s="58" t="n">
        <f aca="false">IF('03 Feature Comparison'!H8="Unknown",1,0)</f>
        <v>1</v>
      </c>
      <c r="G87" s="58" t="n">
        <f aca="false">IF('03 Feature Comparison'!H9="Unknown",1,0)</f>
        <v>0</v>
      </c>
      <c r="H87" s="58" t="n">
        <f aca="false">IF('03 Feature Comparison'!H10="Unknown",1,0)</f>
        <v>1</v>
      </c>
      <c r="I87" s="58" t="n">
        <f aca="false">IF('03 Feature Comparison'!H11="Unknown",1,0)</f>
        <v>0</v>
      </c>
      <c r="J87" s="58" t="n">
        <f aca="false">IF('03 Feature Comparison'!H12="Unknown",1,0)</f>
        <v>1</v>
      </c>
      <c r="K87" s="58" t="n">
        <f aca="false">IF('03 Feature Comparison'!H13="Unknown",1,0)</f>
        <v>0</v>
      </c>
      <c r="L87" s="58" t="n">
        <f aca="false">IF('03 Feature Comparison'!H14="Unknown",1,0)</f>
        <v>1</v>
      </c>
      <c r="M87" s="58" t="n">
        <f aca="false">IF('03 Feature Comparison'!H15="Unknown",1,0)</f>
        <v>1</v>
      </c>
      <c r="N87" s="58" t="n">
        <f aca="false">IF('03 Feature Comparison'!H16="Unknown",1,0)</f>
        <v>1</v>
      </c>
      <c r="O87" s="58" t="n">
        <f aca="false">IF('03 Feature Comparison'!H17="Unknown",1,0)</f>
        <v>1</v>
      </c>
      <c r="P87" s="58" t="n">
        <f aca="false">IF('03 Feature Comparison'!H18="Unknown",1,0)</f>
        <v>1</v>
      </c>
    </row>
    <row r="88" customFormat="false" ht="15" hidden="false" customHeight="false" outlineLevel="0" collapsed="false">
      <c r="B88" s="42" t="s">
        <v>374</v>
      </c>
      <c r="C88" s="54" t="s">
        <v>424</v>
      </c>
      <c r="D88" s="58" t="n">
        <f aca="false">IF('03 Feature Comparison'!I6="Unknown",1,0)</f>
        <v>0</v>
      </c>
      <c r="E88" s="58" t="n">
        <f aca="false">IF('03 Feature Comparison'!I7="Unknown",1,0)</f>
        <v>1</v>
      </c>
      <c r="F88" s="58" t="n">
        <f aca="false">IF('03 Feature Comparison'!I8="Unknown",1,0)</f>
        <v>1</v>
      </c>
      <c r="G88" s="58" t="n">
        <f aca="false">IF('03 Feature Comparison'!I9="Unknown",1,0)</f>
        <v>0</v>
      </c>
      <c r="H88" s="58" t="n">
        <f aca="false">IF('03 Feature Comparison'!I10="Unknown",1,0)</f>
        <v>0</v>
      </c>
      <c r="I88" s="58" t="n">
        <f aca="false">IF('03 Feature Comparison'!I11="Unknown",1,0)</f>
        <v>0</v>
      </c>
      <c r="J88" s="58" t="n">
        <f aca="false">IF('03 Feature Comparison'!I12="Unknown",1,0)</f>
        <v>0</v>
      </c>
      <c r="K88" s="58" t="n">
        <f aca="false">IF('03 Feature Comparison'!I13="Unknown",1,0)</f>
        <v>1</v>
      </c>
      <c r="L88" s="58" t="n">
        <f aca="false">IF('03 Feature Comparison'!I14="Unknown",1,0)</f>
        <v>1</v>
      </c>
      <c r="M88" s="58" t="n">
        <f aca="false">IF('03 Feature Comparison'!I15="Unknown",1,0)</f>
        <v>0</v>
      </c>
      <c r="N88" s="58" t="n">
        <f aca="false">IF('03 Feature Comparison'!I16="Unknown",1,0)</f>
        <v>1</v>
      </c>
      <c r="O88" s="58" t="n">
        <f aca="false">IF('03 Feature Comparison'!I17="Unknown",1,0)</f>
        <v>1</v>
      </c>
      <c r="P88" s="58" t="n">
        <f aca="false">IF('03 Feature Comparison'!I18="Unknown",1,0)</f>
        <v>0</v>
      </c>
    </row>
    <row r="89" customFormat="false" ht="15" hidden="false" customHeight="false" outlineLevel="0" collapsed="false">
      <c r="B89" s="42" t="s">
        <v>375</v>
      </c>
      <c r="C89" s="54" t="s">
        <v>426</v>
      </c>
      <c r="D89" s="58" t="n">
        <f aca="false">IF('03 Feature Comparison'!J6="Unknown",1,0)</f>
        <v>1</v>
      </c>
      <c r="E89" s="58" t="n">
        <f aca="false">IF('03 Feature Comparison'!J7="Unknown",1,0)</f>
        <v>1</v>
      </c>
      <c r="F89" s="58" t="n">
        <f aca="false">IF('03 Feature Comparison'!J8="Unknown",1,0)</f>
        <v>1</v>
      </c>
      <c r="G89" s="58" t="n">
        <f aca="false">IF('03 Feature Comparison'!J9="Unknown",1,0)</f>
        <v>0</v>
      </c>
      <c r="H89" s="58" t="n">
        <f aca="false">IF('03 Feature Comparison'!J10="Unknown",1,0)</f>
        <v>0</v>
      </c>
      <c r="I89" s="58" t="n">
        <f aca="false">IF('03 Feature Comparison'!J11="Unknown",1,0)</f>
        <v>0</v>
      </c>
      <c r="J89" s="58" t="n">
        <f aca="false">IF('03 Feature Comparison'!J12="Unknown",1,0)</f>
        <v>0</v>
      </c>
      <c r="K89" s="58" t="n">
        <f aca="false">IF('03 Feature Comparison'!J13="Unknown",1,0)</f>
        <v>1</v>
      </c>
      <c r="L89" s="58" t="n">
        <f aca="false">IF('03 Feature Comparison'!J14="Unknown",1,0)</f>
        <v>0</v>
      </c>
      <c r="M89" s="58" t="n">
        <f aca="false">IF('03 Feature Comparison'!J15="Unknown",1,0)</f>
        <v>0</v>
      </c>
      <c r="N89" s="58" t="n">
        <f aca="false">IF('03 Feature Comparison'!J16="Unknown",1,0)</f>
        <v>1</v>
      </c>
      <c r="O89" s="58" t="n">
        <f aca="false">IF('03 Feature Comparison'!J17="Unknown",1,0)</f>
        <v>0</v>
      </c>
      <c r="P89" s="58" t="n">
        <f aca="false">IF('03 Feature Comparison'!J18="Unknown",1,0)</f>
        <v>0</v>
      </c>
    </row>
    <row r="90" customFormat="false" ht="15" hidden="false" customHeight="false" outlineLevel="0" collapsed="false">
      <c r="B90" s="42" t="s">
        <v>376</v>
      </c>
      <c r="C90" s="54" t="s">
        <v>428</v>
      </c>
      <c r="D90" s="58" t="n">
        <f aca="false">IF('03 Feature Comparison'!K6="Unknown",1,0)</f>
        <v>0</v>
      </c>
      <c r="E90" s="58" t="n">
        <f aca="false">IF('03 Feature Comparison'!K7="Unknown",1,0)</f>
        <v>1</v>
      </c>
      <c r="F90" s="58" t="n">
        <f aca="false">IF('03 Feature Comparison'!K8="Unknown",1,0)</f>
        <v>1</v>
      </c>
      <c r="G90" s="58" t="n">
        <f aca="false">IF('03 Feature Comparison'!K9="Unknown",1,0)</f>
        <v>0</v>
      </c>
      <c r="H90" s="58" t="n">
        <f aca="false">IF('03 Feature Comparison'!K10="Unknown",1,0)</f>
        <v>0</v>
      </c>
      <c r="I90" s="58" t="n">
        <f aca="false">IF('03 Feature Comparison'!K11="Unknown",1,0)</f>
        <v>1</v>
      </c>
      <c r="J90" s="58" t="n">
        <f aca="false">IF('03 Feature Comparison'!K12="Unknown",1,0)</f>
        <v>1</v>
      </c>
      <c r="K90" s="58" t="n">
        <f aca="false">IF('03 Feature Comparison'!K13="Unknown",1,0)</f>
        <v>1</v>
      </c>
      <c r="L90" s="58" t="n">
        <f aca="false">IF('03 Feature Comparison'!K14="Unknown",1,0)</f>
        <v>1</v>
      </c>
      <c r="M90" s="58" t="n">
        <f aca="false">IF('03 Feature Comparison'!K15="Unknown",1,0)</f>
        <v>1</v>
      </c>
      <c r="N90" s="58" t="n">
        <f aca="false">IF('03 Feature Comparison'!K16="Unknown",1,0)</f>
        <v>0</v>
      </c>
      <c r="O90" s="58" t="n">
        <f aca="false">IF('03 Feature Comparison'!K17="Unknown",1,0)</f>
        <v>1</v>
      </c>
      <c r="P90" s="58" t="n">
        <f aca="false">IF('03 Feature Comparison'!K18="Unknown",1,0)</f>
        <v>0</v>
      </c>
    </row>
    <row r="91" customFormat="false" ht="15" hidden="false" customHeight="false" outlineLevel="0" collapsed="false">
      <c r="B91" s="42" t="s">
        <v>377</v>
      </c>
      <c r="C91" s="54" t="s">
        <v>430</v>
      </c>
      <c r="D91" s="58" t="n">
        <f aca="false">IF('03 Feature Comparison'!L6="Unknown",1,0)</f>
        <v>0</v>
      </c>
      <c r="E91" s="58" t="n">
        <f aca="false">IF('03 Feature Comparison'!L7="Unknown",1,0)</f>
        <v>1</v>
      </c>
      <c r="F91" s="58" t="n">
        <f aca="false">IF('03 Feature Comparison'!L8="Unknown",1,0)</f>
        <v>1</v>
      </c>
      <c r="G91" s="58" t="n">
        <f aca="false">IF('03 Feature Comparison'!L9="Unknown",1,0)</f>
        <v>0</v>
      </c>
      <c r="H91" s="58" t="n">
        <f aca="false">IF('03 Feature Comparison'!L10="Unknown",1,0)</f>
        <v>0</v>
      </c>
      <c r="I91" s="58" t="n">
        <f aca="false">IF('03 Feature Comparison'!L11="Unknown",1,0)</f>
        <v>0</v>
      </c>
      <c r="J91" s="58" t="n">
        <f aca="false">IF('03 Feature Comparison'!L12="Unknown",1,0)</f>
        <v>0</v>
      </c>
      <c r="K91" s="58" t="n">
        <f aca="false">IF('03 Feature Comparison'!L13="Unknown",1,0)</f>
        <v>1</v>
      </c>
      <c r="L91" s="58" t="n">
        <f aca="false">IF('03 Feature Comparison'!L14="Unknown",1,0)</f>
        <v>1</v>
      </c>
      <c r="M91" s="58" t="n">
        <f aca="false">IF('03 Feature Comparison'!L15="Unknown",1,0)</f>
        <v>0</v>
      </c>
      <c r="N91" s="58" t="n">
        <f aca="false">IF('03 Feature Comparison'!L16="Unknown",1,0)</f>
        <v>0</v>
      </c>
      <c r="O91" s="58" t="n">
        <f aca="false">IF('03 Feature Comparison'!L17="Unknown",1,0)</f>
        <v>1</v>
      </c>
      <c r="P91" s="58" t="n">
        <f aca="false">IF('03 Feature Comparison'!L18="Unknown",1,0)</f>
        <v>1</v>
      </c>
    </row>
    <row r="92" customFormat="false" ht="15" hidden="false" customHeight="false" outlineLevel="0" collapsed="false">
      <c r="B92" s="42" t="s">
        <v>378</v>
      </c>
      <c r="C92" s="54" t="s">
        <v>432</v>
      </c>
      <c r="D92" s="58" t="n">
        <f aca="false">IF('03 Feature Comparison'!M6="Unknown",1,0)</f>
        <v>0</v>
      </c>
      <c r="E92" s="58" t="n">
        <f aca="false">IF('03 Feature Comparison'!M7="Unknown",1,0)</f>
        <v>1</v>
      </c>
      <c r="F92" s="58" t="n">
        <f aca="false">IF('03 Feature Comparison'!M8="Unknown",1,0)</f>
        <v>1</v>
      </c>
      <c r="G92" s="58" t="n">
        <f aca="false">IF('03 Feature Comparison'!M9="Unknown",1,0)</f>
        <v>0</v>
      </c>
      <c r="H92" s="58" t="n">
        <f aca="false">IF('03 Feature Comparison'!M10="Unknown",1,0)</f>
        <v>0</v>
      </c>
      <c r="I92" s="58" t="n">
        <f aca="false">IF('03 Feature Comparison'!M11="Unknown",1,0)</f>
        <v>0</v>
      </c>
      <c r="J92" s="58" t="n">
        <f aca="false">IF('03 Feature Comparison'!M12="Unknown",1,0)</f>
        <v>0</v>
      </c>
      <c r="K92" s="58" t="n">
        <f aca="false">IF('03 Feature Comparison'!M13="Unknown",1,0)</f>
        <v>1</v>
      </c>
      <c r="L92" s="58" t="n">
        <f aca="false">IF('03 Feature Comparison'!M14="Unknown",1,0)</f>
        <v>1</v>
      </c>
      <c r="M92" s="58" t="n">
        <f aca="false">IF('03 Feature Comparison'!M15="Unknown",1,0)</f>
        <v>1</v>
      </c>
      <c r="N92" s="58" t="n">
        <f aca="false">IF('03 Feature Comparison'!M16="Unknown",1,0)</f>
        <v>1</v>
      </c>
      <c r="O92" s="58" t="n">
        <f aca="false">IF('03 Feature Comparison'!M17="Unknown",1,0)</f>
        <v>0</v>
      </c>
      <c r="P92" s="58" t="n">
        <f aca="false">IF('03 Feature Comparison'!M18="Unknown",1,0)</f>
        <v>1</v>
      </c>
    </row>
    <row r="93" customFormat="false" ht="15" hidden="false" customHeight="false" outlineLevel="0" collapsed="false">
      <c r="B93" s="42" t="s">
        <v>379</v>
      </c>
      <c r="C93" s="54" t="s">
        <v>434</v>
      </c>
      <c r="D93" s="58" t="n">
        <f aca="false">IF('03 Feature Comparison'!N6="Unknown",1,0)</f>
        <v>0</v>
      </c>
      <c r="E93" s="58" t="n">
        <f aca="false">IF('03 Feature Comparison'!N7="Unknown",1,0)</f>
        <v>1</v>
      </c>
      <c r="F93" s="58" t="n">
        <f aca="false">IF('03 Feature Comparison'!N8="Unknown",1,0)</f>
        <v>1</v>
      </c>
      <c r="G93" s="58" t="n">
        <f aca="false">IF('03 Feature Comparison'!N9="Unknown",1,0)</f>
        <v>0</v>
      </c>
      <c r="H93" s="58" t="n">
        <f aca="false">IF('03 Feature Comparison'!N10="Unknown",1,0)</f>
        <v>0</v>
      </c>
      <c r="I93" s="58" t="n">
        <f aca="false">IF('03 Feature Comparison'!N11="Unknown",1,0)</f>
        <v>0</v>
      </c>
      <c r="J93" s="58" t="n">
        <f aca="false">IF('03 Feature Comparison'!N12="Unknown",1,0)</f>
        <v>1</v>
      </c>
      <c r="K93" s="58" t="n">
        <f aca="false">IF('03 Feature Comparison'!N13="Unknown",1,0)</f>
        <v>1</v>
      </c>
      <c r="L93" s="58" t="n">
        <f aca="false">IF('03 Feature Comparison'!N14="Unknown",1,0)</f>
        <v>1</v>
      </c>
      <c r="M93" s="58" t="n">
        <f aca="false">IF('03 Feature Comparison'!N15="Unknown",1,0)</f>
        <v>1</v>
      </c>
      <c r="N93" s="58" t="n">
        <f aca="false">IF('03 Feature Comparison'!N16="Unknown",1,0)</f>
        <v>1</v>
      </c>
      <c r="O93" s="58" t="n">
        <f aca="false">IF('03 Feature Comparison'!N17="Unknown",1,0)</f>
        <v>1</v>
      </c>
      <c r="P93" s="58" t="n">
        <f aca="false">IF('03 Feature Comparison'!N18="Unknown",1,0)</f>
        <v>1</v>
      </c>
    </row>
    <row r="94" customFormat="false" ht="15" hidden="false" customHeight="false" outlineLevel="0" collapsed="false">
      <c r="B94" s="42" t="s">
        <v>380</v>
      </c>
      <c r="C94" s="54" t="s">
        <v>436</v>
      </c>
      <c r="D94" s="58" t="n">
        <f aca="false">IF('03 Feature Comparison'!O6="Unknown",1,0)</f>
        <v>1</v>
      </c>
      <c r="E94" s="58" t="n">
        <f aca="false">IF('03 Feature Comparison'!O7="Unknown",1,0)</f>
        <v>0</v>
      </c>
      <c r="F94" s="58" t="n">
        <f aca="false">IF('03 Feature Comparison'!O8="Unknown",1,0)</f>
        <v>0</v>
      </c>
      <c r="G94" s="58" t="n">
        <f aca="false">IF('03 Feature Comparison'!O9="Unknown",1,0)</f>
        <v>1</v>
      </c>
      <c r="H94" s="58" t="n">
        <f aca="false">IF('03 Feature Comparison'!O10="Unknown",1,0)</f>
        <v>1</v>
      </c>
      <c r="I94" s="58" t="n">
        <f aca="false">IF('03 Feature Comparison'!O11="Unknown",1,0)</f>
        <v>1</v>
      </c>
      <c r="J94" s="58" t="n">
        <f aca="false">IF('03 Feature Comparison'!O12="Unknown",1,0)</f>
        <v>0</v>
      </c>
      <c r="K94" s="58" t="n">
        <f aca="false">IF('03 Feature Comparison'!O13="Unknown",1,0)</f>
        <v>1</v>
      </c>
      <c r="L94" s="58" t="n">
        <f aca="false">IF('03 Feature Comparison'!O14="Unknown",1,0)</f>
        <v>0</v>
      </c>
      <c r="M94" s="58" t="n">
        <f aca="false">IF('03 Feature Comparison'!O15="Unknown",1,0)</f>
        <v>0</v>
      </c>
      <c r="N94" s="58" t="n">
        <f aca="false">IF('03 Feature Comparison'!O16="Unknown",1,0)</f>
        <v>0</v>
      </c>
      <c r="O94" s="58" t="n">
        <f aca="false">IF('03 Feature Comparison'!O17="Unknown",1,0)</f>
        <v>1</v>
      </c>
      <c r="P94" s="58" t="n">
        <f aca="false">IF('03 Feature Comparison'!O18="Unknown",1,0)</f>
        <v>1</v>
      </c>
    </row>
    <row r="95" customFormat="false" ht="15" hidden="false" customHeight="false" outlineLevel="0" collapsed="false">
      <c r="B95" s="42" t="s">
        <v>381</v>
      </c>
      <c r="C95" s="54" t="s">
        <v>437</v>
      </c>
      <c r="D95" s="58" t="n">
        <f aca="false">IF('03 Feature Comparison'!P6="Unknown",1,0)</f>
        <v>1</v>
      </c>
      <c r="E95" s="58" t="n">
        <f aca="false">IF('03 Feature Comparison'!P7="Unknown",1,0)</f>
        <v>1</v>
      </c>
      <c r="F95" s="58" t="n">
        <f aca="false">IF('03 Feature Comparison'!P8="Unknown",1,0)</f>
        <v>0</v>
      </c>
      <c r="G95" s="58" t="n">
        <f aca="false">IF('03 Feature Comparison'!P9="Unknown",1,0)</f>
        <v>1</v>
      </c>
      <c r="H95" s="58" t="n">
        <f aca="false">IF('03 Feature Comparison'!P10="Unknown",1,0)</f>
        <v>1</v>
      </c>
      <c r="I95" s="58" t="n">
        <f aca="false">IF('03 Feature Comparison'!P11="Unknown",1,0)</f>
        <v>1</v>
      </c>
      <c r="J95" s="58" t="n">
        <f aca="false">IF('03 Feature Comparison'!P12="Unknown",1,0)</f>
        <v>0</v>
      </c>
      <c r="K95" s="58" t="n">
        <f aca="false">IF('03 Feature Comparison'!P13="Unknown",1,0)</f>
        <v>1</v>
      </c>
      <c r="L95" s="58" t="n">
        <f aca="false">IF('03 Feature Comparison'!P14="Unknown",1,0)</f>
        <v>0</v>
      </c>
      <c r="M95" s="58" t="n">
        <f aca="false">IF('03 Feature Comparison'!P15="Unknown",1,0)</f>
        <v>0</v>
      </c>
      <c r="N95" s="58" t="n">
        <f aca="false">IF('03 Feature Comparison'!P16="Unknown",1,0)</f>
        <v>0</v>
      </c>
      <c r="O95" s="58" t="n">
        <f aca="false">IF('03 Feature Comparison'!P17="Unknown",1,0)</f>
        <v>0</v>
      </c>
      <c r="P95" s="58" t="n">
        <f aca="false">IF('03 Feature Comparison'!P18="Unknown",1,0)</f>
        <v>0</v>
      </c>
    </row>
    <row r="96" customFormat="false" ht="15" hidden="false" customHeight="false" outlineLevel="0" collapsed="false">
      <c r="B96" s="42" t="s">
        <v>382</v>
      </c>
      <c r="C96" s="54" t="s">
        <v>438</v>
      </c>
      <c r="D96" s="58" t="n">
        <f aca="false">IF('03 Feature Comparison'!Q6="Unknown",1,0)</f>
        <v>1</v>
      </c>
      <c r="E96" s="58" t="n">
        <f aca="false">IF('03 Feature Comparison'!Q7="Unknown",1,0)</f>
        <v>1</v>
      </c>
      <c r="F96" s="58" t="n">
        <f aca="false">IF('03 Feature Comparison'!Q8="Unknown",1,0)</f>
        <v>0</v>
      </c>
      <c r="G96" s="58" t="n">
        <f aca="false">IF('03 Feature Comparison'!Q9="Unknown",1,0)</f>
        <v>1</v>
      </c>
      <c r="H96" s="58" t="n">
        <f aca="false">IF('03 Feature Comparison'!Q10="Unknown",1,0)</f>
        <v>1</v>
      </c>
      <c r="I96" s="58" t="n">
        <f aca="false">IF('03 Feature Comparison'!Q11="Unknown",1,0)</f>
        <v>1</v>
      </c>
      <c r="J96" s="58" t="n">
        <f aca="false">IF('03 Feature Comparison'!Q12="Unknown",1,0)</f>
        <v>0</v>
      </c>
      <c r="K96" s="58" t="n">
        <f aca="false">IF('03 Feature Comparison'!Q13="Unknown",1,0)</f>
        <v>1</v>
      </c>
      <c r="L96" s="58" t="n">
        <f aca="false">IF('03 Feature Comparison'!Q14="Unknown",1,0)</f>
        <v>0</v>
      </c>
      <c r="M96" s="58" t="n">
        <f aca="false">IF('03 Feature Comparison'!Q15="Unknown",1,0)</f>
        <v>0</v>
      </c>
      <c r="N96" s="58" t="n">
        <f aca="false">IF('03 Feature Comparison'!Q16="Unknown",1,0)</f>
        <v>1</v>
      </c>
      <c r="O96" s="58" t="n">
        <f aca="false">IF('03 Feature Comparison'!Q17="Unknown",1,0)</f>
        <v>0</v>
      </c>
      <c r="P96" s="58" t="n">
        <f aca="false">IF('03 Feature Comparison'!Q18="Unknown",1,0)</f>
        <v>0</v>
      </c>
    </row>
    <row r="97" customFormat="false" ht="15" hidden="false" customHeight="false" outlineLevel="0" collapsed="false">
      <c r="B97" s="42" t="s">
        <v>383</v>
      </c>
      <c r="C97" s="54" t="s">
        <v>439</v>
      </c>
      <c r="D97" s="58" t="n">
        <f aca="false">IF('03 Feature Comparison'!R6="Unknown",1,0)</f>
        <v>0</v>
      </c>
      <c r="E97" s="58" t="n">
        <f aca="false">IF('03 Feature Comparison'!R7="Unknown",1,0)</f>
        <v>1</v>
      </c>
      <c r="F97" s="58" t="n">
        <f aca="false">IF('03 Feature Comparison'!R8="Unknown",1,0)</f>
        <v>0</v>
      </c>
      <c r="G97" s="58" t="n">
        <f aca="false">IF('03 Feature Comparison'!R9="Unknown",1,0)</f>
        <v>0</v>
      </c>
      <c r="H97" s="58" t="n">
        <f aca="false">IF('03 Feature Comparison'!R10="Unknown",1,0)</f>
        <v>0</v>
      </c>
      <c r="I97" s="58" t="n">
        <f aca="false">IF('03 Feature Comparison'!R11="Unknown",1,0)</f>
        <v>0</v>
      </c>
      <c r="J97" s="58" t="n">
        <f aca="false">IF('03 Feature Comparison'!R12="Unknown",1,0)</f>
        <v>0</v>
      </c>
      <c r="K97" s="58" t="n">
        <f aca="false">IF('03 Feature Comparison'!R13="Unknown",1,0)</f>
        <v>0</v>
      </c>
      <c r="L97" s="58" t="n">
        <f aca="false">IF('03 Feature Comparison'!R14="Unknown",1,0)</f>
        <v>0</v>
      </c>
      <c r="M97" s="58" t="n">
        <f aca="false">IF('03 Feature Comparison'!R15="Unknown",1,0)</f>
        <v>0</v>
      </c>
      <c r="N97" s="58" t="n">
        <f aca="false">IF('03 Feature Comparison'!R16="Unknown",1,0)</f>
        <v>0</v>
      </c>
      <c r="O97" s="58" t="n">
        <f aca="false">IF('03 Feature Comparison'!R17="Unknown",1,0)</f>
        <v>0</v>
      </c>
      <c r="P97" s="58" t="n">
        <f aca="false">IF('03 Feature Comparison'!R18="Unknown",1,0)</f>
        <v>0</v>
      </c>
    </row>
    <row r="98" customFormat="false" ht="15" hidden="false" customHeight="false" outlineLevel="0" collapsed="false">
      <c r="B98" s="42" t="s">
        <v>384</v>
      </c>
      <c r="C98" s="54" t="s">
        <v>441</v>
      </c>
      <c r="D98" s="58" t="n">
        <f aca="false">IF('03 Feature Comparison'!S6="Unknown",1,0)</f>
        <v>0</v>
      </c>
      <c r="E98" s="58" t="n">
        <f aca="false">IF('03 Feature Comparison'!S7="Unknown",1,0)</f>
        <v>1</v>
      </c>
      <c r="F98" s="58" t="n">
        <f aca="false">IF('03 Feature Comparison'!S8="Unknown",1,0)</f>
        <v>1</v>
      </c>
      <c r="G98" s="58" t="n">
        <f aca="false">IF('03 Feature Comparison'!S9="Unknown",1,0)</f>
        <v>0</v>
      </c>
      <c r="H98" s="58" t="n">
        <f aca="false">IF('03 Feature Comparison'!S10="Unknown",1,0)</f>
        <v>0</v>
      </c>
      <c r="I98" s="58" t="n">
        <f aca="false">IF('03 Feature Comparison'!S11="Unknown",1,0)</f>
        <v>0</v>
      </c>
      <c r="J98" s="58" t="n">
        <f aca="false">IF('03 Feature Comparison'!S12="Unknown",1,0)</f>
        <v>1</v>
      </c>
      <c r="K98" s="58" t="n">
        <f aca="false">IF('03 Feature Comparison'!S13="Unknown",1,0)</f>
        <v>0</v>
      </c>
      <c r="L98" s="58" t="n">
        <f aca="false">IF('03 Feature Comparison'!S14="Unknown",1,0)</f>
        <v>1</v>
      </c>
      <c r="M98" s="58" t="n">
        <f aca="false">IF('03 Feature Comparison'!S15="Unknown",1,0)</f>
        <v>1</v>
      </c>
      <c r="N98" s="58" t="n">
        <f aca="false">IF('03 Feature Comparison'!S16="Unknown",1,0)</f>
        <v>0</v>
      </c>
      <c r="O98" s="58" t="n">
        <f aca="false">IF('03 Feature Comparison'!S17="Unknown",1,0)</f>
        <v>1</v>
      </c>
      <c r="P98" s="58" t="n">
        <f aca="false">IF('03 Feature Comparison'!S18="Unknown",1,0)</f>
        <v>1</v>
      </c>
    </row>
    <row r="99" customFormat="false" ht="15" hidden="false" customHeight="false" outlineLevel="0" collapsed="false">
      <c r="B99" s="42" t="s">
        <v>385</v>
      </c>
      <c r="C99" s="54" t="s">
        <v>443</v>
      </c>
      <c r="D99" s="58" t="n">
        <f aca="false">IF('03 Feature Comparison'!T6="Unknown",1,0)</f>
        <v>0</v>
      </c>
      <c r="E99" s="58" t="n">
        <f aca="false">IF('03 Feature Comparison'!T7="Unknown",1,0)</f>
        <v>0</v>
      </c>
      <c r="F99" s="58" t="n">
        <f aca="false">IF('03 Feature Comparison'!T8="Unknown",1,0)</f>
        <v>0</v>
      </c>
      <c r="G99" s="58" t="n">
        <f aca="false">IF('03 Feature Comparison'!T9="Unknown",1,0)</f>
        <v>0</v>
      </c>
      <c r="H99" s="58" t="n">
        <f aca="false">IF('03 Feature Comparison'!T10="Unknown",1,0)</f>
        <v>0</v>
      </c>
      <c r="I99" s="58" t="n">
        <f aca="false">IF('03 Feature Comparison'!T11="Unknown",1,0)</f>
        <v>0</v>
      </c>
      <c r="J99" s="58" t="n">
        <f aca="false">IF('03 Feature Comparison'!T12="Unknown",1,0)</f>
        <v>0</v>
      </c>
      <c r="K99" s="58" t="n">
        <f aca="false">IF('03 Feature Comparison'!T13="Unknown",1,0)</f>
        <v>0</v>
      </c>
      <c r="L99" s="58" t="n">
        <f aca="false">IF('03 Feature Comparison'!T14="Unknown",1,0)</f>
        <v>0</v>
      </c>
      <c r="M99" s="58" t="n">
        <f aca="false">IF('03 Feature Comparison'!T15="Unknown",1,0)</f>
        <v>0</v>
      </c>
      <c r="N99" s="58" t="n">
        <f aca="false">IF('03 Feature Comparison'!T16="Unknown",1,0)</f>
        <v>0</v>
      </c>
      <c r="O99" s="58" t="n">
        <f aca="false">IF('03 Feature Comparison'!T17="Unknown",1,0)</f>
        <v>0</v>
      </c>
      <c r="P99" s="58" t="n">
        <f aca="false">IF('03 Feature Comparison'!T18="Unknown",1,0)</f>
        <v>0</v>
      </c>
    </row>
    <row r="100" customFormat="false" ht="15" hidden="false" customHeight="false" outlineLevel="0" collapsed="false">
      <c r="B100" s="42" t="s">
        <v>386</v>
      </c>
      <c r="C100" s="54" t="s">
        <v>445</v>
      </c>
      <c r="D100" s="58" t="n">
        <f aca="false">IF('03 Feature Comparison'!U6="Unknown",1,0)</f>
        <v>0</v>
      </c>
      <c r="E100" s="58" t="n">
        <f aca="false">IF('03 Feature Comparison'!U7="Unknown",1,0)</f>
        <v>0</v>
      </c>
      <c r="F100" s="58" t="n">
        <f aca="false">IF('03 Feature Comparison'!U8="Unknown",1,0)</f>
        <v>0</v>
      </c>
      <c r="G100" s="58" t="n">
        <f aca="false">IF('03 Feature Comparison'!U9="Unknown",1,0)</f>
        <v>0</v>
      </c>
      <c r="H100" s="58" t="n">
        <f aca="false">IF('03 Feature Comparison'!U10="Unknown",1,0)</f>
        <v>0</v>
      </c>
      <c r="I100" s="58" t="n">
        <f aca="false">IF('03 Feature Comparison'!U11="Unknown",1,0)</f>
        <v>0</v>
      </c>
      <c r="J100" s="58" t="n">
        <f aca="false">IF('03 Feature Comparison'!U12="Unknown",1,0)</f>
        <v>0</v>
      </c>
      <c r="K100" s="58" t="n">
        <f aca="false">IF('03 Feature Comparison'!U13="Unknown",1,0)</f>
        <v>0</v>
      </c>
      <c r="L100" s="58" t="n">
        <f aca="false">IF('03 Feature Comparison'!U14="Unknown",1,0)</f>
        <v>0</v>
      </c>
      <c r="M100" s="58" t="n">
        <f aca="false">IF('03 Feature Comparison'!U15="Unknown",1,0)</f>
        <v>0</v>
      </c>
      <c r="N100" s="58" t="n">
        <f aca="false">IF('03 Feature Comparison'!U16="Unknown",1,0)</f>
        <v>0</v>
      </c>
      <c r="O100" s="58" t="n">
        <f aca="false">IF('03 Feature Comparison'!U17="Unknown",1,0)</f>
        <v>0</v>
      </c>
      <c r="P100" s="58" t="n">
        <f aca="false">IF('03 Feature Comparison'!U18="Unknown",1,0)</f>
        <v>0</v>
      </c>
    </row>
    <row r="101" customFormat="false" ht="15" hidden="false" customHeight="false" outlineLevel="0" collapsed="false">
      <c r="B101" s="42" t="s">
        <v>387</v>
      </c>
      <c r="C101" s="54" t="s">
        <v>447</v>
      </c>
      <c r="D101" s="58" t="n">
        <f aca="false">IF('03 Feature Comparison'!V6="Unknown",1,0)</f>
        <v>0</v>
      </c>
      <c r="E101" s="58" t="n">
        <f aca="false">IF('03 Feature Comparison'!V7="Unknown",1,0)</f>
        <v>1</v>
      </c>
      <c r="F101" s="58" t="n">
        <f aca="false">IF('03 Feature Comparison'!V8="Unknown",1,0)</f>
        <v>0</v>
      </c>
      <c r="G101" s="58" t="n">
        <f aca="false">IF('03 Feature Comparison'!V9="Unknown",1,0)</f>
        <v>0</v>
      </c>
      <c r="H101" s="58" t="n">
        <f aca="false">IF('03 Feature Comparison'!V10="Unknown",1,0)</f>
        <v>0</v>
      </c>
      <c r="I101" s="58" t="n">
        <f aca="false">IF('03 Feature Comparison'!V11="Unknown",1,0)</f>
        <v>0</v>
      </c>
      <c r="J101" s="58" t="n">
        <f aca="false">IF('03 Feature Comparison'!V12="Unknown",1,0)</f>
        <v>0</v>
      </c>
      <c r="K101" s="58" t="n">
        <f aca="false">IF('03 Feature Comparison'!V13="Unknown",1,0)</f>
        <v>0</v>
      </c>
      <c r="L101" s="58" t="n">
        <f aca="false">IF('03 Feature Comparison'!V14="Unknown",1,0)</f>
        <v>0</v>
      </c>
      <c r="M101" s="58" t="n">
        <f aca="false">IF('03 Feature Comparison'!V15="Unknown",1,0)</f>
        <v>0</v>
      </c>
      <c r="N101" s="58" t="n">
        <f aca="false">IF('03 Feature Comparison'!V16="Unknown",1,0)</f>
        <v>0</v>
      </c>
      <c r="O101" s="58" t="n">
        <f aca="false">IF('03 Feature Comparison'!V17="Unknown",1,0)</f>
        <v>1</v>
      </c>
      <c r="P101" s="58" t="n">
        <f aca="false">IF('03 Feature Comparison'!V18="Unknown",1,0)</f>
        <v>0</v>
      </c>
    </row>
    <row r="102" customFormat="false" ht="15" hidden="false" customHeight="false" outlineLevel="0" collapsed="false">
      <c r="B102" s="42" t="s">
        <v>388</v>
      </c>
      <c r="C102" s="54" t="s">
        <v>448</v>
      </c>
      <c r="D102" s="58" t="n">
        <f aca="false">IF('03 Feature Comparison'!W6="Unknown",1,0)</f>
        <v>1</v>
      </c>
      <c r="E102" s="58" t="n">
        <f aca="false">IF('03 Feature Comparison'!W7="Unknown",1,0)</f>
        <v>1</v>
      </c>
      <c r="F102" s="58" t="n">
        <f aca="false">IF('03 Feature Comparison'!W8="Unknown",1,0)</f>
        <v>1</v>
      </c>
      <c r="G102" s="58" t="n">
        <f aca="false">IF('03 Feature Comparison'!W9="Unknown",1,0)</f>
        <v>0</v>
      </c>
      <c r="H102" s="58" t="n">
        <f aca="false">IF('03 Feature Comparison'!W10="Unknown",1,0)</f>
        <v>0</v>
      </c>
      <c r="I102" s="58" t="n">
        <f aca="false">IF('03 Feature Comparison'!W11="Unknown",1,0)</f>
        <v>1</v>
      </c>
      <c r="J102" s="58" t="n">
        <f aca="false">IF('03 Feature Comparison'!W12="Unknown",1,0)</f>
        <v>1</v>
      </c>
      <c r="K102" s="58" t="n">
        <f aca="false">IF('03 Feature Comparison'!W13="Unknown",1,0)</f>
        <v>1</v>
      </c>
      <c r="L102" s="58" t="n">
        <f aca="false">IF('03 Feature Comparison'!W14="Unknown",1,0)</f>
        <v>1</v>
      </c>
      <c r="M102" s="58" t="n">
        <f aca="false">IF('03 Feature Comparison'!W15="Unknown",1,0)</f>
        <v>1</v>
      </c>
      <c r="N102" s="58" t="n">
        <f aca="false">IF('03 Feature Comparison'!W16="Unknown",1,0)</f>
        <v>1</v>
      </c>
      <c r="O102" s="58" t="n">
        <f aca="false">IF('03 Feature Comparison'!W17="Unknown",1,0)</f>
        <v>1</v>
      </c>
      <c r="P102" s="58" t="n">
        <f aca="false">IF('03 Feature Comparison'!W18="Unknown",1,0)</f>
        <v>1</v>
      </c>
    </row>
    <row r="103" customFormat="false" ht="15" hidden="false" customHeight="false" outlineLevel="0" collapsed="false">
      <c r="B103" s="42" t="s">
        <v>389</v>
      </c>
      <c r="C103" s="54" t="s">
        <v>449</v>
      </c>
      <c r="D103" s="58" t="n">
        <f aca="false">IF('03 Feature Comparison'!X6="Unknown",1,0)</f>
        <v>0</v>
      </c>
      <c r="E103" s="58" t="n">
        <f aca="false">IF('03 Feature Comparison'!X7="Unknown",1,0)</f>
        <v>1</v>
      </c>
      <c r="F103" s="58" t="n">
        <f aca="false">IF('03 Feature Comparison'!X8="Unknown",1,0)</f>
        <v>1</v>
      </c>
      <c r="G103" s="58" t="n">
        <f aca="false">IF('03 Feature Comparison'!X9="Unknown",1,0)</f>
        <v>0</v>
      </c>
      <c r="H103" s="58" t="n">
        <f aca="false">IF('03 Feature Comparison'!X10="Unknown",1,0)</f>
        <v>0</v>
      </c>
      <c r="I103" s="58" t="n">
        <f aca="false">IF('03 Feature Comparison'!X11="Unknown",1,0)</f>
        <v>1</v>
      </c>
      <c r="J103" s="58" t="n">
        <f aca="false">IF('03 Feature Comparison'!X12="Unknown",1,0)</f>
        <v>0</v>
      </c>
      <c r="K103" s="58" t="n">
        <f aca="false">IF('03 Feature Comparison'!X13="Unknown",1,0)</f>
        <v>0</v>
      </c>
      <c r="L103" s="58" t="n">
        <f aca="false">IF('03 Feature Comparison'!X14="Unknown",1,0)</f>
        <v>0</v>
      </c>
      <c r="M103" s="58" t="n">
        <f aca="false">IF('03 Feature Comparison'!X15="Unknown",1,0)</f>
        <v>0</v>
      </c>
      <c r="N103" s="58" t="n">
        <f aca="false">IF('03 Feature Comparison'!X16="Unknown",1,0)</f>
        <v>1</v>
      </c>
      <c r="O103" s="58" t="n">
        <f aca="false">IF('03 Feature Comparison'!X17="Unknown",1,0)</f>
        <v>1</v>
      </c>
      <c r="P103" s="58" t="n">
        <f aca="false">IF('03 Feature Comparison'!X18="Unknown",1,0)</f>
        <v>1</v>
      </c>
    </row>
    <row r="104" customFormat="false" ht="15" hidden="false" customHeight="false" outlineLevel="0" collapsed="false">
      <c r="B104" s="42" t="s">
        <v>390</v>
      </c>
      <c r="C104" s="54" t="s">
        <v>451</v>
      </c>
      <c r="D104" s="58" t="n">
        <f aca="false">IF('03 Feature Comparison'!Y6="Unknown",1,0)</f>
        <v>0</v>
      </c>
      <c r="E104" s="58" t="n">
        <f aca="false">IF('03 Feature Comparison'!Y7="Unknown",1,0)</f>
        <v>1</v>
      </c>
      <c r="F104" s="58" t="n">
        <f aca="false">IF('03 Feature Comparison'!Y8="Unknown",1,0)</f>
        <v>0</v>
      </c>
      <c r="G104" s="58" t="n">
        <f aca="false">IF('03 Feature Comparison'!Y9="Unknown",1,0)</f>
        <v>0</v>
      </c>
      <c r="H104" s="58" t="n">
        <f aca="false">IF('03 Feature Comparison'!Y10="Unknown",1,0)</f>
        <v>0</v>
      </c>
      <c r="I104" s="58" t="n">
        <f aca="false">IF('03 Feature Comparison'!Y11="Unknown",1,0)</f>
        <v>0</v>
      </c>
      <c r="J104" s="58" t="n">
        <f aca="false">IF('03 Feature Comparison'!Y12="Unknown",1,0)</f>
        <v>0</v>
      </c>
      <c r="K104" s="58" t="n">
        <f aca="false">IF('03 Feature Comparison'!Y13="Unknown",1,0)</f>
        <v>0</v>
      </c>
      <c r="L104" s="58" t="n">
        <f aca="false">IF('03 Feature Comparison'!Y14="Unknown",1,0)</f>
        <v>0</v>
      </c>
      <c r="M104" s="58" t="n">
        <f aca="false">IF('03 Feature Comparison'!Y15="Unknown",1,0)</f>
        <v>0</v>
      </c>
      <c r="N104" s="58" t="n">
        <f aca="false">IF('03 Feature Comparison'!Y16="Unknown",1,0)</f>
        <v>0</v>
      </c>
      <c r="O104" s="58" t="n">
        <f aca="false">IF('03 Feature Comparison'!Y17="Unknown",1,0)</f>
        <v>0</v>
      </c>
      <c r="P104" s="58" t="n">
        <f aca="false">IF('03 Feature Comparison'!Y18="Unknown",1,0)</f>
        <v>0</v>
      </c>
    </row>
    <row r="105" customFormat="false" ht="15" hidden="false" customHeight="false" outlineLevel="0" collapsed="false">
      <c r="B105" s="42" t="s">
        <v>391</v>
      </c>
      <c r="C105" s="54" t="s">
        <v>453</v>
      </c>
      <c r="D105" s="58" t="n">
        <f aca="false">IF('03 Feature Comparison'!Z6="Unknown",1,0)</f>
        <v>1</v>
      </c>
      <c r="E105" s="58" t="n">
        <f aca="false">IF('03 Feature Comparison'!Z7="Unknown",1,0)</f>
        <v>1</v>
      </c>
      <c r="F105" s="58" t="n">
        <f aca="false">IF('03 Feature Comparison'!Z8="Unknown",1,0)</f>
        <v>1</v>
      </c>
      <c r="G105" s="58" t="n">
        <f aca="false">IF('03 Feature Comparison'!Z9="Unknown",1,0)</f>
        <v>1</v>
      </c>
      <c r="H105" s="58" t="n">
        <f aca="false">IF('03 Feature Comparison'!Z10="Unknown",1,0)</f>
        <v>1</v>
      </c>
      <c r="I105" s="58" t="n">
        <f aca="false">IF('03 Feature Comparison'!Z11="Unknown",1,0)</f>
        <v>1</v>
      </c>
      <c r="J105" s="58" t="n">
        <f aca="false">IF('03 Feature Comparison'!Z12="Unknown",1,0)</f>
        <v>1</v>
      </c>
      <c r="K105" s="58" t="n">
        <f aca="false">IF('03 Feature Comparison'!Z13="Unknown",1,0)</f>
        <v>1</v>
      </c>
      <c r="L105" s="58" t="n">
        <f aca="false">IF('03 Feature Comparison'!Z14="Unknown",1,0)</f>
        <v>1</v>
      </c>
      <c r="M105" s="58" t="n">
        <f aca="false">IF('03 Feature Comparison'!Z15="Unknown",1,0)</f>
        <v>1</v>
      </c>
      <c r="N105" s="58" t="n">
        <f aca="false">IF('03 Feature Comparison'!Z16="Unknown",1,0)</f>
        <v>1</v>
      </c>
      <c r="O105" s="58" t="n">
        <f aca="false">IF('03 Feature Comparison'!Z17="Unknown",1,0)</f>
        <v>1</v>
      </c>
      <c r="P105" s="58" t="n">
        <f aca="false">IF('03 Feature Comparison'!Z18="Unknown",1,0)</f>
        <v>1</v>
      </c>
    </row>
    <row r="106" customFormat="false" ht="15" hidden="false" customHeight="false" outlineLevel="0" collapsed="false">
      <c r="B106" s="42" t="s">
        <v>392</v>
      </c>
      <c r="C106" s="54" t="s">
        <v>454</v>
      </c>
      <c r="D106" s="58" t="n">
        <f aca="false">IF('03 Feature Comparison'!AA6="Unknown",1,0)</f>
        <v>0</v>
      </c>
      <c r="E106" s="58" t="n">
        <f aca="false">IF('03 Feature Comparison'!AA7="Unknown",1,0)</f>
        <v>1</v>
      </c>
      <c r="F106" s="58" t="n">
        <f aca="false">IF('03 Feature Comparison'!AA8="Unknown",1,0)</f>
        <v>0</v>
      </c>
      <c r="G106" s="58" t="n">
        <f aca="false">IF('03 Feature Comparison'!AA9="Unknown",1,0)</f>
        <v>0</v>
      </c>
      <c r="H106" s="58" t="n">
        <f aca="false">IF('03 Feature Comparison'!AA10="Unknown",1,0)</f>
        <v>0</v>
      </c>
      <c r="I106" s="58" t="n">
        <f aca="false">IF('03 Feature Comparison'!AA11="Unknown",1,0)</f>
        <v>0</v>
      </c>
      <c r="J106" s="58" t="n">
        <f aca="false">IF('03 Feature Comparison'!AA12="Unknown",1,0)</f>
        <v>1</v>
      </c>
      <c r="K106" s="58" t="n">
        <f aca="false">IF('03 Feature Comparison'!AA13="Unknown",1,0)</f>
        <v>1</v>
      </c>
      <c r="L106" s="58" t="n">
        <f aca="false">IF('03 Feature Comparison'!AA14="Unknown",1,0)</f>
        <v>0</v>
      </c>
      <c r="M106" s="58" t="n">
        <f aca="false">IF('03 Feature Comparison'!AA15="Unknown",1,0)</f>
        <v>1</v>
      </c>
      <c r="N106" s="58" t="n">
        <f aca="false">IF('03 Feature Comparison'!AA16="Unknown",1,0)</f>
        <v>0</v>
      </c>
      <c r="O106" s="58" t="n">
        <f aca="false">IF('03 Feature Comparison'!AA17="Unknown",1,0)</f>
        <v>1</v>
      </c>
      <c r="P106" s="58" t="n">
        <f aca="false">IF('03 Feature Comparison'!AA18="Unknown",1,0)</f>
        <v>0</v>
      </c>
    </row>
    <row r="107" customFormat="false" ht="15" hidden="false" customHeight="false" outlineLevel="0" collapsed="false">
      <c r="B107" s="42" t="s">
        <v>988</v>
      </c>
      <c r="C107" s="54" t="s">
        <v>989</v>
      </c>
      <c r="D107" s="58" t="n">
        <f aca="false">IF('03 Feature Comparison'!AG6="",1,0)</f>
        <v>0</v>
      </c>
      <c r="E107" s="58" t="n">
        <f aca="false">IF('03 Feature Comparison'!AG7="",1,0)</f>
        <v>1</v>
      </c>
      <c r="F107" s="58" t="n">
        <f aca="false">IF('03 Feature Comparison'!AG8="",1,0)</f>
        <v>0</v>
      </c>
      <c r="G107" s="58" t="n">
        <f aca="false">IF('03 Feature Comparison'!AG9="",1,0)</f>
        <v>0</v>
      </c>
      <c r="H107" s="58" t="n">
        <f aca="false">IF('03 Feature Comparison'!AG10="",1,0)</f>
        <v>0</v>
      </c>
      <c r="I107" s="58" t="n">
        <f aca="false">IF('03 Feature Comparison'!AG11="",1,0)</f>
        <v>1</v>
      </c>
      <c r="J107" s="58" t="n">
        <f aca="false">IF('03 Feature Comparison'!AG12="",1,0)</f>
        <v>1</v>
      </c>
      <c r="K107" s="58" t="n">
        <f aca="false">IF('03 Feature Comparison'!AG13="",1,0)</f>
        <v>1</v>
      </c>
      <c r="L107" s="58" t="n">
        <f aca="false">IF('03 Feature Comparison'!AG14="",1,0)</f>
        <v>0</v>
      </c>
      <c r="M107" s="58" t="n">
        <f aca="false">IF('03 Feature Comparison'!AG15="",1,0)</f>
        <v>1</v>
      </c>
      <c r="N107" s="58" t="n">
        <f aca="false">IF('03 Feature Comparison'!AG16="",1,0)</f>
        <v>1</v>
      </c>
      <c r="O107" s="58" t="n">
        <f aca="false">IF('03 Feature Comparison'!AG17="",1,0)</f>
        <v>1</v>
      </c>
      <c r="P107" s="58" t="n">
        <f aca="false">IF('03 Feature Comparison'!AG18="",1,0)</f>
        <v>1</v>
      </c>
    </row>
    <row r="108" customFormat="false" ht="15" hidden="false" customHeight="false" outlineLevel="0" collapsed="false">
      <c r="B108" s="42" t="s">
        <v>990</v>
      </c>
      <c r="C108" s="54" t="s">
        <v>991</v>
      </c>
      <c r="D108" s="58" t="n">
        <f aca="false">IF('03 Feature Comparison'!AJ6="",1,0)</f>
        <v>1</v>
      </c>
      <c r="E108" s="58" t="n">
        <f aca="false">IF('03 Feature Comparison'!AJ7="",1,0)</f>
        <v>1</v>
      </c>
      <c r="F108" s="58" t="n">
        <f aca="false">IF('03 Feature Comparison'!AJ8="",1,0)</f>
        <v>1</v>
      </c>
      <c r="G108" s="58" t="n">
        <f aca="false">IF('03 Feature Comparison'!AJ9="",1,0)</f>
        <v>1</v>
      </c>
      <c r="H108" s="58" t="n">
        <f aca="false">IF('03 Feature Comparison'!AJ10="",1,0)</f>
        <v>0</v>
      </c>
      <c r="I108" s="58" t="n">
        <f aca="false">IF('03 Feature Comparison'!AJ11="",1,0)</f>
        <v>1</v>
      </c>
      <c r="J108" s="58" t="n">
        <f aca="false">IF('03 Feature Comparison'!AJ12="",1,0)</f>
        <v>1</v>
      </c>
      <c r="K108" s="58" t="n">
        <f aca="false">IF('03 Feature Comparison'!AJ13="",1,0)</f>
        <v>1</v>
      </c>
      <c r="L108" s="58" t="n">
        <f aca="false">IF('03 Feature Comparison'!AJ14="",1,0)</f>
        <v>1</v>
      </c>
      <c r="M108" s="58" t="n">
        <f aca="false">IF('03 Feature Comparison'!AJ15="",1,0)</f>
        <v>1</v>
      </c>
      <c r="N108" s="58" t="n">
        <f aca="false">IF('03 Feature Comparison'!AJ16="",1,0)</f>
        <v>1</v>
      </c>
      <c r="O108" s="58" t="n">
        <f aca="false">IF('03 Feature Comparison'!AJ17="",1,0)</f>
        <v>1</v>
      </c>
      <c r="P108" s="58" t="n">
        <f aca="false">IF('03 Feature Comparison'!AJ18="",1,0)</f>
        <v>0</v>
      </c>
    </row>
    <row r="110" customFormat="false" ht="15" hidden="false" customHeight="false" outlineLevel="0" collapsed="false">
      <c r="B110" s="7" t="s">
        <v>995</v>
      </c>
      <c r="C110" s="7"/>
      <c r="D110" s="7"/>
      <c r="E110" s="7"/>
      <c r="F110" s="7"/>
      <c r="G110" s="7"/>
      <c r="H110" s="7"/>
      <c r="I110" s="7"/>
      <c r="J110" s="7"/>
      <c r="K110" s="7"/>
      <c r="L110" s="7"/>
      <c r="M110" s="7"/>
      <c r="N110" s="7"/>
      <c r="O110" s="7"/>
      <c r="P110" s="7"/>
      <c r="Q110" s="7"/>
      <c r="R110" s="7"/>
    </row>
    <row r="112" customFormat="false" ht="39.75" hidden="false" customHeight="true" outlineLevel="0" collapsed="false">
      <c r="B112" s="8" t="s">
        <v>36</v>
      </c>
      <c r="C112" s="8" t="s">
        <v>12</v>
      </c>
      <c r="D112" s="8" t="s">
        <v>679</v>
      </c>
      <c r="E112" s="8" t="s">
        <v>695</v>
      </c>
      <c r="F112" s="8" t="s">
        <v>681</v>
      </c>
      <c r="G112" s="8" t="s">
        <v>710</v>
      </c>
      <c r="H112" s="8" t="s">
        <v>712</v>
      </c>
      <c r="I112" s="8" t="s">
        <v>683</v>
      </c>
      <c r="J112" s="8" t="s">
        <v>706</v>
      </c>
      <c r="K112" s="8" t="s">
        <v>700</v>
      </c>
      <c r="L112" s="8" t="s">
        <v>765</v>
      </c>
      <c r="M112" s="8" t="s">
        <v>996</v>
      </c>
      <c r="N112" s="8" t="s">
        <v>997</v>
      </c>
      <c r="O112" s="8" t="s">
        <v>998</v>
      </c>
      <c r="P112" s="8" t="s">
        <v>999</v>
      </c>
      <c r="Q112" s="8" t="s">
        <v>21</v>
      </c>
      <c r="R112" s="8" t="s">
        <v>1000</v>
      </c>
    </row>
    <row r="113" customFormat="false" ht="15" hidden="false" customHeight="false" outlineLevel="0" collapsed="false">
      <c r="B113" s="42" t="s">
        <v>48</v>
      </c>
      <c r="C113" s="46" t="s">
        <v>50</v>
      </c>
      <c r="D113" s="79" t="n">
        <f aca="false">SUMPRODUCT($D$27:$D$50,$D$56:$D$79)</f>
        <v>0.25</v>
      </c>
      <c r="E113" s="79" t="n">
        <f aca="false">SUMPRODUCT($E$27:$E$50,$D$56:$D$79)</f>
        <v>0.175</v>
      </c>
      <c r="F113" s="79" t="n">
        <f aca="false">SUMPRODUCT($F$27:$F$50,$D$56:$D$79)</f>
        <v>1</v>
      </c>
      <c r="G113" s="79" t="n">
        <f aca="false">SUMPRODUCT($G$27:$G$50,$D$56:$D$79)</f>
        <v>0.55</v>
      </c>
      <c r="H113" s="79" t="n">
        <f aca="false">SUMPRODUCT($H$27:$H$50,$D$56:$D$79)</f>
        <v>1</v>
      </c>
      <c r="I113" s="79" t="n">
        <f aca="false">SUMPRODUCT($I$27:$I$50,$D$56:$D$79)</f>
        <v>0.775</v>
      </c>
      <c r="J113" s="79" t="n">
        <f aca="false">SUMPRODUCT($J$27:$J$50,$D$56:$D$79)</f>
        <v>1</v>
      </c>
      <c r="K113" s="79" t="n">
        <f aca="false">SUMPRODUCT($K$27:$K$50,$D$56:$D$79)</f>
        <v>0.25</v>
      </c>
      <c r="L113" s="79" t="n">
        <f aca="false">SUMPRODUCT($L$27:$L$50,$D$56:$D$79)</f>
        <v>0</v>
      </c>
      <c r="M113" s="81" t="n">
        <f aca="false">SUMPRODUCT(D113:L113,$D$26:$L$26)*100</f>
        <v>62.2558861827256</v>
      </c>
      <c r="N113" s="77" t="n">
        <f aca="false">SUMPRODUCT($M$27:$M$50,D$85:D$108)</f>
        <v>0.38878505171705</v>
      </c>
      <c r="O113" s="82" t="n">
        <f aca="false">M113-'10 Scoring &amp; Weights'!$C$9*N113*100</f>
        <v>52.5362598897993</v>
      </c>
      <c r="P113" s="82" t="n">
        <f aca="false">O113+N113*100</f>
        <v>91.4147650615044</v>
      </c>
      <c r="Q113" s="58" t="str">
        <f aca="false">INDEX($D$112:$L$112,MATCH(MAX(D113:L113),D113:L113,0))</f>
        <v>N3</v>
      </c>
      <c r="R113" s="58" t="str">
        <f aca="false">INDEX($D$112:$L$112,MATCH(MIN(D113:L113),D113:L113,0))</f>
        <v>N9</v>
      </c>
    </row>
    <row r="114" customFormat="false" ht="15" hidden="false" customHeight="false" outlineLevel="0" collapsed="false">
      <c r="B114" s="42" t="s">
        <v>59</v>
      </c>
      <c r="C114" s="46" t="s">
        <v>60</v>
      </c>
      <c r="D114" s="79" t="n">
        <f aca="false">SUMPRODUCT($D$27:$D$50,$E$56:$E$79)</f>
        <v>1</v>
      </c>
      <c r="E114" s="79" t="n">
        <f aca="false">SUMPRODUCT($E$27:$E$50,$E$56:$E$79)</f>
        <v>0.2875</v>
      </c>
      <c r="F114" s="79" t="n">
        <f aca="false">SUMPRODUCT($F$27:$F$50,$E$56:$E$79)</f>
        <v>0.25</v>
      </c>
      <c r="G114" s="79" t="n">
        <f aca="false">SUMPRODUCT($G$27:$G$50,$E$56:$E$79)</f>
        <v>0.2875</v>
      </c>
      <c r="H114" s="79" t="n">
        <f aca="false">SUMPRODUCT($H$27:$H$50,$E$56:$E$79)</f>
        <v>0.25</v>
      </c>
      <c r="I114" s="79" t="n">
        <f aca="false">SUMPRODUCT($I$27:$I$50,$E$56:$E$79)</f>
        <v>0.25</v>
      </c>
      <c r="J114" s="79" t="n">
        <f aca="false">SUMPRODUCT($J$27:$J$50,$E$56:$E$79)</f>
        <v>0.25</v>
      </c>
      <c r="K114" s="79" t="n">
        <f aca="false">SUMPRODUCT($K$27:$K$50,$E$56:$E$79)</f>
        <v>0.25</v>
      </c>
      <c r="L114" s="79" t="n">
        <f aca="false">SUMPRODUCT($L$27:$L$50,$E$56:$E$79)</f>
        <v>0.25</v>
      </c>
      <c r="M114" s="81" t="n">
        <f aca="false">SUMPRODUCT(D114:L114,$D$26:$L$26)*100</f>
        <v>38.8102758012462</v>
      </c>
      <c r="N114" s="77" t="n">
        <f aca="false">SUMPRODUCT($M$27:$M$50,E$85:E$108)</f>
        <v>0.788825337529042</v>
      </c>
      <c r="O114" s="82" t="n">
        <f aca="false">M114-'10 Scoring &amp; Weights'!$C$9*N114*100</f>
        <v>19.0896423630201</v>
      </c>
      <c r="P114" s="82" t="n">
        <f aca="false">O114+N114*100</f>
        <v>97.9721761159243</v>
      </c>
      <c r="Q114" s="58" t="str">
        <f aca="false">INDEX($D$112:$L$112,MATCH(MAX(D114:L114),D114:L114,0))</f>
        <v>N1</v>
      </c>
      <c r="R114" s="58" t="str">
        <f aca="false">INDEX($D$112:$L$112,MATCH(MIN(D114:L114),D114:L114,0))</f>
        <v>N3</v>
      </c>
    </row>
    <row r="115" customFormat="false" ht="15" hidden="false" customHeight="false" outlineLevel="0" collapsed="false">
      <c r="B115" s="42" t="s">
        <v>65</v>
      </c>
      <c r="C115" s="46" t="s">
        <v>66</v>
      </c>
      <c r="D115" s="79" t="n">
        <f aca="false">SUMPRODUCT($D$27:$D$50,$F$56:$F$79)</f>
        <v>1</v>
      </c>
      <c r="E115" s="79" t="n">
        <f aca="false">SUMPRODUCT($E$27:$E$50,$F$56:$F$79)</f>
        <v>0.85</v>
      </c>
      <c r="F115" s="79" t="n">
        <f aca="false">SUMPRODUCT($F$27:$F$50,$F$56:$F$79)</f>
        <v>0.25</v>
      </c>
      <c r="G115" s="79" t="n">
        <f aca="false">SUMPRODUCT($G$27:$G$50,$F$56:$F$79)</f>
        <v>0.73</v>
      </c>
      <c r="H115" s="79" t="n">
        <f aca="false">SUMPRODUCT($H$27:$H$50,$F$56:$F$79)</f>
        <v>1</v>
      </c>
      <c r="I115" s="79" t="n">
        <f aca="false">SUMPRODUCT($I$27:$I$50,$F$56:$F$79)</f>
        <v>0.25</v>
      </c>
      <c r="J115" s="79" t="n">
        <f aca="false">SUMPRODUCT($J$27:$J$50,$F$56:$F$79)</f>
        <v>0.25</v>
      </c>
      <c r="K115" s="79" t="n">
        <f aca="false">SUMPRODUCT($K$27:$K$50,$F$56:$F$79)</f>
        <v>0.25</v>
      </c>
      <c r="L115" s="79" t="n">
        <f aca="false">SUMPRODUCT($L$27:$L$50,$F$56:$F$79)</f>
        <v>0.7</v>
      </c>
      <c r="M115" s="81" t="n">
        <f aca="false">SUMPRODUCT(D115:L115,$D$26:$L$26)*100</f>
        <v>61.4383792012179</v>
      </c>
      <c r="N115" s="77" t="n">
        <f aca="false">SUMPRODUCT($M$27:$M$50,F$85:F$108)</f>
        <v>0.465994404147777</v>
      </c>
      <c r="O115" s="82" t="n">
        <f aca="false">M115-'10 Scoring &amp; Weights'!$C$9*N115*100</f>
        <v>49.7885190975235</v>
      </c>
      <c r="P115" s="82" t="n">
        <f aca="false">O115+N115*100</f>
        <v>96.3879595123012</v>
      </c>
      <c r="Q115" s="58" t="str">
        <f aca="false">INDEX($D$112:$L$112,MATCH(MAX(D115:L115),D115:L115,0))</f>
        <v>N1</v>
      </c>
      <c r="R115" s="58" t="str">
        <f aca="false">INDEX($D$112:$L$112,MATCH(MIN(D115:L115),D115:L115,0))</f>
        <v>N3</v>
      </c>
    </row>
    <row r="116" customFormat="false" ht="15" hidden="false" customHeight="false" outlineLevel="0" collapsed="false">
      <c r="B116" s="42" t="s">
        <v>71</v>
      </c>
      <c r="C116" s="46" t="s">
        <v>72</v>
      </c>
      <c r="D116" s="79" t="n">
        <f aca="false">SUMPRODUCT($D$27:$D$50,$G$56:$G$79)</f>
        <v>0.25</v>
      </c>
      <c r="E116" s="79" t="n">
        <f aca="false">SUMPRODUCT($E$27:$E$50,$G$56:$G$79)</f>
        <v>0.175</v>
      </c>
      <c r="F116" s="79" t="n">
        <f aca="false">SUMPRODUCT($F$27:$F$50,$G$56:$G$79)</f>
        <v>1</v>
      </c>
      <c r="G116" s="79" t="n">
        <f aca="false">SUMPRODUCT($G$27:$G$50,$G$56:$G$79)</f>
        <v>0.7</v>
      </c>
      <c r="H116" s="79" t="n">
        <f aca="false">SUMPRODUCT($H$27:$H$50,$G$56:$G$79)</f>
        <v>1</v>
      </c>
      <c r="I116" s="79" t="n">
        <f aca="false">SUMPRODUCT($I$27:$I$50,$G$56:$G$79)</f>
        <v>0.85</v>
      </c>
      <c r="J116" s="79" t="n">
        <f aca="false">SUMPRODUCT($J$27:$J$50,$G$56:$G$79)</f>
        <v>1</v>
      </c>
      <c r="K116" s="79" t="n">
        <f aca="false">SUMPRODUCT($K$27:$K$50,$G$56:$G$79)</f>
        <v>1</v>
      </c>
      <c r="L116" s="79" t="n">
        <f aca="false">SUMPRODUCT($L$27:$L$50,$G$56:$G$79)</f>
        <v>0</v>
      </c>
      <c r="M116" s="81" t="n">
        <f aca="false">SUMPRODUCT(D116:L116,$D$26:$L$26)*100</f>
        <v>70.3709894004925</v>
      </c>
      <c r="N116" s="77" t="n">
        <f aca="false">SUMPRODUCT($M$27:$M$50,G$85:G$108)</f>
        <v>0.285947200561082</v>
      </c>
      <c r="O116" s="82" t="n">
        <f aca="false">M116-'10 Scoring &amp; Weights'!$C$9*N116*100</f>
        <v>63.2223093864655</v>
      </c>
      <c r="P116" s="82" t="n">
        <f aca="false">O116+N116*100</f>
        <v>91.8170294425737</v>
      </c>
      <c r="Q116" s="58" t="str">
        <f aca="false">INDEX($D$112:$L$112,MATCH(MAX(D116:L116),D116:L116,0))</f>
        <v>N3</v>
      </c>
      <c r="R116" s="58" t="str">
        <f aca="false">INDEX($D$112:$L$112,MATCH(MIN(D116:L116),D116:L116,0))</f>
        <v>N9</v>
      </c>
    </row>
    <row r="117" customFormat="false" ht="15" hidden="false" customHeight="false" outlineLevel="0" collapsed="false">
      <c r="B117" s="42" t="s">
        <v>80</v>
      </c>
      <c r="C117" s="46" t="s">
        <v>81</v>
      </c>
      <c r="D117" s="79" t="n">
        <f aca="false">SUMPRODUCT($D$27:$D$50,$H$56:$H$79)</f>
        <v>0.25</v>
      </c>
      <c r="E117" s="79" t="n">
        <f aca="false">SUMPRODUCT($E$27:$E$50,$H$56:$H$79)</f>
        <v>0.175</v>
      </c>
      <c r="F117" s="79" t="n">
        <f aca="false">SUMPRODUCT($F$27:$F$50,$H$56:$H$79)</f>
        <v>1</v>
      </c>
      <c r="G117" s="79" t="n">
        <f aca="false">SUMPRODUCT($G$27:$G$50,$H$56:$H$79)</f>
        <v>0.85</v>
      </c>
      <c r="H117" s="79" t="n">
        <f aca="false">SUMPRODUCT($H$27:$H$50,$H$56:$H$79)</f>
        <v>1</v>
      </c>
      <c r="I117" s="79" t="n">
        <f aca="false">SUMPRODUCT($I$27:$I$50,$H$56:$H$79)</f>
        <v>0.625</v>
      </c>
      <c r="J117" s="79" t="n">
        <f aca="false">SUMPRODUCT($J$27:$J$50,$H$56:$H$79)</f>
        <v>1</v>
      </c>
      <c r="K117" s="79" t="n">
        <f aca="false">SUMPRODUCT($K$27:$K$50,$H$56:$H$79)</f>
        <v>1</v>
      </c>
      <c r="L117" s="79" t="n">
        <f aca="false">SUMPRODUCT($L$27:$L$50,$H$56:$H$79)</f>
        <v>0</v>
      </c>
      <c r="M117" s="81" t="n">
        <f aca="false">SUMPRODUCT(D117:L117,$D$26:$L$26)*100</f>
        <v>69.8653677709651</v>
      </c>
      <c r="N117" s="77" t="n">
        <f aca="false">SUMPRODUCT($M$27:$M$50,H$85:H$108)</f>
        <v>0.292688822288114</v>
      </c>
      <c r="O117" s="82" t="n">
        <f aca="false">M117-'10 Scoring &amp; Weights'!$C$9*N117*100</f>
        <v>62.5481472137623</v>
      </c>
      <c r="P117" s="82" t="n">
        <f aca="false">O117+N117*100</f>
        <v>91.8170294425737</v>
      </c>
      <c r="Q117" s="58" t="str">
        <f aca="false">INDEX($D$112:$L$112,MATCH(MAX(D117:L117),D117:L117,0))</f>
        <v>N3</v>
      </c>
      <c r="R117" s="58" t="str">
        <f aca="false">INDEX($D$112:$L$112,MATCH(MIN(D117:L117),D117:L117,0))</f>
        <v>N9</v>
      </c>
    </row>
    <row r="118" customFormat="false" ht="15" hidden="false" customHeight="false" outlineLevel="0" collapsed="false">
      <c r="B118" s="42" t="s">
        <v>86</v>
      </c>
      <c r="C118" s="46" t="s">
        <v>87</v>
      </c>
      <c r="D118" s="79" t="n">
        <f aca="false">SUMPRODUCT($D$27:$D$50,$I$56:$I$79)</f>
        <v>0.25</v>
      </c>
      <c r="E118" s="79" t="n">
        <f aca="false">SUMPRODUCT($E$27:$E$50,$I$56:$I$79)</f>
        <v>0.175</v>
      </c>
      <c r="F118" s="79" t="n">
        <f aca="false">SUMPRODUCT($F$27:$F$50,$I$56:$I$79)</f>
        <v>0.8125</v>
      </c>
      <c r="G118" s="79" t="n">
        <f aca="false">SUMPRODUCT($G$27:$G$50,$I$56:$I$79)</f>
        <v>0.125</v>
      </c>
      <c r="H118" s="79" t="n">
        <f aca="false">SUMPRODUCT($H$27:$H$50,$I$56:$I$79)</f>
        <v>1</v>
      </c>
      <c r="I118" s="79" t="n">
        <f aca="false">SUMPRODUCT($I$27:$I$50,$I$56:$I$79)</f>
        <v>0.925</v>
      </c>
      <c r="J118" s="79" t="n">
        <f aca="false">SUMPRODUCT($J$27:$J$50,$I$56:$I$79)</f>
        <v>1</v>
      </c>
      <c r="K118" s="79" t="n">
        <f aca="false">SUMPRODUCT($K$27:$K$50,$I$56:$I$79)</f>
        <v>0.25</v>
      </c>
      <c r="L118" s="79" t="n">
        <f aca="false">SUMPRODUCT($L$27:$L$50,$I$56:$I$79)</f>
        <v>0</v>
      </c>
      <c r="M118" s="81" t="n">
        <f aca="false">SUMPRODUCT(D118:L118,$D$26:$L$26)*100</f>
        <v>55.2533665959546</v>
      </c>
      <c r="N118" s="77" t="n">
        <f aca="false">SUMPRODUCT($M$27:$M$50,I$85:I$108)</f>
        <v>0.442720221278214</v>
      </c>
      <c r="O118" s="82" t="n">
        <f aca="false">M118-'10 Scoring &amp; Weights'!$C$9*N118*100</f>
        <v>44.1853610639993</v>
      </c>
      <c r="P118" s="82" t="n">
        <f aca="false">O118+N118*100</f>
        <v>88.4573831918207</v>
      </c>
      <c r="Q118" s="58" t="str">
        <f aca="false">INDEX($D$112:$L$112,MATCH(MAX(D118:L118),D118:L118,0))</f>
        <v>N5</v>
      </c>
      <c r="R118" s="58" t="str">
        <f aca="false">INDEX($D$112:$L$112,MATCH(MIN(D118:L118),D118:L118,0))</f>
        <v>N9</v>
      </c>
    </row>
    <row r="119" customFormat="false" ht="15" hidden="false" customHeight="false" outlineLevel="0" collapsed="false">
      <c r="B119" s="42" t="s">
        <v>93</v>
      </c>
      <c r="C119" s="46" t="s">
        <v>94</v>
      </c>
      <c r="D119" s="79" t="n">
        <f aca="false">SUMPRODUCT($D$27:$D$50,$J$56:$J$79)</f>
        <v>1</v>
      </c>
      <c r="E119" s="79" t="n">
        <f aca="false">SUMPRODUCT($E$27:$E$50,$J$56:$J$79)</f>
        <v>1</v>
      </c>
      <c r="F119" s="79" t="n">
        <f aca="false">SUMPRODUCT($F$27:$F$50,$J$56:$J$79)</f>
        <v>0.7</v>
      </c>
      <c r="G119" s="79" t="n">
        <f aca="false">SUMPRODUCT($G$27:$G$50,$J$56:$J$79)</f>
        <v>0.3</v>
      </c>
      <c r="H119" s="79" t="n">
        <f aca="false">SUMPRODUCT($H$27:$H$50,$J$56:$J$79)</f>
        <v>1</v>
      </c>
      <c r="I119" s="79" t="n">
        <f aca="false">SUMPRODUCT($I$27:$I$50,$J$56:$J$79)</f>
        <v>0.7</v>
      </c>
      <c r="J119" s="79" t="n">
        <f aca="false">SUMPRODUCT($J$27:$J$50,$J$56:$J$79)</f>
        <v>1</v>
      </c>
      <c r="K119" s="79" t="n">
        <f aca="false">SUMPRODUCT($K$27:$K$50,$J$56:$J$79)</f>
        <v>0.25</v>
      </c>
      <c r="L119" s="79" t="n">
        <f aca="false">SUMPRODUCT($L$27:$L$50,$J$56:$J$79)</f>
        <v>0.7</v>
      </c>
      <c r="M119" s="81" t="n">
        <f aca="false">SUMPRODUCT(D119:L119,$D$26:$L$26)*100</f>
        <v>76.8320885723364</v>
      </c>
      <c r="N119" s="77" t="n">
        <f aca="false">SUMPRODUCT($M$27:$M$50,J$85:J$108)</f>
        <v>0.25961578787412</v>
      </c>
      <c r="O119" s="82" t="n">
        <f aca="false">M119-'10 Scoring &amp; Weights'!$C$9*N119*100</f>
        <v>70.3416938754833</v>
      </c>
      <c r="P119" s="82" t="n">
        <f aca="false">O119+N119*100</f>
        <v>96.3032726628954</v>
      </c>
      <c r="Q119" s="58" t="str">
        <f aca="false">INDEX($D$112:$L$112,MATCH(MAX(D119:L119),D119:L119,0))</f>
        <v>N1</v>
      </c>
      <c r="R119" s="58" t="str">
        <f aca="false">INDEX($D$112:$L$112,MATCH(MIN(D119:L119),D119:L119,0))</f>
        <v>N8</v>
      </c>
    </row>
    <row r="120" customFormat="false" ht="15" hidden="false" customHeight="false" outlineLevel="0" collapsed="false">
      <c r="B120" s="42" t="s">
        <v>98</v>
      </c>
      <c r="C120" s="46" t="s">
        <v>99</v>
      </c>
      <c r="D120" s="79" t="n">
        <f aca="false">SUMPRODUCT($D$27:$D$50,$K$56:$K$79)</f>
        <v>0.25</v>
      </c>
      <c r="E120" s="79" t="n">
        <f aca="false">SUMPRODUCT($E$27:$E$50,$K$56:$K$79)</f>
        <v>0.175</v>
      </c>
      <c r="F120" s="79" t="n">
        <f aca="false">SUMPRODUCT($F$27:$F$50,$K$56:$K$79)</f>
        <v>0.475</v>
      </c>
      <c r="G120" s="79" t="n">
        <f aca="false">SUMPRODUCT($G$27:$G$50,$K$56:$K$79)</f>
        <v>0.4</v>
      </c>
      <c r="H120" s="79" t="n">
        <f aca="false">SUMPRODUCT($H$27:$H$50,$K$56:$K$79)</f>
        <v>1</v>
      </c>
      <c r="I120" s="79" t="n">
        <f aca="false">SUMPRODUCT($I$27:$I$50,$K$56:$K$79)</f>
        <v>0.55</v>
      </c>
      <c r="J120" s="79" t="n">
        <f aca="false">SUMPRODUCT($J$27:$J$50,$K$56:$K$79)</f>
        <v>0.25</v>
      </c>
      <c r="K120" s="79" t="n">
        <f aca="false">SUMPRODUCT($K$27:$K$50,$K$56:$K$79)</f>
        <v>0.25</v>
      </c>
      <c r="L120" s="79" t="n">
        <f aca="false">SUMPRODUCT($L$27:$L$50,$K$56:$K$79)</f>
        <v>0</v>
      </c>
      <c r="M120" s="81" t="n">
        <f aca="false">SUMPRODUCT(D120:L120,$D$26:$L$26)*100</f>
        <v>41.8334967332486</v>
      </c>
      <c r="N120" s="77" t="n">
        <f aca="false">SUMPRODUCT($M$27:$M$50,K$85:K$108)</f>
        <v>0.690657396406915</v>
      </c>
      <c r="O120" s="82" t="n">
        <f aca="false">M120-'10 Scoring &amp; Weights'!$C$9*N120*100</f>
        <v>24.5670618230757</v>
      </c>
      <c r="P120" s="82" t="n">
        <f aca="false">O120+N120*100</f>
        <v>93.6328014637672</v>
      </c>
      <c r="Q120" s="58" t="str">
        <f aca="false">INDEX($D$112:$L$112,MATCH(MAX(D120:L120),D120:L120,0))</f>
        <v>N5</v>
      </c>
      <c r="R120" s="58" t="str">
        <f aca="false">INDEX($D$112:$L$112,MATCH(MIN(D120:L120),D120:L120,0))</f>
        <v>N9</v>
      </c>
    </row>
    <row r="121" customFormat="false" ht="15" hidden="false" customHeight="false" outlineLevel="0" collapsed="false">
      <c r="B121" s="42" t="s">
        <v>106</v>
      </c>
      <c r="C121" s="46" t="s">
        <v>107</v>
      </c>
      <c r="D121" s="79" t="n">
        <f aca="false">SUMPRODUCT($D$27:$D$50,$L$56:$L$79)</f>
        <v>1</v>
      </c>
      <c r="E121" s="79" t="n">
        <f aca="false">SUMPRODUCT($E$27:$E$50,$L$56:$L$79)</f>
        <v>1</v>
      </c>
      <c r="F121" s="79" t="n">
        <f aca="false">SUMPRODUCT($F$27:$F$50,$L$56:$L$79)</f>
        <v>0.25</v>
      </c>
      <c r="G121" s="79" t="n">
        <f aca="false">SUMPRODUCT($G$27:$G$50,$L$56:$L$79)</f>
        <v>0.48</v>
      </c>
      <c r="H121" s="79" t="n">
        <f aca="false">SUMPRODUCT($H$27:$H$50,$L$56:$L$79)</f>
        <v>1</v>
      </c>
      <c r="I121" s="79" t="n">
        <f aca="false">SUMPRODUCT($I$27:$I$50,$L$56:$L$79)</f>
        <v>0.475</v>
      </c>
      <c r="J121" s="79" t="n">
        <f aca="false">SUMPRODUCT($J$27:$J$50,$L$56:$L$79)</f>
        <v>0.25</v>
      </c>
      <c r="K121" s="79" t="n">
        <f aca="false">SUMPRODUCT($K$27:$K$50,$L$56:$L$79)</f>
        <v>0.25</v>
      </c>
      <c r="L121" s="79" t="n">
        <f aca="false">SUMPRODUCT($L$27:$L$50,$L$56:$L$79)</f>
        <v>0.7</v>
      </c>
      <c r="M121" s="81" t="n">
        <f aca="false">SUMPRODUCT(D121:L121,$D$26:$L$26)*100</f>
        <v>62.302921261792</v>
      </c>
      <c r="N121" s="77" t="n">
        <f aca="false">SUMPRODUCT($M$27:$M$50,L$85:L$108)</f>
        <v>0.429678963723908</v>
      </c>
      <c r="O121" s="82" t="n">
        <f aca="false">M121-'10 Scoring &amp; Weights'!$C$9*N121*100</f>
        <v>51.5609471686943</v>
      </c>
      <c r="P121" s="82" t="n">
        <f aca="false">O121+N121*100</f>
        <v>94.5288435410851</v>
      </c>
      <c r="Q121" s="58" t="str">
        <f aca="false">INDEX($D$112:$L$112,MATCH(MAX(D121:L121),D121:L121,0))</f>
        <v>N1</v>
      </c>
      <c r="R121" s="58" t="str">
        <f aca="false">INDEX($D$112:$L$112,MATCH(MIN(D121:L121),D121:L121,0))</f>
        <v>N3</v>
      </c>
    </row>
    <row r="122" customFormat="false" ht="15" hidden="false" customHeight="false" outlineLevel="0" collapsed="false">
      <c r="B122" s="42" t="s">
        <v>112</v>
      </c>
      <c r="C122" s="46" t="s">
        <v>113</v>
      </c>
      <c r="D122" s="79" t="n">
        <f aca="false">SUMPRODUCT($D$27:$D$50,$M$56:$M$79)</f>
        <v>1</v>
      </c>
      <c r="E122" s="79" t="n">
        <f aca="false">SUMPRODUCT($E$27:$E$50,$M$56:$M$79)</f>
        <v>1</v>
      </c>
      <c r="F122" s="79" t="n">
        <f aca="false">SUMPRODUCT($F$27:$F$50,$M$56:$M$79)</f>
        <v>0.7</v>
      </c>
      <c r="G122" s="79" t="n">
        <f aca="false">SUMPRODUCT($G$27:$G$50,$M$56:$M$79)</f>
        <v>0.3</v>
      </c>
      <c r="H122" s="79" t="n">
        <f aca="false">SUMPRODUCT($H$27:$H$50,$M$56:$M$79)</f>
        <v>1</v>
      </c>
      <c r="I122" s="79" t="n">
        <f aca="false">SUMPRODUCT($I$27:$I$50,$M$56:$M$79)</f>
        <v>0.55</v>
      </c>
      <c r="J122" s="79" t="n">
        <f aca="false">SUMPRODUCT($J$27:$J$50,$M$56:$M$79)</f>
        <v>0.25</v>
      </c>
      <c r="K122" s="79" t="n">
        <f aca="false">SUMPRODUCT($K$27:$K$50,$M$56:$M$79)</f>
        <v>0.25</v>
      </c>
      <c r="L122" s="79" t="n">
        <f aca="false">SUMPRODUCT($L$27:$L$50,$M$56:$M$79)</f>
        <v>0.7</v>
      </c>
      <c r="M122" s="81" t="n">
        <f aca="false">SUMPRODUCT(D122:L122,$D$26:$L$26)*100</f>
        <v>66.6304159134011</v>
      </c>
      <c r="N122" s="77" t="n">
        <f aca="false">SUMPRODUCT($M$27:$M$50,M$85:M$108)</f>
        <v>0.371427796377344</v>
      </c>
      <c r="O122" s="82" t="n">
        <f aca="false">M122-'10 Scoring &amp; Weights'!$C$9*N122*100</f>
        <v>57.3447210039675</v>
      </c>
      <c r="P122" s="82" t="n">
        <f aca="false">O122+N122*100</f>
        <v>94.4875006417019</v>
      </c>
      <c r="Q122" s="58" t="str">
        <f aca="false">INDEX($D$112:$L$112,MATCH(MAX(D122:L122),D122:L122,0))</f>
        <v>N1</v>
      </c>
      <c r="R122" s="58" t="str">
        <f aca="false">INDEX($D$112:$L$112,MATCH(MIN(D122:L122),D122:L122,0))</f>
        <v>N7</v>
      </c>
    </row>
    <row r="123" customFormat="false" ht="15" hidden="false" customHeight="false" outlineLevel="0" collapsed="false">
      <c r="B123" s="42" t="s">
        <v>117</v>
      </c>
      <c r="C123" s="46" t="s">
        <v>118</v>
      </c>
      <c r="D123" s="79" t="n">
        <f aca="false">SUMPRODUCT($D$27:$D$50,$N$56:$N$79)</f>
        <v>1</v>
      </c>
      <c r="E123" s="79" t="n">
        <f aca="false">SUMPRODUCT($E$27:$E$50,$N$56:$N$79)</f>
        <v>0.775</v>
      </c>
      <c r="F123" s="79" t="n">
        <f aca="false">SUMPRODUCT($F$27:$F$50,$N$56:$N$79)</f>
        <v>0.5875</v>
      </c>
      <c r="G123" s="79" t="n">
        <f aca="false">SUMPRODUCT($G$27:$G$50,$N$56:$N$79)</f>
        <v>0.375</v>
      </c>
      <c r="H123" s="79" t="n">
        <f aca="false">SUMPRODUCT($H$27:$H$50,$N$56:$N$79)</f>
        <v>1</v>
      </c>
      <c r="I123" s="79" t="n">
        <f aca="false">SUMPRODUCT($I$27:$I$50,$N$56:$N$79)</f>
        <v>0.4</v>
      </c>
      <c r="J123" s="79" t="n">
        <f aca="false">SUMPRODUCT($J$27:$J$50,$N$56:$N$79)</f>
        <v>0.25</v>
      </c>
      <c r="K123" s="79" t="n">
        <f aca="false">SUMPRODUCT($K$27:$K$50,$N$56:$N$79)</f>
        <v>0.25</v>
      </c>
      <c r="L123" s="79" t="n">
        <f aca="false">SUMPRODUCT($L$27:$L$50,$N$56:$N$79)</f>
        <v>1</v>
      </c>
      <c r="M123" s="81" t="n">
        <f aca="false">SUMPRODUCT(D123:L123,$D$26:$L$26)*100</f>
        <v>61.7891137842321</v>
      </c>
      <c r="N123" s="77" t="n">
        <f aca="false">SUMPRODUCT($M$27:$M$50,N$85:N$108)</f>
        <v>0.460188785048843</v>
      </c>
      <c r="O123" s="82" t="n">
        <f aca="false">M123-'10 Scoring &amp; Weights'!$C$9*N123*100</f>
        <v>50.2843941580111</v>
      </c>
      <c r="P123" s="82" t="n">
        <f aca="false">O123+N123*100</f>
        <v>96.3032726628954</v>
      </c>
      <c r="Q123" s="58" t="str">
        <f aca="false">INDEX($D$112:$L$112,MATCH(MAX(D123:L123),D123:L123,0))</f>
        <v>N1</v>
      </c>
      <c r="R123" s="58" t="str">
        <f aca="false">INDEX($D$112:$L$112,MATCH(MIN(D123:L123),D123:L123,0))</f>
        <v>N7</v>
      </c>
    </row>
    <row r="124" customFormat="false" ht="15" hidden="false" customHeight="false" outlineLevel="0" collapsed="false">
      <c r="B124" s="42" t="s">
        <v>122</v>
      </c>
      <c r="C124" s="46" t="s">
        <v>123</v>
      </c>
      <c r="D124" s="79" t="n">
        <f aca="false">SUMPRODUCT($D$27:$D$50,$O$56:$O$79)</f>
        <v>0.25</v>
      </c>
      <c r="E124" s="79" t="n">
        <f aca="false">SUMPRODUCT($E$27:$E$50,$O$56:$O$79)</f>
        <v>1</v>
      </c>
      <c r="F124" s="79" t="n">
        <f aca="false">SUMPRODUCT($F$27:$F$50,$O$56:$O$79)</f>
        <v>0.475</v>
      </c>
      <c r="G124" s="79" t="n">
        <f aca="false">SUMPRODUCT($G$27:$G$50,$O$56:$O$79)</f>
        <v>0.3625</v>
      </c>
      <c r="H124" s="79" t="n">
        <f aca="false">SUMPRODUCT($H$27:$H$50,$O$56:$O$79)</f>
        <v>1</v>
      </c>
      <c r="I124" s="79" t="n">
        <f aca="false">SUMPRODUCT($I$27:$I$50,$O$56:$O$79)</f>
        <v>0.4</v>
      </c>
      <c r="J124" s="79" t="n">
        <f aca="false">SUMPRODUCT($J$27:$J$50,$O$56:$O$79)</f>
        <v>1</v>
      </c>
      <c r="K124" s="79" t="n">
        <f aca="false">SUMPRODUCT($K$27:$K$50,$O$56:$O$79)</f>
        <v>0.25</v>
      </c>
      <c r="L124" s="79" t="n">
        <f aca="false">SUMPRODUCT($L$27:$L$50,$O$56:$O$79)</f>
        <v>0.7</v>
      </c>
      <c r="M124" s="81" t="n">
        <f aca="false">SUMPRODUCT(D124:L124,$D$26:$L$26)*100</f>
        <v>58.2877363431534</v>
      </c>
      <c r="N124" s="77" t="n">
        <f aca="false">SUMPRODUCT($M$27:$M$50,O$85:O$108)</f>
        <v>0.531953221808708</v>
      </c>
      <c r="O124" s="82" t="n">
        <f aca="false">M124-'10 Scoring &amp; Weights'!$C$9*N124*100</f>
        <v>44.9889057979357</v>
      </c>
      <c r="P124" s="82" t="n">
        <f aca="false">O124+N124*100</f>
        <v>98.1842279788065</v>
      </c>
      <c r="Q124" s="58" t="str">
        <f aca="false">INDEX($D$112:$L$112,MATCH(MAX(D124:L124),D124:L124,0))</f>
        <v>N2</v>
      </c>
      <c r="R124" s="58" t="str">
        <f aca="false">INDEX($D$112:$L$112,MATCH(MIN(D124:L124),D124:L124,0))</f>
        <v>N1</v>
      </c>
    </row>
    <row r="125" customFormat="false" ht="15" hidden="false" customHeight="false" outlineLevel="0" collapsed="false">
      <c r="B125" s="42" t="s">
        <v>127</v>
      </c>
      <c r="C125" s="46" t="s">
        <v>128</v>
      </c>
      <c r="D125" s="79" t="n">
        <f aca="false">SUMPRODUCT($D$27:$D$50,$P$56:$P$79)</f>
        <v>0.25</v>
      </c>
      <c r="E125" s="79" t="n">
        <f aca="false">SUMPRODUCT($E$27:$E$50,$P$56:$P$79)</f>
        <v>1</v>
      </c>
      <c r="F125" s="79" t="n">
        <f aca="false">SUMPRODUCT($F$27:$F$50,$P$56:$P$79)</f>
        <v>0.5125</v>
      </c>
      <c r="G125" s="79" t="n">
        <f aca="false">SUMPRODUCT($G$27:$G$50,$P$56:$P$79)</f>
        <v>0.715</v>
      </c>
      <c r="H125" s="79" t="n">
        <f aca="false">SUMPRODUCT($H$27:$H$50,$P$56:$P$79)</f>
        <v>1</v>
      </c>
      <c r="I125" s="79" t="n">
        <f aca="false">SUMPRODUCT($I$27:$I$50,$P$56:$P$79)</f>
        <v>0.625</v>
      </c>
      <c r="J125" s="79" t="n">
        <f aca="false">SUMPRODUCT($J$27:$J$50,$P$56:$P$79)</f>
        <v>0.25</v>
      </c>
      <c r="K125" s="79" t="n">
        <f aca="false">SUMPRODUCT($K$27:$K$50,$P$56:$P$79)</f>
        <v>0.25</v>
      </c>
      <c r="L125" s="79" t="n">
        <f aca="false">SUMPRODUCT($L$27:$L$50,$P$56:$P$79)</f>
        <v>0.7</v>
      </c>
      <c r="M125" s="81" t="n">
        <f aca="false">SUMPRODUCT(D125:L125,$D$26:$L$26)*100</f>
        <v>58.3446503094967</v>
      </c>
      <c r="N125" s="77" t="n">
        <f aca="false">SUMPRODUCT($M$27:$M$50,P$85:P$108)</f>
        <v>0.519364841445397</v>
      </c>
      <c r="O125" s="82" t="n">
        <f aca="false">M125-'10 Scoring &amp; Weights'!$C$9*N125*100</f>
        <v>45.3605292733618</v>
      </c>
      <c r="P125" s="82" t="n">
        <f aca="false">O125+N125*100</f>
        <v>97.2970134179014</v>
      </c>
      <c r="Q125" s="58" t="str">
        <f aca="false">INDEX($D$112:$L$112,MATCH(MAX(D125:L125),D125:L125,0))</f>
        <v>N2</v>
      </c>
      <c r="R125" s="58" t="str">
        <f aca="false">INDEX($D$112:$L$112,MATCH(MIN(D125:L125),D125:L125,0))</f>
        <v>N1</v>
      </c>
    </row>
    <row r="128" customFormat="false" ht="15" hidden="false" customHeight="false" outlineLevel="0" collapsed="false">
      <c r="B128" s="7" t="s">
        <v>1001</v>
      </c>
      <c r="C128" s="7"/>
      <c r="D128" s="7"/>
      <c r="E128" s="7"/>
      <c r="F128" s="7"/>
      <c r="G128" s="7"/>
      <c r="H128" s="7"/>
      <c r="I128" s="7"/>
      <c r="J128" s="7"/>
      <c r="K128" s="7"/>
      <c r="L128" s="7"/>
      <c r="M128" s="7"/>
    </row>
    <row r="129" customFormat="false" ht="27.75" hidden="false" customHeight="true" outlineLevel="0" collapsed="false">
      <c r="B129" s="8" t="s">
        <v>939</v>
      </c>
      <c r="C129" s="8" t="s">
        <v>1002</v>
      </c>
      <c r="D129" s="8" t="s">
        <v>1003</v>
      </c>
      <c r="E129" s="8" t="s">
        <v>1004</v>
      </c>
      <c r="F129" s="8" t="s">
        <v>949</v>
      </c>
      <c r="G129" s="8" t="s">
        <v>1005</v>
      </c>
      <c r="H129" s="8" t="s">
        <v>1006</v>
      </c>
    </row>
    <row r="130" customFormat="false" ht="39.75" hidden="false" customHeight="true" outlineLevel="0" collapsed="false">
      <c r="B130" s="30" t="s">
        <v>1007</v>
      </c>
      <c r="C130" s="30" t="s">
        <v>954</v>
      </c>
      <c r="D130" s="30" t="s">
        <v>1008</v>
      </c>
      <c r="E130" s="30" t="s">
        <v>1009</v>
      </c>
      <c r="F130" s="83" t="n">
        <f aca="false">$L$14</f>
        <v>0.170618184789444</v>
      </c>
      <c r="G130" s="84" t="str">
        <f aca="false">INDEX($C$113:$C$125,MATCH(MAX(D$113:D$125),D$113:D$125,0))</f>
        <v>CT29</v>
      </c>
      <c r="H130" s="79" t="n">
        <f aca="false">MAX(D$113:D$125)</f>
        <v>1</v>
      </c>
    </row>
    <row r="131" customFormat="false" ht="39.75" hidden="false" customHeight="true" outlineLevel="0" collapsed="false">
      <c r="B131" s="30" t="s">
        <v>1010</v>
      </c>
      <c r="C131" s="30" t="s">
        <v>957</v>
      </c>
      <c r="D131" s="30" t="s">
        <v>1011</v>
      </c>
      <c r="E131" s="30" t="s">
        <v>1012</v>
      </c>
      <c r="F131" s="83" t="n">
        <f aca="false">$L$15</f>
        <v>0.122507424392572</v>
      </c>
      <c r="G131" s="84" t="str">
        <f aca="false">INDEX($C$113:$C$125,MATCH(MAX(E$113:E$125),E$113:E$125,0))</f>
        <v>HW20</v>
      </c>
      <c r="H131" s="79" t="n">
        <f aca="false">MAX(E$113:E$125)</f>
        <v>1</v>
      </c>
    </row>
    <row r="132" customFormat="false" ht="39.75" hidden="false" customHeight="true" outlineLevel="0" collapsed="false">
      <c r="B132" s="30" t="s">
        <v>1013</v>
      </c>
      <c r="C132" s="30" t="s">
        <v>960</v>
      </c>
      <c r="D132" s="30" t="s">
        <v>1014</v>
      </c>
      <c r="E132" s="30" t="s">
        <v>1015</v>
      </c>
      <c r="F132" s="83" t="n">
        <f aca="false">$L$16</f>
        <v>0.135138940527282</v>
      </c>
      <c r="G132" s="84" t="str">
        <f aca="false">INDEX($C$113:$C$125,MATCH(MAX(F$113:F$125),F$113:F$125,0))</f>
        <v>VB10</v>
      </c>
      <c r="H132" s="79" t="n">
        <f aca="false">MAX(F$113:F$125)</f>
        <v>1</v>
      </c>
    </row>
    <row r="133" customFormat="false" ht="39.75" hidden="false" customHeight="true" outlineLevel="0" collapsed="false">
      <c r="B133" s="30" t="s">
        <v>1016</v>
      </c>
      <c r="C133" s="30" t="s">
        <v>963</v>
      </c>
      <c r="D133" s="30" t="s">
        <v>1017</v>
      </c>
      <c r="E133" s="30" t="s">
        <v>1018</v>
      </c>
      <c r="F133" s="83" t="n">
        <f aca="false">$L$17</f>
        <v>0.147869093484185</v>
      </c>
      <c r="G133" s="84" t="str">
        <f aca="false">INDEX($C$113:$C$125,MATCH(MAX(G$113:G$125),G$113:G$125,0))</f>
        <v>MF91</v>
      </c>
      <c r="H133" s="79" t="n">
        <f aca="false">MAX(G$113:G$125)</f>
        <v>0.85</v>
      </c>
    </row>
    <row r="134" customFormat="false" ht="39.75" hidden="false" customHeight="true" outlineLevel="0" collapsed="false">
      <c r="B134" s="30" t="s">
        <v>1019</v>
      </c>
      <c r="C134" s="30" t="s">
        <v>966</v>
      </c>
      <c r="D134" s="30" t="s">
        <v>1020</v>
      </c>
      <c r="E134" s="30" t="s">
        <v>1021</v>
      </c>
      <c r="F134" s="83" t="n">
        <f aca="false">$L$18</f>
        <v>0.1197410754697</v>
      </c>
      <c r="G134" s="84" t="str">
        <f aca="false">INDEX($C$113:$C$125,MATCH(MAX(H$113:H$125),H$113:H$125,0))</f>
        <v>VB10</v>
      </c>
      <c r="H134" s="79" t="n">
        <f aca="false">MAX(H$113:H$125)</f>
        <v>1</v>
      </c>
    </row>
    <row r="135" customFormat="false" ht="39.75" hidden="false" customHeight="true" outlineLevel="0" collapsed="false">
      <c r="B135" s="30" t="s">
        <v>1022</v>
      </c>
      <c r="C135" s="30" t="s">
        <v>969</v>
      </c>
      <c r="D135" s="30" t="s">
        <v>1023</v>
      </c>
      <c r="E135" s="30" t="s">
        <v>1024</v>
      </c>
      <c r="F135" s="83" t="n">
        <f aca="false">$L$19</f>
        <v>0.121051468079564</v>
      </c>
      <c r="G135" s="84" t="str">
        <f aca="false">INDEX($C$113:$C$125,MATCH(MAX(I$113:I$125),I$113:I$125,0))</f>
        <v>MF40</v>
      </c>
      <c r="H135" s="79" t="n">
        <f aca="false">MAX(I$113:I$125)</f>
        <v>0.925</v>
      </c>
    </row>
    <row r="136" customFormat="false" ht="39.75" hidden="false" customHeight="true" outlineLevel="0" collapsed="false">
      <c r="B136" s="30" t="s">
        <v>1025</v>
      </c>
      <c r="C136" s="30" t="s">
        <v>972</v>
      </c>
      <c r="D136" s="30" t="s">
        <v>432</v>
      </c>
      <c r="E136" s="30" t="s">
        <v>1026</v>
      </c>
      <c r="F136" s="83" t="n">
        <f aca="false">$L$20</f>
        <v>0.111812008503223</v>
      </c>
      <c r="G136" s="84" t="str">
        <f aca="false">INDEX($C$113:$C$125,MATCH(MAX(J$113:J$125),J$113:J$125,0))</f>
        <v>VB10</v>
      </c>
      <c r="H136" s="79" t="n">
        <f aca="false">MAX(J$113:J$125)</f>
        <v>1</v>
      </c>
    </row>
    <row r="137" customFormat="false" ht="39.75" hidden="false" customHeight="true" outlineLevel="0" collapsed="false">
      <c r="B137" s="30" t="s">
        <v>1027</v>
      </c>
      <c r="C137" s="30" t="s">
        <v>975</v>
      </c>
      <c r="D137" s="30" t="s">
        <v>448</v>
      </c>
      <c r="E137" s="30" t="s">
        <v>1028</v>
      </c>
      <c r="F137" s="83" t="n">
        <f aca="false">$L$21</f>
        <v>0.0665224107320992</v>
      </c>
      <c r="G137" s="84" t="str">
        <f aca="false">INDEX($C$113:$C$125,MATCH(MAX(K$113:K$125),K$113:K$125,0))</f>
        <v>MF90</v>
      </c>
      <c r="H137" s="79" t="n">
        <f aca="false">MAX(K$113:K$125)</f>
        <v>1</v>
      </c>
    </row>
    <row r="138" customFormat="false" ht="39.75" hidden="false" customHeight="true" outlineLevel="0" collapsed="false">
      <c r="B138" s="30" t="s">
        <v>1029</v>
      </c>
      <c r="C138" s="30" t="s">
        <v>978</v>
      </c>
      <c r="D138" s="30" t="s">
        <v>1030</v>
      </c>
      <c r="E138" s="30" t="s">
        <v>1031</v>
      </c>
      <c r="F138" s="83" t="n">
        <f aca="false">$L$22</f>
        <v>0.00473939402192901</v>
      </c>
      <c r="G138" s="84" t="str">
        <f aca="false">INDEX($C$113:$C$125,MATCH(MAX(L$113:L$125),L$113:L$125,0))</f>
        <v>CT20S</v>
      </c>
      <c r="H138" s="79" t="n">
        <f aca="false">MAX(L$113:L$125)</f>
        <v>1</v>
      </c>
    </row>
  </sheetData>
  <mergeCells count="6">
    <mergeCell ref="D6:N6"/>
    <mergeCell ref="D7:N7"/>
    <mergeCell ref="D8:N8"/>
    <mergeCell ref="D9:N9"/>
    <mergeCell ref="D10:N10"/>
    <mergeCell ref="O27:R32"/>
  </mergeCells>
  <conditionalFormatting sqref="D51:L51">
    <cfRule type="cellIs" priority="2" operator="notBetween" aboveAverage="0" equalAverage="0" bottom="0" percent="0" rank="0" text="" dxfId="0">
      <formula>0.999</formula>
      <formula>1.001</formula>
    </cfRule>
  </conditionalFormatting>
  <conditionalFormatting sqref="D27:L50">
    <cfRule type="cellIs" priority="3" operator="greaterThan" aboveAverage="0" equalAverage="0" bottom="0" percent="0" rank="0" text="" dxfId="13">
      <formula>0</formula>
    </cfRule>
  </conditionalFormatting>
  <conditionalFormatting sqref="D56:P79">
    <cfRule type="cellIs" priority="4" operator="greaterThanOrEqual" aboveAverage="0" equalAverage="0" bottom="0" percent="0" rank="0" text="" dxfId="1">
      <formula>0.99</formula>
    </cfRule>
    <cfRule type="cellIs" priority="5" operator="equal" aboveAverage="0" equalAverage="0" bottom="0" percent="0" rank="0" text="" dxfId="0">
      <formula>0</formula>
    </cfRule>
  </conditionalFormatting>
  <conditionalFormatting sqref="D85:P108">
    <cfRule type="cellIs" priority="6" operator="equal" aboveAverage="0" equalAverage="0" bottom="0" percent="0" rank="0" text="" dxfId="14">
      <formula>1</formula>
    </cfRule>
  </conditionalFormatting>
  <conditionalFormatting sqref="D113:L125">
    <cfRule type="cellIs" priority="7" operator="greaterThanOrEqual" aboveAverage="0" equalAverage="0" bottom="0" percent="0" rank="0" text="" dxfId="1">
      <formula>0.7</formula>
    </cfRule>
    <cfRule type="cellIs" priority="8" operator="lessThan" aboveAverage="0" equalAverage="0" bottom="0" percent="0" rank="0" text="" dxfId="0">
      <formula>0.3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Z4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0"/>
    <col collapsed="false" customWidth="true" hidden="false" outlineLevel="0" max="4" min="4" style="0" width="8"/>
    <col collapsed="false" customWidth="true" hidden="false" outlineLevel="0" max="5" min="5" style="0" width="17"/>
    <col collapsed="false" customWidth="true" hidden="false" outlineLevel="0" max="7" min="6" style="0" width="8"/>
    <col collapsed="false" customWidth="true" hidden="false" outlineLevel="0" max="8" min="8" style="0" width="9"/>
    <col collapsed="false" customWidth="true" hidden="false" outlineLevel="0" max="9" min="9" style="0" width="8"/>
    <col collapsed="false" customWidth="true" hidden="false" outlineLevel="0" max="10" min="10" style="0" width="9"/>
    <col collapsed="false" customWidth="true" hidden="false" outlineLevel="0" max="11" min="11" style="0" width="12"/>
    <col collapsed="false" customWidth="true" hidden="false" outlineLevel="0" max="15" min="12" style="0" width="11"/>
    <col collapsed="false" customWidth="true" hidden="false" outlineLevel="0" max="17" min="16" style="0" width="16"/>
    <col collapsed="false" customWidth="true" hidden="false" outlineLevel="0" max="18" min="18" style="0" width="9"/>
    <col collapsed="false" customWidth="true" hidden="false" outlineLevel="0" max="19" min="19" style="0" width="8"/>
    <col collapsed="false" customWidth="true" hidden="false" outlineLevel="0" max="21" min="20" style="0" width="11"/>
    <col collapsed="false" customWidth="true" hidden="false" outlineLevel="0" max="22" min="22" style="0" width="10"/>
    <col collapsed="false" customWidth="true" hidden="false" outlineLevel="0" max="25" min="23" style="0" width="11"/>
    <col collapsed="false" customWidth="true" hidden="false" outlineLevel="0" max="26" min="26" style="0" width="34"/>
  </cols>
  <sheetData>
    <row r="1" customFormat="false" ht="17.35" hidden="false" customHeight="false" outlineLevel="0" collapsed="false">
      <c r="A1" s="28" t="s">
        <v>1032</v>
      </c>
    </row>
    <row r="2" customFormat="false" ht="15" hidden="false" customHeight="false" outlineLevel="0" collapsed="false">
      <c r="A2" s="2" t="s">
        <v>1033</v>
      </c>
    </row>
    <row r="4" customFormat="false" ht="15" hidden="false" customHeight="false" outlineLevel="0" collapsed="false">
      <c r="A4" s="7" t="s">
        <v>1034</v>
      </c>
      <c r="B4" s="7"/>
      <c r="C4" s="7"/>
      <c r="D4" s="7"/>
      <c r="E4" s="7"/>
      <c r="F4" s="7"/>
      <c r="G4" s="7"/>
      <c r="H4" s="7"/>
      <c r="I4" s="7"/>
      <c r="J4" s="7"/>
      <c r="K4" s="7"/>
      <c r="L4" s="7"/>
      <c r="M4" s="7"/>
      <c r="N4" s="7"/>
      <c r="O4" s="7"/>
      <c r="P4" s="7"/>
      <c r="Q4" s="7"/>
      <c r="R4" s="7"/>
      <c r="S4" s="7"/>
      <c r="T4" s="7"/>
      <c r="U4" s="7"/>
      <c r="V4" s="7"/>
      <c r="W4" s="7"/>
      <c r="X4" s="7"/>
      <c r="Y4" s="7"/>
      <c r="Z4" s="7"/>
    </row>
    <row r="5" customFormat="false" ht="39.75" hidden="false" customHeight="true" outlineLevel="0" collapsed="false">
      <c r="A5" s="8" t="s">
        <v>36</v>
      </c>
      <c r="B5" s="8" t="s">
        <v>12</v>
      </c>
      <c r="C5" s="8" t="s">
        <v>1035</v>
      </c>
      <c r="D5" s="8" t="s">
        <v>1036</v>
      </c>
      <c r="E5" s="8" t="s">
        <v>1037</v>
      </c>
      <c r="F5" s="8" t="s">
        <v>1038</v>
      </c>
      <c r="G5" s="8" t="s">
        <v>1039</v>
      </c>
      <c r="H5" s="8" t="s">
        <v>1040</v>
      </c>
      <c r="I5" s="8" t="s">
        <v>1041</v>
      </c>
      <c r="J5" s="8" t="s">
        <v>1042</v>
      </c>
      <c r="K5" s="8" t="s">
        <v>1043</v>
      </c>
      <c r="L5" s="8" t="s">
        <v>1044</v>
      </c>
      <c r="M5" s="8" t="s">
        <v>1045</v>
      </c>
      <c r="N5" s="8" t="s">
        <v>1046</v>
      </c>
      <c r="O5" s="8" t="s">
        <v>1047</v>
      </c>
      <c r="P5" s="8" t="s">
        <v>1048</v>
      </c>
      <c r="Q5" s="8" t="s">
        <v>1049</v>
      </c>
      <c r="R5" s="8" t="s">
        <v>1050</v>
      </c>
      <c r="S5" s="8" t="s">
        <v>1051</v>
      </c>
      <c r="T5" s="8" t="s">
        <v>1052</v>
      </c>
      <c r="U5" s="8" t="s">
        <v>1053</v>
      </c>
      <c r="V5" s="8" t="s">
        <v>1054</v>
      </c>
      <c r="W5" s="8" t="s">
        <v>1055</v>
      </c>
      <c r="X5" s="8" t="s">
        <v>1056</v>
      </c>
      <c r="Y5" s="8" t="s">
        <v>1057</v>
      </c>
      <c r="Z5" s="8" t="s">
        <v>1058</v>
      </c>
    </row>
    <row r="6" customFormat="false" ht="39.75" hidden="false" customHeight="true" outlineLevel="0" collapsed="false">
      <c r="A6" s="29" t="s">
        <v>48</v>
      </c>
      <c r="B6" s="31" t="s">
        <v>50</v>
      </c>
      <c r="C6" s="85" t="n">
        <v>50</v>
      </c>
      <c r="D6" s="29" t="s">
        <v>1059</v>
      </c>
      <c r="E6" s="86" t="s">
        <v>1060</v>
      </c>
      <c r="F6" s="29" t="s">
        <v>1061</v>
      </c>
      <c r="G6" s="87" t="s">
        <v>1062</v>
      </c>
      <c r="H6" s="56"/>
      <c r="I6" s="56"/>
      <c r="J6" s="30"/>
      <c r="K6" s="30" t="s">
        <v>1063</v>
      </c>
      <c r="L6" s="86" t="s">
        <v>246</v>
      </c>
      <c r="M6" s="30" t="s">
        <v>246</v>
      </c>
      <c r="N6" s="30" t="s">
        <v>246</v>
      </c>
      <c r="O6" s="30" t="s">
        <v>247</v>
      </c>
      <c r="P6" s="30" t="s">
        <v>1064</v>
      </c>
      <c r="Q6" s="30" t="s">
        <v>1065</v>
      </c>
      <c r="R6" s="56"/>
      <c r="S6" s="30"/>
      <c r="T6" s="30" t="s">
        <v>1063</v>
      </c>
      <c r="U6" s="30" t="s">
        <v>1063</v>
      </c>
      <c r="V6" s="30" t="s">
        <v>247</v>
      </c>
      <c r="W6" s="86" t="s">
        <v>247</v>
      </c>
      <c r="X6" s="86" t="s">
        <v>245</v>
      </c>
      <c r="Y6" s="56" t="s">
        <v>246</v>
      </c>
      <c r="Z6" s="30" t="s">
        <v>1066</v>
      </c>
    </row>
    <row r="7" customFormat="false" ht="39.75" hidden="false" customHeight="true" outlineLevel="0" collapsed="false">
      <c r="A7" s="29" t="s">
        <v>59</v>
      </c>
      <c r="B7" s="31" t="s">
        <v>60</v>
      </c>
      <c r="C7" s="85"/>
      <c r="D7" s="29"/>
      <c r="E7" s="86" t="s">
        <v>247</v>
      </c>
      <c r="F7" s="29"/>
      <c r="G7" s="29"/>
      <c r="H7" s="56" t="s">
        <v>65</v>
      </c>
      <c r="I7" s="56"/>
      <c r="J7" s="30"/>
      <c r="K7" s="30" t="s">
        <v>1063</v>
      </c>
      <c r="L7" s="86" t="s">
        <v>246</v>
      </c>
      <c r="M7" s="30" t="s">
        <v>246</v>
      </c>
      <c r="N7" s="30" t="s">
        <v>246</v>
      </c>
      <c r="O7" s="30" t="s">
        <v>247</v>
      </c>
      <c r="P7" s="30" t="s">
        <v>1067</v>
      </c>
      <c r="Q7" s="30" t="s">
        <v>1068</v>
      </c>
      <c r="R7" s="56"/>
      <c r="S7" s="30"/>
      <c r="T7" s="30" t="s">
        <v>1063</v>
      </c>
      <c r="U7" s="30" t="s">
        <v>1063</v>
      </c>
      <c r="V7" s="30" t="s">
        <v>247</v>
      </c>
      <c r="W7" s="86" t="s">
        <v>247</v>
      </c>
      <c r="X7" s="86" t="s">
        <v>247</v>
      </c>
      <c r="Y7" s="56" t="s">
        <v>1069</v>
      </c>
      <c r="Z7" s="30" t="s">
        <v>1070</v>
      </c>
    </row>
    <row r="8" customFormat="false" ht="39.75" hidden="false" customHeight="true" outlineLevel="0" collapsed="false">
      <c r="A8" s="29" t="s">
        <v>65</v>
      </c>
      <c r="B8" s="31" t="s">
        <v>66</v>
      </c>
      <c r="C8" s="85" t="n">
        <v>27</v>
      </c>
      <c r="D8" s="29" t="s">
        <v>1059</v>
      </c>
      <c r="E8" s="86" t="s">
        <v>1071</v>
      </c>
      <c r="F8" s="29" t="s">
        <v>347</v>
      </c>
      <c r="G8" s="87" t="s">
        <v>1072</v>
      </c>
      <c r="H8" s="56"/>
      <c r="I8" s="56"/>
      <c r="J8" s="30"/>
      <c r="K8" s="30" t="s">
        <v>1063</v>
      </c>
      <c r="L8" s="86" t="s">
        <v>246</v>
      </c>
      <c r="M8" s="30" t="s">
        <v>246</v>
      </c>
      <c r="N8" s="30" t="s">
        <v>246</v>
      </c>
      <c r="O8" s="30" t="s">
        <v>247</v>
      </c>
      <c r="P8" s="30" t="s">
        <v>1067</v>
      </c>
      <c r="Q8" s="30" t="s">
        <v>1068</v>
      </c>
      <c r="R8" s="56"/>
      <c r="S8" s="30"/>
      <c r="T8" s="30" t="s">
        <v>1063</v>
      </c>
      <c r="U8" s="30" t="s">
        <v>1063</v>
      </c>
      <c r="V8" s="30" t="s">
        <v>247</v>
      </c>
      <c r="W8" s="86" t="s">
        <v>247</v>
      </c>
      <c r="X8" s="86" t="s">
        <v>245</v>
      </c>
      <c r="Y8" s="56" t="s">
        <v>246</v>
      </c>
      <c r="Z8" s="30" t="s">
        <v>1073</v>
      </c>
    </row>
    <row r="9" customFormat="false" ht="39.75" hidden="false" customHeight="true" outlineLevel="0" collapsed="false">
      <c r="A9" s="29" t="s">
        <v>71</v>
      </c>
      <c r="B9" s="31" t="s">
        <v>72</v>
      </c>
      <c r="C9" s="85"/>
      <c r="D9" s="29"/>
      <c r="E9" s="86" t="s">
        <v>247</v>
      </c>
      <c r="F9" s="29"/>
      <c r="G9" s="29"/>
      <c r="H9" s="56" t="s">
        <v>80</v>
      </c>
      <c r="I9" s="56"/>
      <c r="J9" s="30"/>
      <c r="K9" s="30" t="s">
        <v>1063</v>
      </c>
      <c r="L9" s="86" t="s">
        <v>246</v>
      </c>
      <c r="M9" s="30" t="s">
        <v>246</v>
      </c>
      <c r="N9" s="30" t="s">
        <v>246</v>
      </c>
      <c r="O9" s="30" t="s">
        <v>247</v>
      </c>
      <c r="P9" s="30" t="s">
        <v>1064</v>
      </c>
      <c r="Q9" s="30" t="s">
        <v>1065</v>
      </c>
      <c r="R9" s="56"/>
      <c r="S9" s="30"/>
      <c r="T9" s="30" t="s">
        <v>1063</v>
      </c>
      <c r="U9" s="30" t="s">
        <v>1063</v>
      </c>
      <c r="V9" s="30" t="s">
        <v>247</v>
      </c>
      <c r="W9" s="86" t="s">
        <v>247</v>
      </c>
      <c r="X9" s="86" t="s">
        <v>245</v>
      </c>
      <c r="Y9" s="56" t="s">
        <v>246</v>
      </c>
      <c r="Z9" s="30" t="s">
        <v>1074</v>
      </c>
    </row>
    <row r="10" customFormat="false" ht="39.75" hidden="false" customHeight="true" outlineLevel="0" collapsed="false">
      <c r="A10" s="29" t="s">
        <v>80</v>
      </c>
      <c r="B10" s="31" t="s">
        <v>81</v>
      </c>
      <c r="C10" s="85" t="n">
        <v>23.25</v>
      </c>
      <c r="D10" s="29" t="s">
        <v>1059</v>
      </c>
      <c r="E10" s="86" t="s">
        <v>1075</v>
      </c>
      <c r="F10" s="29" t="s">
        <v>347</v>
      </c>
      <c r="G10" s="87" t="s">
        <v>1076</v>
      </c>
      <c r="H10" s="56"/>
      <c r="I10" s="56"/>
      <c r="J10" s="30"/>
      <c r="K10" s="30" t="s">
        <v>1063</v>
      </c>
      <c r="L10" s="86" t="s">
        <v>246</v>
      </c>
      <c r="M10" s="30" t="s">
        <v>246</v>
      </c>
      <c r="N10" s="30" t="s">
        <v>246</v>
      </c>
      <c r="O10" s="30" t="s">
        <v>247</v>
      </c>
      <c r="P10" s="30" t="s">
        <v>1064</v>
      </c>
      <c r="Q10" s="30" t="s">
        <v>1065</v>
      </c>
      <c r="R10" s="56"/>
      <c r="S10" s="30"/>
      <c r="T10" s="30" t="s">
        <v>1063</v>
      </c>
      <c r="U10" s="30" t="s">
        <v>1063</v>
      </c>
      <c r="V10" s="30" t="s">
        <v>247</v>
      </c>
      <c r="W10" s="86" t="s">
        <v>247</v>
      </c>
      <c r="X10" s="86" t="s">
        <v>245</v>
      </c>
      <c r="Y10" s="56" t="s">
        <v>246</v>
      </c>
      <c r="Z10" s="30" t="s">
        <v>1077</v>
      </c>
    </row>
    <row r="11" customFormat="false" ht="39.75" hidden="false" customHeight="true" outlineLevel="0" collapsed="false">
      <c r="A11" s="29" t="s">
        <v>86</v>
      </c>
      <c r="B11" s="31" t="s">
        <v>87</v>
      </c>
      <c r="C11" s="85"/>
      <c r="D11" s="29"/>
      <c r="E11" s="86" t="s">
        <v>247</v>
      </c>
      <c r="F11" s="29"/>
      <c r="G11" s="29"/>
      <c r="H11" s="56" t="s">
        <v>93</v>
      </c>
      <c r="I11" s="56"/>
      <c r="J11" s="30"/>
      <c r="K11" s="30" t="s">
        <v>1063</v>
      </c>
      <c r="L11" s="86" t="s">
        <v>246</v>
      </c>
      <c r="M11" s="30" t="s">
        <v>246</v>
      </c>
      <c r="N11" s="30" t="s">
        <v>246</v>
      </c>
      <c r="O11" s="30" t="s">
        <v>247</v>
      </c>
      <c r="P11" s="30" t="s">
        <v>1064</v>
      </c>
      <c r="Q11" s="30" t="s">
        <v>1065</v>
      </c>
      <c r="R11" s="56" t="n">
        <v>24</v>
      </c>
      <c r="S11" s="32" t="s">
        <v>484</v>
      </c>
      <c r="T11" s="30" t="s">
        <v>1063</v>
      </c>
      <c r="U11" s="30" t="s">
        <v>1063</v>
      </c>
      <c r="V11" s="30" t="s">
        <v>247</v>
      </c>
      <c r="W11" s="86" t="s">
        <v>247</v>
      </c>
      <c r="X11" s="86" t="s">
        <v>245</v>
      </c>
      <c r="Y11" s="56" t="s">
        <v>246</v>
      </c>
      <c r="Z11" s="30" t="s">
        <v>1078</v>
      </c>
    </row>
    <row r="12" customFormat="false" ht="39.75" hidden="false" customHeight="true" outlineLevel="0" collapsed="false">
      <c r="A12" s="29" t="s">
        <v>93</v>
      </c>
      <c r="B12" s="31" t="s">
        <v>94</v>
      </c>
      <c r="C12" s="85" t="n">
        <v>77</v>
      </c>
      <c r="D12" s="29" t="s">
        <v>1059</v>
      </c>
      <c r="E12" s="86" t="s">
        <v>1075</v>
      </c>
      <c r="F12" s="29" t="s">
        <v>347</v>
      </c>
      <c r="G12" s="87" t="s">
        <v>1076</v>
      </c>
      <c r="H12" s="56"/>
      <c r="I12" s="56"/>
      <c r="J12" s="30"/>
      <c r="K12" s="30" t="s">
        <v>1063</v>
      </c>
      <c r="L12" s="86" t="s">
        <v>246</v>
      </c>
      <c r="M12" s="30" t="s">
        <v>246</v>
      </c>
      <c r="N12" s="30" t="s">
        <v>246</v>
      </c>
      <c r="O12" s="30" t="s">
        <v>247</v>
      </c>
      <c r="P12" s="30" t="s">
        <v>1067</v>
      </c>
      <c r="Q12" s="30" t="s">
        <v>1068</v>
      </c>
      <c r="R12" s="56"/>
      <c r="S12" s="30"/>
      <c r="T12" s="30" t="s">
        <v>1063</v>
      </c>
      <c r="U12" s="30" t="s">
        <v>1063</v>
      </c>
      <c r="V12" s="30" t="s">
        <v>247</v>
      </c>
      <c r="W12" s="86" t="s">
        <v>247</v>
      </c>
      <c r="X12" s="86" t="s">
        <v>245</v>
      </c>
      <c r="Y12" s="56" t="s">
        <v>246</v>
      </c>
      <c r="Z12" s="30" t="s">
        <v>1079</v>
      </c>
    </row>
    <row r="13" customFormat="false" ht="39.75" hidden="false" customHeight="true" outlineLevel="0" collapsed="false">
      <c r="A13" s="29" t="s">
        <v>98</v>
      </c>
      <c r="B13" s="31" t="s">
        <v>99</v>
      </c>
      <c r="C13" s="85"/>
      <c r="D13" s="29"/>
      <c r="E13" s="86" t="s">
        <v>247</v>
      </c>
      <c r="F13" s="29"/>
      <c r="G13" s="29"/>
      <c r="H13" s="56" t="s">
        <v>80</v>
      </c>
      <c r="I13" s="56"/>
      <c r="J13" s="30"/>
      <c r="K13" s="30" t="s">
        <v>1063</v>
      </c>
      <c r="L13" s="86" t="s">
        <v>246</v>
      </c>
      <c r="M13" s="30" t="s">
        <v>246</v>
      </c>
      <c r="N13" s="30" t="s">
        <v>246</v>
      </c>
      <c r="O13" s="30" t="s">
        <v>247</v>
      </c>
      <c r="P13" s="30" t="s">
        <v>1064</v>
      </c>
      <c r="Q13" s="30" t="s">
        <v>1065</v>
      </c>
      <c r="R13" s="56"/>
      <c r="S13" s="30"/>
      <c r="T13" s="30" t="s">
        <v>1063</v>
      </c>
      <c r="U13" s="30" t="s">
        <v>1063</v>
      </c>
      <c r="V13" s="30" t="s">
        <v>247</v>
      </c>
      <c r="W13" s="86" t="s">
        <v>247</v>
      </c>
      <c r="X13" s="86" t="s">
        <v>245</v>
      </c>
      <c r="Y13" s="56" t="s">
        <v>246</v>
      </c>
      <c r="Z13" s="30" t="s">
        <v>1080</v>
      </c>
    </row>
    <row r="14" customFormat="false" ht="39.75" hidden="false" customHeight="true" outlineLevel="0" collapsed="false">
      <c r="A14" s="29" t="s">
        <v>106</v>
      </c>
      <c r="B14" s="31" t="s">
        <v>107</v>
      </c>
      <c r="C14" s="85"/>
      <c r="D14" s="29"/>
      <c r="E14" s="86" t="s">
        <v>247</v>
      </c>
      <c r="F14" s="29"/>
      <c r="G14" s="29"/>
      <c r="H14" s="56" t="s">
        <v>93</v>
      </c>
      <c r="I14" s="56"/>
      <c r="J14" s="30"/>
      <c r="K14" s="30" t="s">
        <v>1063</v>
      </c>
      <c r="L14" s="86" t="s">
        <v>246</v>
      </c>
      <c r="M14" s="30" t="s">
        <v>246</v>
      </c>
      <c r="N14" s="30" t="s">
        <v>246</v>
      </c>
      <c r="O14" s="30" t="s">
        <v>247</v>
      </c>
      <c r="P14" s="30" t="s">
        <v>1067</v>
      </c>
      <c r="Q14" s="30" t="s">
        <v>1068</v>
      </c>
      <c r="R14" s="56"/>
      <c r="S14" s="30"/>
      <c r="T14" s="30" t="s">
        <v>1063</v>
      </c>
      <c r="U14" s="30" t="s">
        <v>1063</v>
      </c>
      <c r="V14" s="30" t="s">
        <v>247</v>
      </c>
      <c r="W14" s="86" t="s">
        <v>247</v>
      </c>
      <c r="X14" s="86" t="s">
        <v>245</v>
      </c>
      <c r="Y14" s="56" t="s">
        <v>246</v>
      </c>
      <c r="Z14" s="30" t="s">
        <v>1074</v>
      </c>
    </row>
    <row r="15" customFormat="false" ht="39.75" hidden="false" customHeight="true" outlineLevel="0" collapsed="false">
      <c r="A15" s="29" t="s">
        <v>112</v>
      </c>
      <c r="B15" s="31" t="s">
        <v>113</v>
      </c>
      <c r="C15" s="85"/>
      <c r="D15" s="29"/>
      <c r="E15" s="86" t="s">
        <v>247</v>
      </c>
      <c r="F15" s="29"/>
      <c r="G15" s="29"/>
      <c r="H15" s="56" t="s">
        <v>93</v>
      </c>
      <c r="I15" s="56"/>
      <c r="J15" s="30"/>
      <c r="K15" s="30" t="s">
        <v>1063</v>
      </c>
      <c r="L15" s="86" t="s">
        <v>246</v>
      </c>
      <c r="M15" s="30" t="s">
        <v>246</v>
      </c>
      <c r="N15" s="30" t="s">
        <v>246</v>
      </c>
      <c r="O15" s="30" t="s">
        <v>247</v>
      </c>
      <c r="P15" s="30" t="s">
        <v>1067</v>
      </c>
      <c r="Q15" s="30" t="s">
        <v>1068</v>
      </c>
      <c r="R15" s="56"/>
      <c r="S15" s="30"/>
      <c r="T15" s="30" t="s">
        <v>1063</v>
      </c>
      <c r="U15" s="30" t="s">
        <v>1063</v>
      </c>
      <c r="V15" s="30" t="s">
        <v>247</v>
      </c>
      <c r="W15" s="86" t="s">
        <v>247</v>
      </c>
      <c r="X15" s="86" t="s">
        <v>245</v>
      </c>
      <c r="Y15" s="56" t="s">
        <v>246</v>
      </c>
      <c r="Z15" s="30" t="s">
        <v>1081</v>
      </c>
    </row>
    <row r="16" customFormat="false" ht="39.75" hidden="false" customHeight="true" outlineLevel="0" collapsed="false">
      <c r="A16" s="29" t="s">
        <v>117</v>
      </c>
      <c r="B16" s="31" t="s">
        <v>118</v>
      </c>
      <c r="C16" s="85"/>
      <c r="D16" s="29"/>
      <c r="E16" s="86" t="s">
        <v>247</v>
      </c>
      <c r="F16" s="29"/>
      <c r="G16" s="29"/>
      <c r="H16" s="56" t="s">
        <v>65</v>
      </c>
      <c r="I16" s="56"/>
      <c r="J16" s="30"/>
      <c r="K16" s="30" t="s">
        <v>1063</v>
      </c>
      <c r="L16" s="86" t="s">
        <v>246</v>
      </c>
      <c r="M16" s="30" t="s">
        <v>246</v>
      </c>
      <c r="N16" s="30" t="s">
        <v>246</v>
      </c>
      <c r="O16" s="30" t="s">
        <v>247</v>
      </c>
      <c r="P16" s="30" t="s">
        <v>1067</v>
      </c>
      <c r="Q16" s="30" t="s">
        <v>1068</v>
      </c>
      <c r="R16" s="56"/>
      <c r="S16" s="30"/>
      <c r="T16" s="30" t="s">
        <v>1063</v>
      </c>
      <c r="U16" s="30" t="s">
        <v>1063</v>
      </c>
      <c r="V16" s="30" t="s">
        <v>247</v>
      </c>
      <c r="W16" s="86" t="s">
        <v>247</v>
      </c>
      <c r="X16" s="86" t="s">
        <v>245</v>
      </c>
      <c r="Y16" s="56" t="s">
        <v>246</v>
      </c>
      <c r="Z16" s="30" t="s">
        <v>1074</v>
      </c>
    </row>
    <row r="17" customFormat="false" ht="39.75" hidden="false" customHeight="true" outlineLevel="0" collapsed="false">
      <c r="A17" s="29" t="s">
        <v>122</v>
      </c>
      <c r="B17" s="31" t="s">
        <v>123</v>
      </c>
      <c r="C17" s="85"/>
      <c r="D17" s="29"/>
      <c r="E17" s="86" t="s">
        <v>247</v>
      </c>
      <c r="F17" s="29"/>
      <c r="G17" s="29"/>
      <c r="H17" s="56" t="s">
        <v>127</v>
      </c>
      <c r="I17" s="56"/>
      <c r="J17" s="30"/>
      <c r="K17" s="30" t="s">
        <v>1063</v>
      </c>
      <c r="L17" s="86" t="s">
        <v>246</v>
      </c>
      <c r="M17" s="30" t="s">
        <v>246</v>
      </c>
      <c r="N17" s="30" t="s">
        <v>246</v>
      </c>
      <c r="O17" s="30" t="s">
        <v>247</v>
      </c>
      <c r="P17" s="30" t="s">
        <v>1067</v>
      </c>
      <c r="Q17" s="30" t="s">
        <v>1068</v>
      </c>
      <c r="R17" s="56"/>
      <c r="S17" s="30"/>
      <c r="T17" s="30" t="s">
        <v>1063</v>
      </c>
      <c r="U17" s="30" t="s">
        <v>1063</v>
      </c>
      <c r="V17" s="30" t="s">
        <v>247</v>
      </c>
      <c r="W17" s="86" t="s">
        <v>247</v>
      </c>
      <c r="X17" s="86" t="s">
        <v>245</v>
      </c>
      <c r="Y17" s="56" t="s">
        <v>246</v>
      </c>
      <c r="Z17" s="30" t="s">
        <v>1074</v>
      </c>
    </row>
    <row r="18" customFormat="false" ht="39.75" hidden="false" customHeight="true" outlineLevel="0" collapsed="false">
      <c r="A18" s="29" t="s">
        <v>127</v>
      </c>
      <c r="B18" s="31" t="s">
        <v>128</v>
      </c>
      <c r="C18" s="85" t="n">
        <v>24</v>
      </c>
      <c r="D18" s="29" t="s">
        <v>1059</v>
      </c>
      <c r="E18" s="86" t="s">
        <v>1071</v>
      </c>
      <c r="F18" s="29" t="s">
        <v>347</v>
      </c>
      <c r="G18" s="87" t="s">
        <v>1072</v>
      </c>
      <c r="H18" s="56"/>
      <c r="I18" s="56" t="n">
        <v>2</v>
      </c>
      <c r="J18" s="32" t="s">
        <v>1072</v>
      </c>
      <c r="K18" s="30" t="s">
        <v>1063</v>
      </c>
      <c r="L18" s="86" t="s">
        <v>246</v>
      </c>
      <c r="M18" s="30" t="s">
        <v>246</v>
      </c>
      <c r="N18" s="30" t="s">
        <v>246</v>
      </c>
      <c r="O18" s="30" t="s">
        <v>247</v>
      </c>
      <c r="P18" s="30" t="s">
        <v>1067</v>
      </c>
      <c r="Q18" s="30" t="s">
        <v>1068</v>
      </c>
      <c r="R18" s="56"/>
      <c r="S18" s="30"/>
      <c r="T18" s="30" t="s">
        <v>1063</v>
      </c>
      <c r="U18" s="30" t="s">
        <v>1063</v>
      </c>
      <c r="V18" s="30" t="s">
        <v>247</v>
      </c>
      <c r="W18" s="86" t="s">
        <v>247</v>
      </c>
      <c r="X18" s="86" t="s">
        <v>245</v>
      </c>
      <c r="Y18" s="56" t="s">
        <v>246</v>
      </c>
      <c r="Z18" s="30" t="s">
        <v>1082</v>
      </c>
    </row>
    <row r="20" customFormat="false" ht="15" hidden="false" customHeight="false" outlineLevel="0" collapsed="false">
      <c r="A20" s="7" t="s">
        <v>1083</v>
      </c>
      <c r="B20" s="7"/>
      <c r="C20" s="7"/>
      <c r="D20" s="7"/>
      <c r="E20" s="7"/>
      <c r="F20" s="7"/>
      <c r="G20" s="7"/>
      <c r="H20" s="7"/>
      <c r="I20" s="7"/>
      <c r="J20" s="7"/>
    </row>
    <row r="22" customFormat="false" ht="51.75" hidden="false" customHeight="true" outlineLevel="0" collapsed="false">
      <c r="A22" s="8" t="s">
        <v>36</v>
      </c>
      <c r="B22" s="8" t="s">
        <v>12</v>
      </c>
      <c r="C22" s="8" t="s">
        <v>1084</v>
      </c>
      <c r="D22" s="8" t="s">
        <v>1085</v>
      </c>
      <c r="E22" s="8" t="s">
        <v>1086</v>
      </c>
      <c r="F22" s="8" t="s">
        <v>1087</v>
      </c>
      <c r="G22" s="8" t="s">
        <v>1088</v>
      </c>
      <c r="H22" s="8" t="s">
        <v>1089</v>
      </c>
      <c r="I22" s="8" t="s">
        <v>1090</v>
      </c>
      <c r="J22" s="8" t="s">
        <v>1091</v>
      </c>
    </row>
    <row r="23" customFormat="false" ht="15" hidden="false" customHeight="false" outlineLevel="0" collapsed="false">
      <c r="C23" s="52" t="s">
        <v>408</v>
      </c>
      <c r="D23" s="53" t="n">
        <f aca="false">'10 Scoring &amp; Weights'!$D$56</f>
        <v>40</v>
      </c>
      <c r="E23" s="53" t="n">
        <f aca="false">'10 Scoring &amp; Weights'!$D$57</f>
        <v>20</v>
      </c>
      <c r="F23" s="53" t="n">
        <f aca="false">'10 Scoring &amp; Weights'!$D$58</f>
        <v>15</v>
      </c>
      <c r="G23" s="53" t="n">
        <f aca="false">'10 Scoring &amp; Weights'!$D$59</f>
        <v>10</v>
      </c>
      <c r="H23" s="53" t="n">
        <f aca="false">'10 Scoring &amp; Weights'!$D$60</f>
        <v>10</v>
      </c>
      <c r="I23" s="53" t="n">
        <f aca="false">'10 Scoring &amp; Weights'!$D$61</f>
        <v>5</v>
      </c>
    </row>
    <row r="24" customFormat="false" ht="15" hidden="false" customHeight="false" outlineLevel="0" collapsed="false">
      <c r="A24" s="42" t="s">
        <v>48</v>
      </c>
      <c r="B24" s="51" t="s">
        <v>50</v>
      </c>
      <c r="C24" s="88" t="str">
        <f aca="false">'08 TCO Model'!H32</f>
        <v>Supplier quotation</v>
      </c>
      <c r="D24" s="79" t="n">
        <f aca="false">IF(ISNUMBER('08 TCO Model'!Y32),MIN('08 TCO Model'!$Y$32:$Y$44)/'08 TCO Model'!Y32,'10 Scoring &amp; Weights'!$C$9)</f>
        <v>0.715427973828167</v>
      </c>
      <c r="E24" s="79" t="n">
        <f aca="false">IFERROR(VLOOKUP(C24,$B$41:$C$46,2,FALSE()),0)</f>
        <v>1</v>
      </c>
      <c r="F24" s="79" t="n">
        <f aca="false">IF(I6="",'10 Scoring &amp; Weights'!$C$9,IF(I6&lt;=100,1,IF(I6&lt;=500,0.7,0.4)))</f>
        <v>0.25</v>
      </c>
      <c r="G24" s="79" t="n">
        <f aca="false">((L6="Yes")*'10 Scoring &amp; Weights'!$C$7+(L6="Conditional")*'10 Scoring &amp; Weights'!$C$8+(L6="Unknown")*'10 Scoring &amp; Weights'!$C$9+(L6="No")*'10 Scoring &amp; Weights'!$C$10)</f>
        <v>0.5</v>
      </c>
      <c r="H24" s="79" t="n">
        <f aca="false">IF(R6="",'10 Scoring &amp; Weights'!$C$9,IF(R6&gt;=24,1,0.6))</f>
        <v>0.25</v>
      </c>
      <c r="I24" s="79" t="n">
        <f aca="false">((W6="Yes")*'10 Scoring &amp; Weights'!$C$7+(W6="Conditional")*'10 Scoring &amp; Weights'!$C$8+(W6="Unknown")*'10 Scoring &amp; Weights'!$C$9+(W6="No")*'10 Scoring &amp; Weights'!$C$10)</f>
        <v>0.25</v>
      </c>
      <c r="J24" s="81" t="n">
        <f aca="false">SUMPRODUCT($D$23:$I$23,D24:I24)/SUM($D$23:$I$23)*100</f>
        <v>61.1171189531267</v>
      </c>
    </row>
    <row r="25" customFormat="false" ht="15" hidden="false" customHeight="false" outlineLevel="0" collapsed="false">
      <c r="A25" s="42" t="s">
        <v>59</v>
      </c>
      <c r="B25" s="51" t="s">
        <v>60</v>
      </c>
      <c r="C25" s="88" t="str">
        <f aca="false">'08 TCO Model'!H33</f>
        <v>Analyst assumption</v>
      </c>
      <c r="D25" s="79" t="n">
        <f aca="false">IF(ISNUMBER('08 TCO Model'!Y33),MIN('08 TCO Model'!$Y$32:$Y$44)/'08 TCO Model'!Y33,'10 Scoring &amp; Weights'!$C$9)</f>
        <v>0.475952735363419</v>
      </c>
      <c r="E25" s="79" t="n">
        <f aca="false">IFERROR(VLOOKUP(C25,$B$41:$C$46,2,FALSE()),0)</f>
        <v>0.2</v>
      </c>
      <c r="F25" s="79" t="n">
        <f aca="false">IF(I7="",'10 Scoring &amp; Weights'!$C$9,IF(I7&lt;=100,1,IF(I7&lt;=500,0.7,0.4)))</f>
        <v>0.25</v>
      </c>
      <c r="G25" s="79" t="n">
        <f aca="false">((L7="Yes")*'10 Scoring &amp; Weights'!$C$7+(L7="Conditional")*'10 Scoring &amp; Weights'!$C$8+(L7="Unknown")*'10 Scoring &amp; Weights'!$C$9+(L7="No")*'10 Scoring &amp; Weights'!$C$10)</f>
        <v>0.5</v>
      </c>
      <c r="H25" s="79" t="n">
        <f aca="false">IF(R7="",'10 Scoring &amp; Weights'!$C$9,IF(R7&gt;=24,1,0.6))</f>
        <v>0.25</v>
      </c>
      <c r="I25" s="79" t="n">
        <f aca="false">((W7="Yes")*'10 Scoring &amp; Weights'!$C$7+(W7="Conditional")*'10 Scoring &amp; Weights'!$C$8+(W7="Unknown")*'10 Scoring &amp; Weights'!$C$9+(W7="No")*'10 Scoring &amp; Weights'!$C$10)</f>
        <v>0.25</v>
      </c>
      <c r="J25" s="81" t="n">
        <f aca="false">SUMPRODUCT($D$23:$I$23,D25:I25)/SUM($D$23:$I$23)*100</f>
        <v>35.5381094145368</v>
      </c>
    </row>
    <row r="26" customFormat="false" ht="15" hidden="false" customHeight="false" outlineLevel="0" collapsed="false">
      <c r="A26" s="42" t="s">
        <v>65</v>
      </c>
      <c r="B26" s="51" t="s">
        <v>66</v>
      </c>
      <c r="C26" s="88" t="str">
        <f aca="false">'08 TCO Model'!H34</f>
        <v>Public marketplace price</v>
      </c>
      <c r="D26" s="79" t="n">
        <f aca="false">IF(ISNUMBER('08 TCO Model'!Y34),MIN('08 TCO Model'!$Y$32:$Y$44)/'08 TCO Model'!Y34,'10 Scoring &amp; Weights'!$C$9)</f>
        <v>0.475952735363419</v>
      </c>
      <c r="E26" s="79" t="n">
        <f aca="false">IFERROR(VLOOKUP(C26,$B$41:$C$46,2,FALSE()),0)</f>
        <v>0.6</v>
      </c>
      <c r="F26" s="79" t="n">
        <f aca="false">IF(I8="",'10 Scoring &amp; Weights'!$C$9,IF(I8&lt;=100,1,IF(I8&lt;=500,0.7,0.4)))</f>
        <v>0.25</v>
      </c>
      <c r="G26" s="79" t="n">
        <f aca="false">((L8="Yes")*'10 Scoring &amp; Weights'!$C$7+(L8="Conditional")*'10 Scoring &amp; Weights'!$C$8+(L8="Unknown")*'10 Scoring &amp; Weights'!$C$9+(L8="No")*'10 Scoring &amp; Weights'!$C$10)</f>
        <v>0.5</v>
      </c>
      <c r="H26" s="79" t="n">
        <f aca="false">IF(R8="",'10 Scoring &amp; Weights'!$C$9,IF(R8&gt;=24,1,0.6))</f>
        <v>0.25</v>
      </c>
      <c r="I26" s="79" t="n">
        <f aca="false">((W8="Yes")*'10 Scoring &amp; Weights'!$C$7+(W8="Conditional")*'10 Scoring &amp; Weights'!$C$8+(W8="Unknown")*'10 Scoring &amp; Weights'!$C$9+(W8="No")*'10 Scoring &amp; Weights'!$C$10)</f>
        <v>0.25</v>
      </c>
      <c r="J26" s="81" t="n">
        <f aca="false">SUMPRODUCT($D$23:$I$23,D26:I26)/SUM($D$23:$I$23)*100</f>
        <v>43.5381094145368</v>
      </c>
    </row>
    <row r="27" customFormat="false" ht="15" hidden="false" customHeight="false" outlineLevel="0" collapsed="false">
      <c r="A27" s="42" t="s">
        <v>71</v>
      </c>
      <c r="B27" s="51" t="s">
        <v>72</v>
      </c>
      <c r="C27" s="88" t="str">
        <f aca="false">'08 TCO Model'!H35</f>
        <v>Analyst assumption</v>
      </c>
      <c r="D27" s="79" t="n">
        <f aca="false">IF(ISNUMBER('08 TCO Model'!Y35),MIN('08 TCO Model'!$Y$32:$Y$44)/'08 TCO Model'!Y35,'10 Scoring &amp; Weights'!$C$9)</f>
        <v>1</v>
      </c>
      <c r="E27" s="79" t="n">
        <f aca="false">IFERROR(VLOOKUP(C27,$B$41:$C$46,2,FALSE()),0)</f>
        <v>0.2</v>
      </c>
      <c r="F27" s="79" t="n">
        <f aca="false">IF(I9="",'10 Scoring &amp; Weights'!$C$9,IF(I9&lt;=100,1,IF(I9&lt;=500,0.7,0.4)))</f>
        <v>0.25</v>
      </c>
      <c r="G27" s="79" t="n">
        <f aca="false">((L9="Yes")*'10 Scoring &amp; Weights'!$C$7+(L9="Conditional")*'10 Scoring &amp; Weights'!$C$8+(L9="Unknown")*'10 Scoring &amp; Weights'!$C$9+(L9="No")*'10 Scoring &amp; Weights'!$C$10)</f>
        <v>0.5</v>
      </c>
      <c r="H27" s="79" t="n">
        <f aca="false">IF(R9="",'10 Scoring &amp; Weights'!$C$9,IF(R9&gt;=24,1,0.6))</f>
        <v>0.25</v>
      </c>
      <c r="I27" s="79" t="n">
        <f aca="false">((W9="Yes")*'10 Scoring &amp; Weights'!$C$7+(W9="Conditional")*'10 Scoring &amp; Weights'!$C$8+(W9="Unknown")*'10 Scoring &amp; Weights'!$C$9+(W9="No")*'10 Scoring &amp; Weights'!$C$10)</f>
        <v>0.25</v>
      </c>
      <c r="J27" s="81" t="n">
        <f aca="false">SUMPRODUCT($D$23:$I$23,D27:I27)/SUM($D$23:$I$23)*100</f>
        <v>56.5</v>
      </c>
    </row>
    <row r="28" customFormat="false" ht="15" hidden="false" customHeight="false" outlineLevel="0" collapsed="false">
      <c r="A28" s="42" t="s">
        <v>80</v>
      </c>
      <c r="B28" s="51" t="s">
        <v>81</v>
      </c>
      <c r="C28" s="88" t="str">
        <f aca="false">'08 TCO Model'!H36</f>
        <v>Historical internal figure</v>
      </c>
      <c r="D28" s="79" t="n">
        <f aca="false">IF(ISNUMBER('08 TCO Model'!Y36),MIN('08 TCO Model'!$Y$32:$Y$44)/'08 TCO Model'!Y36,'10 Scoring &amp; Weights'!$C$9)</f>
        <v>1</v>
      </c>
      <c r="E28" s="79" t="n">
        <f aca="false">IFERROR(VLOOKUP(C28,$B$41:$C$46,2,FALSE()),0)</f>
        <v>0.4</v>
      </c>
      <c r="F28" s="79" t="n">
        <f aca="false">IF(I10="",'10 Scoring &amp; Weights'!$C$9,IF(I10&lt;=100,1,IF(I10&lt;=500,0.7,0.4)))</f>
        <v>0.25</v>
      </c>
      <c r="G28" s="79" t="n">
        <f aca="false">((L10="Yes")*'10 Scoring &amp; Weights'!$C$7+(L10="Conditional")*'10 Scoring &amp; Weights'!$C$8+(L10="Unknown")*'10 Scoring &amp; Weights'!$C$9+(L10="No")*'10 Scoring &amp; Weights'!$C$10)</f>
        <v>0.5</v>
      </c>
      <c r="H28" s="79" t="n">
        <f aca="false">IF(R10="",'10 Scoring &amp; Weights'!$C$9,IF(R10&gt;=24,1,0.6))</f>
        <v>0.25</v>
      </c>
      <c r="I28" s="79" t="n">
        <f aca="false">((W10="Yes")*'10 Scoring &amp; Weights'!$C$7+(W10="Conditional")*'10 Scoring &amp; Weights'!$C$8+(W10="Unknown")*'10 Scoring &amp; Weights'!$C$9+(W10="No")*'10 Scoring &amp; Weights'!$C$10)</f>
        <v>0.25</v>
      </c>
      <c r="J28" s="81" t="n">
        <f aca="false">SUMPRODUCT($D$23:$I$23,D28:I28)/SUM($D$23:$I$23)*100</f>
        <v>60.5</v>
      </c>
    </row>
    <row r="29" customFormat="false" ht="15" hidden="false" customHeight="false" outlineLevel="0" collapsed="false">
      <c r="A29" s="42" t="s">
        <v>86</v>
      </c>
      <c r="B29" s="51" t="s">
        <v>87</v>
      </c>
      <c r="C29" s="88" t="str">
        <f aca="false">'08 TCO Model'!H37</f>
        <v>Analyst assumption</v>
      </c>
      <c r="D29" s="79" t="n">
        <f aca="false">IF(ISNUMBER('08 TCO Model'!Y37),MIN('08 TCO Model'!$Y$32:$Y$44)/'08 TCO Model'!Y37,'10 Scoring &amp; Weights'!$C$9)</f>
        <v>0.582111207888164</v>
      </c>
      <c r="E29" s="79" t="n">
        <f aca="false">IFERROR(VLOOKUP(C29,$B$41:$C$46,2,FALSE()),0)</f>
        <v>0.2</v>
      </c>
      <c r="F29" s="79" t="n">
        <f aca="false">IF(I11="",'10 Scoring &amp; Weights'!$C$9,IF(I11&lt;=100,1,IF(I11&lt;=500,0.7,0.4)))</f>
        <v>0.25</v>
      </c>
      <c r="G29" s="79" t="n">
        <f aca="false">((L11="Yes")*'10 Scoring &amp; Weights'!$C$7+(L11="Conditional")*'10 Scoring &amp; Weights'!$C$8+(L11="Unknown")*'10 Scoring &amp; Weights'!$C$9+(L11="No")*'10 Scoring &amp; Weights'!$C$10)</f>
        <v>0.5</v>
      </c>
      <c r="H29" s="79" t="n">
        <f aca="false">IF(R11="",'10 Scoring &amp; Weights'!$C$9,IF(R11&gt;=24,1,0.6))</f>
        <v>1</v>
      </c>
      <c r="I29" s="79" t="n">
        <f aca="false">((W11="Yes")*'10 Scoring &amp; Weights'!$C$7+(W11="Conditional")*'10 Scoring &amp; Weights'!$C$8+(W11="Unknown")*'10 Scoring &amp; Weights'!$C$9+(W11="No")*'10 Scoring &amp; Weights'!$C$10)</f>
        <v>0.25</v>
      </c>
      <c r="J29" s="81" t="n">
        <f aca="false">SUMPRODUCT($D$23:$I$23,D29:I29)/SUM($D$23:$I$23)*100</f>
        <v>47.2844483155266</v>
      </c>
    </row>
    <row r="30" customFormat="false" ht="15" hidden="false" customHeight="false" outlineLevel="0" collapsed="false">
      <c r="A30" s="42" t="s">
        <v>93</v>
      </c>
      <c r="B30" s="51" t="s">
        <v>94</v>
      </c>
      <c r="C30" s="88" t="str">
        <f aca="false">'08 TCO Model'!H38</f>
        <v>Historical internal figure</v>
      </c>
      <c r="D30" s="79" t="n">
        <f aca="false">IF(ISNUMBER('08 TCO Model'!Y38),MIN('08 TCO Model'!$Y$32:$Y$44)/'08 TCO Model'!Y38,'10 Scoring &amp; Weights'!$C$9)</f>
        <v>0.35155137390989</v>
      </c>
      <c r="E30" s="79" t="n">
        <f aca="false">IFERROR(VLOOKUP(C30,$B$41:$C$46,2,FALSE()),0)</f>
        <v>0.4</v>
      </c>
      <c r="F30" s="79" t="n">
        <f aca="false">IF(I12="",'10 Scoring &amp; Weights'!$C$9,IF(I12&lt;=100,1,IF(I12&lt;=500,0.7,0.4)))</f>
        <v>0.25</v>
      </c>
      <c r="G30" s="79" t="n">
        <f aca="false">((L12="Yes")*'10 Scoring &amp; Weights'!$C$7+(L12="Conditional")*'10 Scoring &amp; Weights'!$C$8+(L12="Unknown")*'10 Scoring &amp; Weights'!$C$9+(L12="No")*'10 Scoring &amp; Weights'!$C$10)</f>
        <v>0.5</v>
      </c>
      <c r="H30" s="79" t="n">
        <f aca="false">IF(R12="",'10 Scoring &amp; Weights'!$C$9,IF(R12&gt;=24,1,0.6))</f>
        <v>0.25</v>
      </c>
      <c r="I30" s="79" t="n">
        <f aca="false">((W12="Yes")*'10 Scoring &amp; Weights'!$C$7+(W12="Conditional")*'10 Scoring &amp; Weights'!$C$8+(W12="Unknown")*'10 Scoring &amp; Weights'!$C$9+(W12="No")*'10 Scoring &amp; Weights'!$C$10)</f>
        <v>0.25</v>
      </c>
      <c r="J30" s="81" t="n">
        <f aca="false">SUMPRODUCT($D$23:$I$23,D30:I30)/SUM($D$23:$I$23)*100</f>
        <v>34.5620549563956</v>
      </c>
    </row>
    <row r="31" customFormat="false" ht="15" hidden="false" customHeight="false" outlineLevel="0" collapsed="false">
      <c r="A31" s="42" t="s">
        <v>98</v>
      </c>
      <c r="B31" s="51" t="s">
        <v>99</v>
      </c>
      <c r="C31" s="88" t="str">
        <f aca="false">'08 TCO Model'!H39</f>
        <v>Analyst assumption</v>
      </c>
      <c r="D31" s="79" t="n">
        <f aca="false">IF(ISNUMBER('08 TCO Model'!Y39),MIN('08 TCO Model'!$Y$32:$Y$44)/'08 TCO Model'!Y39,'10 Scoring &amp; Weights'!$C$9)</f>
        <v>1</v>
      </c>
      <c r="E31" s="79" t="n">
        <f aca="false">IFERROR(VLOOKUP(C31,$B$41:$C$46,2,FALSE()),0)</f>
        <v>0.2</v>
      </c>
      <c r="F31" s="79" t="n">
        <f aca="false">IF(I13="",'10 Scoring &amp; Weights'!$C$9,IF(I13&lt;=100,1,IF(I13&lt;=500,0.7,0.4)))</f>
        <v>0.25</v>
      </c>
      <c r="G31" s="79" t="n">
        <f aca="false">((L13="Yes")*'10 Scoring &amp; Weights'!$C$7+(L13="Conditional")*'10 Scoring &amp; Weights'!$C$8+(L13="Unknown")*'10 Scoring &amp; Weights'!$C$9+(L13="No")*'10 Scoring &amp; Weights'!$C$10)</f>
        <v>0.5</v>
      </c>
      <c r="H31" s="79" t="n">
        <f aca="false">IF(R13="",'10 Scoring &amp; Weights'!$C$9,IF(R13&gt;=24,1,0.6))</f>
        <v>0.25</v>
      </c>
      <c r="I31" s="79" t="n">
        <f aca="false">((W13="Yes")*'10 Scoring &amp; Weights'!$C$7+(W13="Conditional")*'10 Scoring &amp; Weights'!$C$8+(W13="Unknown")*'10 Scoring &amp; Weights'!$C$9+(W13="No")*'10 Scoring &amp; Weights'!$C$10)</f>
        <v>0.25</v>
      </c>
      <c r="J31" s="81" t="n">
        <f aca="false">SUMPRODUCT($D$23:$I$23,D31:I31)/SUM($D$23:$I$23)*100</f>
        <v>56.5</v>
      </c>
    </row>
    <row r="32" customFormat="false" ht="15" hidden="false" customHeight="false" outlineLevel="0" collapsed="false">
      <c r="A32" s="42" t="s">
        <v>106</v>
      </c>
      <c r="B32" s="51" t="s">
        <v>107</v>
      </c>
      <c r="C32" s="88" t="str">
        <f aca="false">'08 TCO Model'!H40</f>
        <v>Analyst assumption</v>
      </c>
      <c r="D32" s="79" t="n">
        <f aca="false">IF(ISNUMBER('08 TCO Model'!Y40),MIN('08 TCO Model'!$Y$32:$Y$44)/'08 TCO Model'!Y40,'10 Scoring &amp; Weights'!$C$9)</f>
        <v>0.35155137390989</v>
      </c>
      <c r="E32" s="79" t="n">
        <f aca="false">IFERROR(VLOOKUP(C32,$B$41:$C$46,2,FALSE()),0)</f>
        <v>0.2</v>
      </c>
      <c r="F32" s="79" t="n">
        <f aca="false">IF(I14="",'10 Scoring &amp; Weights'!$C$9,IF(I14&lt;=100,1,IF(I14&lt;=500,0.7,0.4)))</f>
        <v>0.25</v>
      </c>
      <c r="G32" s="79" t="n">
        <f aca="false">((L14="Yes")*'10 Scoring &amp; Weights'!$C$7+(L14="Conditional")*'10 Scoring &amp; Weights'!$C$8+(L14="Unknown")*'10 Scoring &amp; Weights'!$C$9+(L14="No")*'10 Scoring &amp; Weights'!$C$10)</f>
        <v>0.5</v>
      </c>
      <c r="H32" s="79" t="n">
        <f aca="false">IF(R14="",'10 Scoring &amp; Weights'!$C$9,IF(R14&gt;=24,1,0.6))</f>
        <v>0.25</v>
      </c>
      <c r="I32" s="79" t="n">
        <f aca="false">((W14="Yes")*'10 Scoring &amp; Weights'!$C$7+(W14="Conditional")*'10 Scoring &amp; Weights'!$C$8+(W14="Unknown")*'10 Scoring &amp; Weights'!$C$9+(W14="No")*'10 Scoring &amp; Weights'!$C$10)</f>
        <v>0.25</v>
      </c>
      <c r="J32" s="81" t="n">
        <f aca="false">SUMPRODUCT($D$23:$I$23,D32:I32)/SUM($D$23:$I$23)*100</f>
        <v>30.5620549563956</v>
      </c>
    </row>
    <row r="33" customFormat="false" ht="15" hidden="false" customHeight="false" outlineLevel="0" collapsed="false">
      <c r="A33" s="42" t="s">
        <v>112</v>
      </c>
      <c r="B33" s="51" t="s">
        <v>113</v>
      </c>
      <c r="C33" s="88" t="str">
        <f aca="false">'08 TCO Model'!H41</f>
        <v>Analyst assumption</v>
      </c>
      <c r="D33" s="79" t="n">
        <f aca="false">IF(ISNUMBER('08 TCO Model'!Y41),MIN('08 TCO Model'!$Y$32:$Y$44)/'08 TCO Model'!Y41,'10 Scoring &amp; Weights'!$C$9)</f>
        <v>0.35155137390989</v>
      </c>
      <c r="E33" s="79" t="n">
        <f aca="false">IFERROR(VLOOKUP(C33,$B$41:$C$46,2,FALSE()),0)</f>
        <v>0.2</v>
      </c>
      <c r="F33" s="79" t="n">
        <f aca="false">IF(I15="",'10 Scoring &amp; Weights'!$C$9,IF(I15&lt;=100,1,IF(I15&lt;=500,0.7,0.4)))</f>
        <v>0.25</v>
      </c>
      <c r="G33" s="79" t="n">
        <f aca="false">((L15="Yes")*'10 Scoring &amp; Weights'!$C$7+(L15="Conditional")*'10 Scoring &amp; Weights'!$C$8+(L15="Unknown")*'10 Scoring &amp; Weights'!$C$9+(L15="No")*'10 Scoring &amp; Weights'!$C$10)</f>
        <v>0.5</v>
      </c>
      <c r="H33" s="79" t="n">
        <f aca="false">IF(R15="",'10 Scoring &amp; Weights'!$C$9,IF(R15&gt;=24,1,0.6))</f>
        <v>0.25</v>
      </c>
      <c r="I33" s="79" t="n">
        <f aca="false">((W15="Yes")*'10 Scoring &amp; Weights'!$C$7+(W15="Conditional")*'10 Scoring &amp; Weights'!$C$8+(W15="Unknown")*'10 Scoring &amp; Weights'!$C$9+(W15="No")*'10 Scoring &amp; Weights'!$C$10)</f>
        <v>0.25</v>
      </c>
      <c r="J33" s="81" t="n">
        <f aca="false">SUMPRODUCT($D$23:$I$23,D33:I33)/SUM($D$23:$I$23)*100</f>
        <v>30.5620549563956</v>
      </c>
    </row>
    <row r="34" customFormat="false" ht="15" hidden="false" customHeight="false" outlineLevel="0" collapsed="false">
      <c r="A34" s="42" t="s">
        <v>117</v>
      </c>
      <c r="B34" s="51" t="s">
        <v>118</v>
      </c>
      <c r="C34" s="88" t="str">
        <f aca="false">'08 TCO Model'!H42</f>
        <v>Analyst assumption</v>
      </c>
      <c r="D34" s="79" t="n">
        <f aca="false">IF(ISNUMBER('08 TCO Model'!Y42),MIN('08 TCO Model'!$Y$32:$Y$44)/'08 TCO Model'!Y42,'10 Scoring &amp; Weights'!$C$9)</f>
        <v>0.475952735363419</v>
      </c>
      <c r="E34" s="79" t="n">
        <f aca="false">IFERROR(VLOOKUP(C34,$B$41:$C$46,2,FALSE()),0)</f>
        <v>0.2</v>
      </c>
      <c r="F34" s="79" t="n">
        <f aca="false">IF(I16="",'10 Scoring &amp; Weights'!$C$9,IF(I16&lt;=100,1,IF(I16&lt;=500,0.7,0.4)))</f>
        <v>0.25</v>
      </c>
      <c r="G34" s="79" t="n">
        <f aca="false">((L16="Yes")*'10 Scoring &amp; Weights'!$C$7+(L16="Conditional")*'10 Scoring &amp; Weights'!$C$8+(L16="Unknown")*'10 Scoring &amp; Weights'!$C$9+(L16="No")*'10 Scoring &amp; Weights'!$C$10)</f>
        <v>0.5</v>
      </c>
      <c r="H34" s="79" t="n">
        <f aca="false">IF(R16="",'10 Scoring &amp; Weights'!$C$9,IF(R16&gt;=24,1,0.6))</f>
        <v>0.25</v>
      </c>
      <c r="I34" s="79" t="n">
        <f aca="false">((W16="Yes")*'10 Scoring &amp; Weights'!$C$7+(W16="Conditional")*'10 Scoring &amp; Weights'!$C$8+(W16="Unknown")*'10 Scoring &amp; Weights'!$C$9+(W16="No")*'10 Scoring &amp; Weights'!$C$10)</f>
        <v>0.25</v>
      </c>
      <c r="J34" s="81" t="n">
        <f aca="false">SUMPRODUCT($D$23:$I$23,D34:I34)/SUM($D$23:$I$23)*100</f>
        <v>35.5381094145368</v>
      </c>
    </row>
    <row r="35" customFormat="false" ht="15" hidden="false" customHeight="false" outlineLevel="0" collapsed="false">
      <c r="A35" s="42" t="s">
        <v>122</v>
      </c>
      <c r="B35" s="51" t="s">
        <v>123</v>
      </c>
      <c r="C35" s="88" t="str">
        <f aca="false">'08 TCO Model'!H43</f>
        <v>Analyst assumption</v>
      </c>
      <c r="D35" s="79" t="n">
        <f aca="false">IF(ISNUMBER('08 TCO Model'!Y43),MIN('08 TCO Model'!$Y$32:$Y$44)/'08 TCO Model'!Y43,'10 Scoring &amp; Weights'!$C$9)</f>
        <v>0.486277295951101</v>
      </c>
      <c r="E35" s="79" t="n">
        <f aca="false">IFERROR(VLOOKUP(C35,$B$41:$C$46,2,FALSE()),0)</f>
        <v>0.2</v>
      </c>
      <c r="F35" s="79" t="n">
        <f aca="false">IF(I17="",'10 Scoring &amp; Weights'!$C$9,IF(I17&lt;=100,1,IF(I17&lt;=500,0.7,0.4)))</f>
        <v>0.25</v>
      </c>
      <c r="G35" s="79" t="n">
        <f aca="false">((L17="Yes")*'10 Scoring &amp; Weights'!$C$7+(L17="Conditional")*'10 Scoring &amp; Weights'!$C$8+(L17="Unknown")*'10 Scoring &amp; Weights'!$C$9+(L17="No")*'10 Scoring &amp; Weights'!$C$10)</f>
        <v>0.5</v>
      </c>
      <c r="H35" s="79" t="n">
        <f aca="false">IF(R17="",'10 Scoring &amp; Weights'!$C$9,IF(R17&gt;=24,1,0.6))</f>
        <v>0.25</v>
      </c>
      <c r="I35" s="79" t="n">
        <f aca="false">((W17="Yes")*'10 Scoring &amp; Weights'!$C$7+(W17="Conditional")*'10 Scoring &amp; Weights'!$C$8+(W17="Unknown")*'10 Scoring &amp; Weights'!$C$9+(W17="No")*'10 Scoring &amp; Weights'!$C$10)</f>
        <v>0.25</v>
      </c>
      <c r="J35" s="81" t="n">
        <f aca="false">SUMPRODUCT($D$23:$I$23,D35:I35)/SUM($D$23:$I$23)*100</f>
        <v>35.951091838044</v>
      </c>
    </row>
    <row r="36" customFormat="false" ht="15" hidden="false" customHeight="false" outlineLevel="0" collapsed="false">
      <c r="A36" s="42" t="s">
        <v>127</v>
      </c>
      <c r="B36" s="51" t="s">
        <v>128</v>
      </c>
      <c r="C36" s="88" t="str">
        <f aca="false">'08 TCO Model'!H44</f>
        <v>Public marketplace price</v>
      </c>
      <c r="D36" s="79" t="n">
        <f aca="false">IF(ISNUMBER('08 TCO Model'!Y44),MIN('08 TCO Model'!$Y$32:$Y$44)/'08 TCO Model'!Y44,'10 Scoring &amp; Weights'!$C$9)</f>
        <v>0.486277295951101</v>
      </c>
      <c r="E36" s="79" t="n">
        <f aca="false">IFERROR(VLOOKUP(C36,$B$41:$C$46,2,FALSE()),0)</f>
        <v>0.6</v>
      </c>
      <c r="F36" s="79" t="n">
        <f aca="false">IF(I18="",'10 Scoring &amp; Weights'!$C$9,IF(I18&lt;=100,1,IF(I18&lt;=500,0.7,0.4)))</f>
        <v>1</v>
      </c>
      <c r="G36" s="79" t="n">
        <f aca="false">((L18="Yes")*'10 Scoring &amp; Weights'!$C$7+(L18="Conditional")*'10 Scoring &amp; Weights'!$C$8+(L18="Unknown")*'10 Scoring &amp; Weights'!$C$9+(L18="No")*'10 Scoring &amp; Weights'!$C$10)</f>
        <v>0.5</v>
      </c>
      <c r="H36" s="79" t="n">
        <f aca="false">IF(R18="",'10 Scoring &amp; Weights'!$C$9,IF(R18&gt;=24,1,0.6))</f>
        <v>0.25</v>
      </c>
      <c r="I36" s="79" t="n">
        <f aca="false">((W18="Yes")*'10 Scoring &amp; Weights'!$C$7+(W18="Conditional")*'10 Scoring &amp; Weights'!$C$8+(W18="Unknown")*'10 Scoring &amp; Weights'!$C$9+(W18="No")*'10 Scoring &amp; Weights'!$C$10)</f>
        <v>0.25</v>
      </c>
      <c r="J36" s="81" t="n">
        <f aca="false">SUMPRODUCT($D$23:$I$23,D36:I36)/SUM($D$23:$I$23)*100</f>
        <v>55.201091838044</v>
      </c>
    </row>
    <row r="39" customFormat="false" ht="15" hidden="false" customHeight="false" outlineLevel="0" collapsed="false">
      <c r="A39" s="7" t="s">
        <v>1092</v>
      </c>
      <c r="B39" s="7"/>
      <c r="C39" s="7"/>
      <c r="D39" s="7"/>
    </row>
    <row r="40" customFormat="false" ht="15" hidden="false" customHeight="false" outlineLevel="0" collapsed="false">
      <c r="A40" s="8"/>
      <c r="B40" s="8" t="s">
        <v>1037</v>
      </c>
      <c r="C40" s="8" t="s">
        <v>1093</v>
      </c>
    </row>
    <row r="41" customFormat="false" ht="15" hidden="false" customHeight="true" outlineLevel="0" collapsed="false">
      <c r="B41" s="54" t="s">
        <v>1060</v>
      </c>
      <c r="C41" s="89" t="n">
        <v>1</v>
      </c>
      <c r="E41" s="27" t="s">
        <v>1094</v>
      </c>
      <c r="F41" s="27"/>
      <c r="G41" s="27"/>
      <c r="H41" s="27"/>
      <c r="I41" s="27"/>
      <c r="J41" s="27"/>
      <c r="K41" s="27"/>
      <c r="L41" s="27"/>
    </row>
    <row r="42" customFormat="false" ht="15" hidden="false" customHeight="false" outlineLevel="0" collapsed="false">
      <c r="B42" s="54" t="s">
        <v>1095</v>
      </c>
      <c r="C42" s="89" t="n">
        <v>0.8</v>
      </c>
      <c r="E42" s="27"/>
      <c r="F42" s="27"/>
      <c r="G42" s="27"/>
      <c r="H42" s="27"/>
      <c r="I42" s="27"/>
      <c r="J42" s="27"/>
      <c r="K42" s="27"/>
      <c r="L42" s="27"/>
    </row>
    <row r="43" customFormat="false" ht="15" hidden="false" customHeight="false" outlineLevel="0" collapsed="false">
      <c r="B43" s="54" t="s">
        <v>1071</v>
      </c>
      <c r="C43" s="89" t="n">
        <v>0.6</v>
      </c>
      <c r="E43" s="27"/>
      <c r="F43" s="27"/>
      <c r="G43" s="27"/>
      <c r="H43" s="27"/>
      <c r="I43" s="27"/>
      <c r="J43" s="27"/>
      <c r="K43" s="27"/>
      <c r="L43" s="27"/>
    </row>
    <row r="44" customFormat="false" ht="15" hidden="false" customHeight="false" outlineLevel="0" collapsed="false">
      <c r="B44" s="54" t="s">
        <v>1075</v>
      </c>
      <c r="C44" s="89" t="n">
        <v>0.4</v>
      </c>
      <c r="E44" s="27"/>
      <c r="F44" s="27"/>
      <c r="G44" s="27"/>
      <c r="H44" s="27"/>
      <c r="I44" s="27"/>
      <c r="J44" s="27"/>
      <c r="K44" s="27"/>
      <c r="L44" s="27"/>
    </row>
    <row r="45" customFormat="false" ht="15" hidden="false" customHeight="false" outlineLevel="0" collapsed="false">
      <c r="B45" s="54" t="s">
        <v>1096</v>
      </c>
      <c r="C45" s="89" t="n">
        <v>0.2</v>
      </c>
    </row>
    <row r="46" customFormat="false" ht="15" hidden="false" customHeight="false" outlineLevel="0" collapsed="false">
      <c r="B46" s="54" t="s">
        <v>247</v>
      </c>
      <c r="C46" s="89" t="n">
        <v>0</v>
      </c>
    </row>
  </sheetData>
  <mergeCells count="1">
    <mergeCell ref="E41:L44"/>
  </mergeCells>
  <conditionalFormatting sqref="Y6:Y18">
    <cfRule type="cellIs" priority="2" operator="equal" aboveAverage="0" equalAverage="0" bottom="0" percent="0" rank="0" text="" dxfId="1">
      <formula>"Pass"</formula>
    </cfRule>
    <cfRule type="cellIs" priority="3" operator="equal" aboveAverage="0" equalAverage="0" bottom="0" percent="0" rank="0" text="" dxfId="1">
      <formula>"Eligible"</formula>
    </cfRule>
    <cfRule type="cellIs" priority="4" operator="equal" aboveAverage="0" equalAverage="0" bottom="0" percent="0" rank="0" text="" dxfId="1">
      <formula>"Verified feasible"</formula>
    </cfRule>
    <cfRule type="cellIs" priority="5" operator="equal" aboveAverage="0" equalAverage="0" bottom="0" percent="0" rank="0" text="" dxfId="2">
      <formula>"Conditional"</formula>
    </cfRule>
    <cfRule type="cellIs" priority="6" operator="equal" aboveAverage="0" equalAverage="0" bottom="0" percent="0" rank="0" text="" dxfId="2">
      <formula>"Conditionally eligible"</formula>
    </cfRule>
    <cfRule type="cellIs" priority="7" operator="equal" aboveAverage="0" equalAverage="0" bottom="0" percent="0" rank="0" text="" dxfId="2">
      <formula>"Pending"</formula>
    </cfRule>
    <cfRule type="cellIs" priority="8" operator="equal" aboveAverage="0" equalAverage="0" bottom="0" percent="0" rank="0" text="" dxfId="2">
      <formula>"Pending verification"</formula>
    </cfRule>
    <cfRule type="cellIs" priority="9" operator="equal" aboveAverage="0" equalAverage="0" bottom="0" percent="0" rank="0" text="" dxfId="2">
      <formula>"Not verified"</formula>
    </cfRule>
    <cfRule type="cellIs" priority="10" operator="equal" aboveAverage="0" equalAverage="0" bottom="0" percent="0" rank="0" text="" dxfId="0">
      <formula>"Fail"</formula>
    </cfRule>
    <cfRule type="cellIs" priority="11" operator="equal" aboveAverage="0" equalAverage="0" bottom="0" percent="0" rank="0" text="" dxfId="0">
      <formula>"Ineligible"</formula>
    </cfRule>
    <cfRule type="cellIs" priority="12" operator="equal" aboveAverage="0" equalAverage="0" bottom="0" percent="0" rank="0" text="" dxfId="0">
      <formula>"Not feasible"</formula>
    </cfRule>
  </conditionalFormatting>
  <conditionalFormatting sqref="L6:N18">
    <cfRule type="cellIs" priority="13" operator="equal" aboveAverage="0" equalAverage="0" bottom="0" percent="0" rank="0" text="" dxfId="1">
      <formula>"Yes"</formula>
    </cfRule>
    <cfRule type="cellIs" priority="14" operator="equal" aboveAverage="0" equalAverage="0" bottom="0" percent="0" rank="0" text="" dxfId="2">
      <formula>"Conditional"</formula>
    </cfRule>
    <cfRule type="cellIs" priority="15" operator="equal" aboveAverage="0" equalAverage="0" bottom="0" percent="0" rank="0" text="" dxfId="14">
      <formula>"Unknown"</formula>
    </cfRule>
    <cfRule type="cellIs" priority="16" operator="equal" aboveAverage="0" equalAverage="0" bottom="0" percent="0" rank="0" text="" dxfId="0">
      <formula>"No"</formula>
    </cfRule>
  </conditionalFormatting>
  <conditionalFormatting sqref="W6:X18">
    <cfRule type="cellIs" priority="17" operator="equal" aboveAverage="0" equalAverage="0" bottom="0" percent="0" rank="0" text="" dxfId="1">
      <formula>"Yes"</formula>
    </cfRule>
    <cfRule type="cellIs" priority="18" operator="equal" aboveAverage="0" equalAverage="0" bottom="0" percent="0" rank="0" text="" dxfId="2">
      <formula>"Conditional"</formula>
    </cfRule>
    <cfRule type="cellIs" priority="19" operator="equal" aboveAverage="0" equalAverage="0" bottom="0" percent="0" rank="0" text="" dxfId="14">
      <formula>"Unknown"</formula>
    </cfRule>
    <cfRule type="cellIs" priority="20" operator="equal" aboveAverage="0" equalAverage="0" bottom="0" percent="0" rank="0" text="" dxfId="0">
      <formula>"No"</formula>
    </cfRule>
  </conditionalFormatting>
  <dataValidations count="4">
    <dataValidation allowBlank="true" errorStyle="stop" operator="between" showDropDown="false" showErrorMessage="false" showInputMessage="false" sqref="E6:E18" type="list">
      <formula1>"Supplier quotation,Official public price,Public marketplace price,Historical internal figure,Analyst assumption,Unknown"</formula1>
      <formula2>0</formula2>
    </dataValidation>
    <dataValidation allowBlank="true" errorStyle="stop" operator="between" showDropDown="false" showErrorMessage="false" showInputMessage="false" sqref="L6:N18 W6:X18" type="list">
      <formula1>"Yes,Conditional,Unknown,No,N/A"</formula1>
      <formula2>0</formula2>
    </dataValidation>
    <dataValidation allowBlank="true" errorStyle="stop" operator="between" showDropDown="false" showErrorMessage="false" showInputMessage="false" sqref="H6:H18" type="list">
      <formula1>"M01,M02,M03,M04,M05,M06,M07,M08,M09,M10,M11,M12,M13"</formula1>
      <formula2>0</formula2>
    </dataValidation>
    <dataValidation allowBlank="true" errorStyle="stop" operator="between" showDropDown="false" showErrorMessage="false" showInputMessage="false" sqref="Y6:Y18" type="list">
      <formula1>"Pass,Conditional,Pending,Fail"</formula1>
      <formula2>0</formula2>
    </dataValidation>
  </dataValidations>
  <hyperlinks>
    <hyperlink ref="G6" r:id="rId1" location="'14%20Source%20Register'!A62" display="S52"/>
    <hyperlink ref="G8" r:id="rId2" location="'14%20Source%20Register'!A37" display="S27"/>
    <hyperlink ref="G10" r:id="rId3" location="'14%20Source%20Register'!A48" display="S38"/>
    <hyperlink ref="S11" r:id="rId4" location="'14%20Source%20Register'!A27" display="S17"/>
    <hyperlink ref="G12" r:id="rId5" location="'14%20Source%20Register'!A48" display="S38"/>
    <hyperlink ref="G18" r:id="rId6" location="'14%20Source%20Register'!A37" display="S27"/>
    <hyperlink ref="J18" r:id="rId7" location="'14%20Source%20Register'!A37" display="S2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Z4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1" topLeftCell="C32" activePane="bottomRight" state="frozen"/>
      <selection pane="topLeft" activeCell="A1" activeCellId="0" sqref="A1"/>
      <selection pane="topRight" activeCell="C1" activeCellId="0" sqref="C1"/>
      <selection pane="bottomLeft" activeCell="A32" activeCellId="0" sqref="A3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4" min="3" style="0" width="10"/>
    <col collapsed="false" customWidth="true" hidden="false" outlineLevel="0" max="5" min="5" style="0" width="16"/>
    <col collapsed="false" customWidth="true" hidden="false" outlineLevel="0" max="6" min="6" style="0" width="8"/>
    <col collapsed="false" customWidth="true" hidden="false" outlineLevel="0" max="7" min="7" style="0" width="9"/>
    <col collapsed="false" customWidth="true" hidden="false" outlineLevel="0" max="8" min="8" style="0" width="16"/>
    <col collapsed="false" customWidth="true" hidden="false" outlineLevel="0" max="9" min="9" style="0" width="9"/>
    <col collapsed="false" customWidth="true" hidden="false" outlineLevel="0" max="10" min="10" style="0" width="8"/>
    <col collapsed="false" customWidth="true" hidden="false" outlineLevel="0" max="11" min="11" style="0" width="10"/>
    <col collapsed="false" customWidth="true" hidden="false" outlineLevel="0" max="20" min="12" style="0" width="9"/>
    <col collapsed="false" customWidth="true" hidden="false" outlineLevel="0" max="23" min="21" style="0" width="10"/>
    <col collapsed="false" customWidth="true" hidden="false" outlineLevel="0" max="24" min="24" style="0" width="9"/>
    <col collapsed="false" customWidth="true" hidden="false" outlineLevel="0" max="25" min="25" style="0" width="11"/>
    <col collapsed="false" customWidth="true" hidden="false" outlineLevel="0" max="26" min="26" style="0" width="34"/>
  </cols>
  <sheetData>
    <row r="1" customFormat="false" ht="17.35" hidden="false" customHeight="false" outlineLevel="0" collapsed="false">
      <c r="A1" s="28" t="s">
        <v>1097</v>
      </c>
    </row>
    <row r="2" customFormat="false" ht="15" hidden="false" customHeight="false" outlineLevel="0" collapsed="false">
      <c r="A2" s="2" t="s">
        <v>1098</v>
      </c>
    </row>
    <row r="4" customFormat="false" ht="15" hidden="false" customHeight="false" outlineLevel="0" collapsed="false">
      <c r="B4" s="7" t="s">
        <v>1099</v>
      </c>
      <c r="C4" s="7"/>
      <c r="D4" s="7"/>
      <c r="E4" s="7"/>
      <c r="F4" s="7"/>
    </row>
    <row r="5" customFormat="false" ht="15" hidden="false" customHeight="false" outlineLevel="0" collapsed="false">
      <c r="B5" s="8" t="s">
        <v>1100</v>
      </c>
      <c r="C5" s="8" t="s">
        <v>926</v>
      </c>
      <c r="D5" s="8" t="s">
        <v>1101</v>
      </c>
      <c r="E5" s="8" t="s">
        <v>1102</v>
      </c>
    </row>
    <row r="6" customFormat="false" ht="15" hidden="false" customHeight="false" outlineLevel="0" collapsed="false">
      <c r="B6" s="20" t="s">
        <v>1103</v>
      </c>
      <c r="C6" s="90" t="n">
        <v>0.9</v>
      </c>
      <c r="D6" s="66" t="s">
        <v>1104</v>
      </c>
      <c r="E6" s="66" t="s">
        <v>1105</v>
      </c>
    </row>
    <row r="7" customFormat="false" ht="15" hidden="false" customHeight="false" outlineLevel="0" collapsed="false">
      <c r="B7" s="20" t="s">
        <v>1106</v>
      </c>
      <c r="C7" s="91" t="n">
        <v>1</v>
      </c>
      <c r="D7" s="66" t="s">
        <v>1107</v>
      </c>
      <c r="E7" s="66" t="s">
        <v>1108</v>
      </c>
    </row>
    <row r="8" customFormat="false" ht="15" hidden="false" customHeight="false" outlineLevel="0" collapsed="false">
      <c r="B8" s="20" t="s">
        <v>1109</v>
      </c>
      <c r="C8" s="90" t="n">
        <v>3</v>
      </c>
      <c r="D8" s="66" t="s">
        <v>1110</v>
      </c>
      <c r="E8" s="66" t="s">
        <v>1111</v>
      </c>
    </row>
    <row r="9" customFormat="false" ht="15" hidden="false" customHeight="false" outlineLevel="0" collapsed="false">
      <c r="B9" s="20" t="s">
        <v>1112</v>
      </c>
      <c r="C9" s="67" t="n">
        <v>0</v>
      </c>
      <c r="D9" s="66" t="s">
        <v>1113</v>
      </c>
      <c r="E9" s="66" t="s">
        <v>1114</v>
      </c>
    </row>
    <row r="10" customFormat="false" ht="15" hidden="false" customHeight="false" outlineLevel="0" collapsed="false">
      <c r="B10" s="20" t="s">
        <v>1115</v>
      </c>
      <c r="C10" s="90" t="n">
        <v>4</v>
      </c>
      <c r="D10" s="66" t="s">
        <v>1110</v>
      </c>
      <c r="E10" s="66" t="s">
        <v>1096</v>
      </c>
    </row>
    <row r="11" customFormat="false" ht="15" hidden="false" customHeight="false" outlineLevel="0" collapsed="false">
      <c r="B11" s="20" t="s">
        <v>1116</v>
      </c>
      <c r="C11" s="90" t="n">
        <v>2</v>
      </c>
      <c r="D11" s="66" t="s">
        <v>1110</v>
      </c>
      <c r="E11" s="66" t="s">
        <v>1096</v>
      </c>
    </row>
    <row r="12" customFormat="false" ht="15" hidden="false" customHeight="false" outlineLevel="0" collapsed="false">
      <c r="B12" s="20" t="s">
        <v>1117</v>
      </c>
      <c r="C12" s="90" t="n">
        <v>0</v>
      </c>
      <c r="D12" s="66" t="s">
        <v>1110</v>
      </c>
      <c r="E12" s="66" t="s">
        <v>1118</v>
      </c>
    </row>
    <row r="13" customFormat="false" ht="15" hidden="false" customHeight="false" outlineLevel="0" collapsed="false">
      <c r="B13" s="20" t="s">
        <v>1119</v>
      </c>
      <c r="C13" s="92" t="n">
        <v>15000</v>
      </c>
      <c r="D13" s="66" t="s">
        <v>1120</v>
      </c>
      <c r="E13" s="66" t="s">
        <v>1121</v>
      </c>
    </row>
    <row r="14" customFormat="false" ht="15" hidden="false" customHeight="false" outlineLevel="0" collapsed="false">
      <c r="B14" s="20" t="s">
        <v>1122</v>
      </c>
      <c r="C14" s="92" t="n">
        <v>25000</v>
      </c>
      <c r="D14" s="66" t="s">
        <v>1120</v>
      </c>
      <c r="E14" s="66" t="s">
        <v>1123</v>
      </c>
    </row>
    <row r="15" customFormat="false" ht="15" hidden="false" customHeight="false" outlineLevel="0" collapsed="false">
      <c r="B15" s="20" t="s">
        <v>1124</v>
      </c>
      <c r="C15" s="90" t="n">
        <v>2.5</v>
      </c>
      <c r="D15" s="66" t="s">
        <v>1110</v>
      </c>
      <c r="E15" s="66" t="s">
        <v>1125</v>
      </c>
    </row>
    <row r="16" customFormat="false" ht="15" hidden="false" customHeight="false" outlineLevel="0" collapsed="false">
      <c r="B16" s="20" t="s">
        <v>1126</v>
      </c>
      <c r="C16" s="90" t="n">
        <v>0</v>
      </c>
      <c r="D16" s="66" t="s">
        <v>1110</v>
      </c>
      <c r="E16" s="66" t="s">
        <v>1127</v>
      </c>
    </row>
    <row r="17" customFormat="false" ht="15" hidden="false" customHeight="false" outlineLevel="0" collapsed="false">
      <c r="B17" s="20" t="s">
        <v>1128</v>
      </c>
      <c r="C17" s="90" t="n">
        <v>0</v>
      </c>
      <c r="D17" s="66" t="s">
        <v>1110</v>
      </c>
      <c r="E17" s="66" t="s">
        <v>1129</v>
      </c>
    </row>
    <row r="18" customFormat="false" ht="15" hidden="false" customHeight="false" outlineLevel="0" collapsed="false">
      <c r="B18" s="20" t="s">
        <v>1130</v>
      </c>
      <c r="C18" s="90" t="n">
        <v>35</v>
      </c>
      <c r="D18" s="66" t="s">
        <v>1110</v>
      </c>
      <c r="E18" s="66" t="s">
        <v>1096</v>
      </c>
    </row>
    <row r="19" customFormat="false" ht="15" hidden="false" customHeight="false" outlineLevel="0" collapsed="false">
      <c r="B19" s="20" t="s">
        <v>1131</v>
      </c>
      <c r="C19" s="67" t="n">
        <f aca="false">1-0.64</f>
        <v>0.36</v>
      </c>
      <c r="D19" s="66" t="s">
        <v>1113</v>
      </c>
      <c r="E19" s="66" t="s">
        <v>1132</v>
      </c>
    </row>
    <row r="20" customFormat="false" ht="15" hidden="false" customHeight="false" outlineLevel="0" collapsed="false">
      <c r="B20" s="20" t="s">
        <v>1133</v>
      </c>
      <c r="C20" s="91" t="n">
        <v>12</v>
      </c>
      <c r="D20" s="66" t="s">
        <v>1134</v>
      </c>
      <c r="E20" s="66" t="s">
        <v>1096</v>
      </c>
    </row>
    <row r="21" customFormat="false" ht="15" hidden="false" customHeight="false" outlineLevel="0" collapsed="false">
      <c r="B21" s="20" t="s">
        <v>1135</v>
      </c>
      <c r="C21" s="67" t="n">
        <v>0.08</v>
      </c>
      <c r="D21" s="66" t="s">
        <v>1113</v>
      </c>
      <c r="E21" s="66" t="s">
        <v>1096</v>
      </c>
    </row>
    <row r="22" customFormat="false" ht="15" hidden="false" customHeight="false" outlineLevel="0" collapsed="false">
      <c r="B22" s="20" t="s">
        <v>1136</v>
      </c>
      <c r="C22" s="91" t="n">
        <v>1000</v>
      </c>
      <c r="D22" s="66" t="s">
        <v>1137</v>
      </c>
      <c r="E22" s="66" t="s">
        <v>1138</v>
      </c>
    </row>
    <row r="24" customFormat="false" ht="15" hidden="false" customHeight="false" outlineLevel="0" collapsed="false">
      <c r="B24" s="7" t="s">
        <v>1139</v>
      </c>
      <c r="C24" s="7"/>
      <c r="D24" s="7"/>
      <c r="E24" s="7"/>
      <c r="F24" s="7"/>
    </row>
    <row r="25" customFormat="false" ht="22.35" hidden="false" customHeight="false" outlineLevel="0" collapsed="false">
      <c r="B25" s="8" t="s">
        <v>1140</v>
      </c>
      <c r="C25" s="8" t="s">
        <v>1141</v>
      </c>
      <c r="D25" s="8" t="s">
        <v>1142</v>
      </c>
      <c r="E25" s="8" t="s">
        <v>927</v>
      </c>
    </row>
    <row r="26" customFormat="false" ht="15" hidden="false" customHeight="false" outlineLevel="0" collapsed="false">
      <c r="B26" s="20" t="s">
        <v>1143</v>
      </c>
      <c r="C26" s="93" t="n">
        <v>100</v>
      </c>
      <c r="D26" s="94" t="n">
        <v>0</v>
      </c>
      <c r="E26" s="66" t="s">
        <v>1144</v>
      </c>
    </row>
    <row r="27" customFormat="false" ht="15" hidden="false" customHeight="false" outlineLevel="0" collapsed="false">
      <c r="B27" s="20" t="s">
        <v>1145</v>
      </c>
      <c r="C27" s="93" t="n">
        <v>1000</v>
      </c>
      <c r="D27" s="94" t="n">
        <v>0.05</v>
      </c>
      <c r="E27" s="66" t="s">
        <v>1144</v>
      </c>
    </row>
    <row r="28" customFormat="false" ht="15" hidden="false" customHeight="false" outlineLevel="0" collapsed="false">
      <c r="B28" s="20" t="s">
        <v>1146</v>
      </c>
      <c r="C28" s="93" t="n">
        <v>5000</v>
      </c>
      <c r="D28" s="94" t="n">
        <v>0.1</v>
      </c>
      <c r="E28" s="66" t="s">
        <v>1144</v>
      </c>
    </row>
    <row r="30" customFormat="false" ht="15" hidden="false" customHeight="false" outlineLevel="0" collapsed="false">
      <c r="A30" s="7" t="s">
        <v>1147</v>
      </c>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51.75" hidden="false" customHeight="true" outlineLevel="0" collapsed="false">
      <c r="A31" s="8" t="s">
        <v>36</v>
      </c>
      <c r="B31" s="8" t="s">
        <v>12</v>
      </c>
      <c r="C31" s="8" t="s">
        <v>601</v>
      </c>
      <c r="D31" s="8" t="s">
        <v>1148</v>
      </c>
      <c r="E31" s="8" t="s">
        <v>1037</v>
      </c>
      <c r="F31" s="8" t="s">
        <v>1149</v>
      </c>
      <c r="G31" s="8" t="s">
        <v>1150</v>
      </c>
      <c r="H31" s="8" t="s">
        <v>1151</v>
      </c>
      <c r="I31" s="8" t="s">
        <v>1152</v>
      </c>
      <c r="J31" s="8" t="s">
        <v>1153</v>
      </c>
      <c r="K31" s="8" t="s">
        <v>1154</v>
      </c>
      <c r="L31" s="8" t="s">
        <v>1155</v>
      </c>
      <c r="M31" s="8" t="s">
        <v>1156</v>
      </c>
      <c r="N31" s="8" t="s">
        <v>1157</v>
      </c>
      <c r="O31" s="8" t="s">
        <v>1158</v>
      </c>
      <c r="P31" s="8" t="s">
        <v>1159</v>
      </c>
      <c r="Q31" s="8" t="s">
        <v>1160</v>
      </c>
      <c r="R31" s="8" t="s">
        <v>1161</v>
      </c>
      <c r="S31" s="8" t="s">
        <v>1162</v>
      </c>
      <c r="T31" s="8" t="s">
        <v>1163</v>
      </c>
      <c r="U31" s="8" t="s">
        <v>1164</v>
      </c>
      <c r="V31" s="8" t="s">
        <v>1165</v>
      </c>
      <c r="W31" s="8" t="s">
        <v>1166</v>
      </c>
      <c r="X31" s="8" t="s">
        <v>1167</v>
      </c>
      <c r="Y31" s="8" t="s">
        <v>1168</v>
      </c>
      <c r="Z31" s="8" t="s">
        <v>1169</v>
      </c>
    </row>
    <row r="32" customFormat="false" ht="25.5" hidden="false" customHeight="true" outlineLevel="0" collapsed="false">
      <c r="A32" s="42" t="s">
        <v>48</v>
      </c>
      <c r="B32" s="51" t="s">
        <v>50</v>
      </c>
      <c r="C32" s="42" t="s">
        <v>298</v>
      </c>
      <c r="D32" s="95" t="n">
        <f aca="false">IF('07 Commercial'!C6="","",'07 Commercial'!C6)</f>
        <v>50</v>
      </c>
      <c r="E32" s="88" t="str">
        <f aca="false">'07 Commercial'!E6</f>
        <v>Supplier quotation</v>
      </c>
      <c r="F32" s="26" t="str">
        <f aca="false">IF('07 Commercial'!H6="","",'07 Commercial'!H6)</f>
        <v/>
      </c>
      <c r="G32" s="96" t="n">
        <f aca="false">IF(D32&lt;&gt;"",D32,IF(AND($C$7=1,F32&lt;&gt;""),INDEX($D$32:$D$44,MATCH(F32,$A$32:$A$44,0)),""))</f>
        <v>50</v>
      </c>
      <c r="H32" s="97" t="str">
        <f aca="false">IF(D32&lt;&gt;"",E32,IF(G32&lt;&gt;"","Analyst assumption","Unknown"))</f>
        <v>Supplier quotation</v>
      </c>
      <c r="I32" s="96" t="n">
        <f aca="false">IF(G32="","",G32*$C$6)</f>
        <v>45</v>
      </c>
      <c r="J32" s="98" t="n">
        <f aca="false">IF('07 Commercial'!R6="",$C$20,'07 Commercial'!R6)</f>
        <v>12</v>
      </c>
      <c r="K32" s="99" t="n">
        <f aca="false">IF(C32="4G",$C$13,$C$14)</f>
        <v>25000</v>
      </c>
      <c r="L32" s="96" t="n">
        <f aca="false">IF(C32="4G",$C$10,$C$11)</f>
        <v>2</v>
      </c>
      <c r="M32" s="96" t="n">
        <f aca="false">IF(C32="BLE",$C$19*$C$18,0)</f>
        <v>12.6</v>
      </c>
      <c r="N32" s="96" t="n">
        <f aca="false">IF(C32="4G",$C$15,0)+$C$16+$C$17</f>
        <v>0</v>
      </c>
      <c r="O32" s="96" t="n">
        <f aca="false">IF($G32="","RFQ",(I32*(1-$D$26)*(1+$C$9)+$C$8)+$C$12+L32+M32+K32/$C$26+N32*12+$C$21*12/12*(MIN(J32,12)/12*$C$8+(1-MIN(J32,12)/12)*((I32*(1-$D$26)*(1+$C$9)+$C$8)+L32)))</f>
        <v>312.84</v>
      </c>
      <c r="P32" s="96" t="n">
        <f aca="false">IF($G32="","RFQ",(I32*(1-$D$26)*(1+$C$9)+$C$8)+$C$12+L32+M32+K32/$C$26+N32*36+$C$21*36/12*(MIN(J32,36)/36*$C$8+(1-MIN(J32,36)/36)*((I32*(1-$D$26)*(1+$C$9)+$C$8)+L32)))</f>
        <v>320.84</v>
      </c>
      <c r="Q32" s="96" t="n">
        <f aca="false">IF($G32="","RFQ",(I32*(1-$D$27)*(1+$C$9)+$C$8)+$C$12+L32+M32+K32/$C$27+N32*12+$C$21*12/12*(MIN(J32,12)/12*$C$8+(1-MIN(J32,12)/12)*((I32*(1-$D$27)*(1+$C$9)+$C$8)+L32)))</f>
        <v>85.59</v>
      </c>
      <c r="R32" s="96" t="n">
        <f aca="false">IF($G32="","RFQ",(I32*(1-$D$27)*(1+$C$9)+$C$8)+$C$12+L32+M32+K32/$C$27+N32*36+$C$21*36/12*(MIN(J32,36)/36*$C$8+(1-MIN(J32,36)/36)*((I32*(1-$D$27)*(1+$C$9)+$C$8)+L32)))</f>
        <v>93.23</v>
      </c>
      <c r="S32" s="96" t="n">
        <f aca="false">IF($G32="","RFQ",(I32*(1-$D$28)*(1+$C$9)+$C$8)+$C$12+L32+M32+K32/$C$28+N32*12+$C$21*12/12*(MIN(J32,12)/12*$C$8+(1-MIN(J32,12)/12)*((I32*(1-$D$28)*(1+$C$9)+$C$8)+L32)))</f>
        <v>63.34</v>
      </c>
      <c r="T32" s="96" t="n">
        <f aca="false">IF($G32="","RFQ",(I32*(1-$D$28)*(1+$C$9)+$C$8)+$C$12+L32+M32+K32/$C$28+N32*36+$C$21*36/12*(MIN(J32,36)/36*$C$8+(1-MIN(J32,36)/36)*((I32*(1-$D$28)*(1+$C$9)+$C$8)+L32)))</f>
        <v>70.62</v>
      </c>
      <c r="U32" s="99" t="n">
        <f aca="false">IF(ISNUMBER(P32),P32*$C$26,"RFQ")</f>
        <v>32084</v>
      </c>
      <c r="V32" s="99" t="n">
        <f aca="false">IF(ISNUMBER(R32),R32*$C$27,"RFQ")</f>
        <v>93230</v>
      </c>
      <c r="W32" s="99" t="n">
        <f aca="false">IF(ISNUMBER(T32),T32*$C$28,"RFQ")</f>
        <v>353100</v>
      </c>
      <c r="X32" s="96" t="n">
        <f aca="false">N32*12</f>
        <v>0</v>
      </c>
      <c r="Y32" s="100" t="n">
        <f aca="false">IF($G32="","RFQ",INDEX(O32:T32,1,MATCH($C$22,$C$26:$C$28,0)*2))</f>
        <v>93.23</v>
      </c>
      <c r="Z32" s="101" t="str">
        <f aca="false">IF(G32="","RFQ required — no price",IF(H32="Analyst assumption","Provisional — price is an analyst assumption (proxy "&amp;F32&amp;")","Provisional — "&amp;H32&amp;"; other inputs are assumptions"))</f>
        <v>Provisional — Supplier quotation; other inputs are assumptions</v>
      </c>
    </row>
    <row r="33" customFormat="false" ht="25.5" hidden="false" customHeight="true" outlineLevel="0" collapsed="false">
      <c r="A33" s="42" t="s">
        <v>59</v>
      </c>
      <c r="B33" s="51" t="s">
        <v>60</v>
      </c>
      <c r="C33" s="42" t="s">
        <v>309</v>
      </c>
      <c r="D33" s="95" t="str">
        <f aca="false">IF('07 Commercial'!C7="","",'07 Commercial'!C7)</f>
        <v/>
      </c>
      <c r="E33" s="88" t="str">
        <f aca="false">'07 Commercial'!E7</f>
        <v>Unknown</v>
      </c>
      <c r="F33" s="26" t="str">
        <f aca="false">IF('07 Commercial'!H7="","",'07 Commercial'!H7)</f>
        <v>M03</v>
      </c>
      <c r="G33" s="96" t="n">
        <f aca="false">IF(D33&lt;&gt;"",D33,IF(AND($C$7=1,F33&lt;&gt;""),INDEX($D$32:$D$44,MATCH(F33,$A$32:$A$44,0)),""))</f>
        <v>27</v>
      </c>
      <c r="H33" s="97" t="str">
        <f aca="false">IF(D33&lt;&gt;"",E33,IF(G33&lt;&gt;"","Analyst assumption","Unknown"))</f>
        <v>Analyst assumption</v>
      </c>
      <c r="I33" s="96" t="n">
        <f aca="false">IF(G33="","",G33*$C$6)</f>
        <v>24.3</v>
      </c>
      <c r="J33" s="98" t="n">
        <f aca="false">IF('07 Commercial'!R7="",$C$20,'07 Commercial'!R7)</f>
        <v>12</v>
      </c>
      <c r="K33" s="99" t="n">
        <f aca="false">IF(C33="4G",$C$13,$C$14)</f>
        <v>15000</v>
      </c>
      <c r="L33" s="96" t="n">
        <f aca="false">IF(C33="4G",$C$10,$C$11)</f>
        <v>4</v>
      </c>
      <c r="M33" s="96" t="n">
        <f aca="false">IF(C33="BLE",$C$19*$C$18,0)</f>
        <v>0</v>
      </c>
      <c r="N33" s="96" t="n">
        <f aca="false">IF(C33="4G",$C$15,0)+$C$16+$C$17</f>
        <v>2.5</v>
      </c>
      <c r="O33" s="96" t="n">
        <f aca="false">IF($G33="","RFQ",(I33*(1-$D$26)*(1+$C$9)+$C$8)+$C$12+L33+M33+K33/$C$26+N33*12+$C$21*12/12*(MIN(J33,12)/12*$C$8+(1-MIN(J33,12)/12)*((I33*(1-$D$26)*(1+$C$9)+$C$8)+L33)))</f>
        <v>211.54</v>
      </c>
      <c r="P33" s="96" t="n">
        <f aca="false">IF($G33="","RFQ",(I33*(1-$D$26)*(1+$C$9)+$C$8)+$C$12+L33+M33+K33/$C$26+N33*36+$C$21*36/12*(MIN(J33,36)/36*$C$8+(1-MIN(J33,36)/36)*((I33*(1-$D$26)*(1+$C$9)+$C$8)+L33)))</f>
        <v>276.548</v>
      </c>
      <c r="Q33" s="96" t="n">
        <f aca="false">IF($G33="","RFQ",(I33*(1-$D$27)*(1+$C$9)+$C$8)+$C$12+L33+M33+K33/$C$27+N33*12+$C$21*12/12*(MIN(J33,12)/12*$C$8+(1-MIN(J33,12)/12)*((I33*(1-$D$27)*(1+$C$9)+$C$8)+L33)))</f>
        <v>75.325</v>
      </c>
      <c r="R33" s="96" t="n">
        <f aca="false">IF($G33="","RFQ",(I33*(1-$D$27)*(1+$C$9)+$C$8)+$C$12+L33+M33+K33/$C$27+N33*36+$C$21*36/12*(MIN(J33,36)/36*$C$8+(1-MIN(J33,36)/36)*((I33*(1-$D$27)*(1+$C$9)+$C$8)+L33)))</f>
        <v>140.1386</v>
      </c>
      <c r="S33" s="96" t="n">
        <f aca="false">IF($G33="","RFQ",(I33*(1-$D$28)*(1+$C$9)+$C$8)+$C$12+L33+M33+K33/$C$28+N33*12+$C$21*12/12*(MIN(J33,12)/12*$C$8+(1-MIN(J33,12)/12)*((I33*(1-$D$28)*(1+$C$9)+$C$8)+L33)))</f>
        <v>62.11</v>
      </c>
      <c r="T33" s="96" t="n">
        <f aca="false">IF($G33="","RFQ",(I33*(1-$D$28)*(1+$C$9)+$C$8)+$C$12+L33+M33+K33/$C$28+N33*36+$C$21*36/12*(MIN(J33,36)/36*$C$8+(1-MIN(J33,36)/36)*((I33*(1-$D$28)*(1+$C$9)+$C$8)+L33)))</f>
        <v>126.7292</v>
      </c>
      <c r="U33" s="99" t="n">
        <f aca="false">IF(ISNUMBER(P33),P33*$C$26,"RFQ")</f>
        <v>27654.8</v>
      </c>
      <c r="V33" s="99" t="n">
        <f aca="false">IF(ISNUMBER(R33),R33*$C$27,"RFQ")</f>
        <v>140138.6</v>
      </c>
      <c r="W33" s="99" t="n">
        <f aca="false">IF(ISNUMBER(T33),T33*$C$28,"RFQ")</f>
        <v>633646</v>
      </c>
      <c r="X33" s="96" t="n">
        <f aca="false">N33*12</f>
        <v>30</v>
      </c>
      <c r="Y33" s="100" t="n">
        <f aca="false">IF($G33="","RFQ",INDEX(O33:T33,1,MATCH($C$22,$C$26:$C$28,0)*2))</f>
        <v>140.1386</v>
      </c>
      <c r="Z33" s="101" t="str">
        <f aca="false">IF(G33="","RFQ required — no price",IF(H33="Analyst assumption","Provisional — price is an analyst assumption (proxy "&amp;F33&amp;")","Provisional — "&amp;H33&amp;"; other inputs are assumptions"))</f>
        <v>Provisional — price is an analyst assumption (proxy M03)</v>
      </c>
    </row>
    <row r="34" customFormat="false" ht="25.5" hidden="false" customHeight="true" outlineLevel="0" collapsed="false">
      <c r="A34" s="42" t="s">
        <v>65</v>
      </c>
      <c r="B34" s="51" t="s">
        <v>66</v>
      </c>
      <c r="C34" s="42" t="s">
        <v>309</v>
      </c>
      <c r="D34" s="95" t="n">
        <f aca="false">IF('07 Commercial'!C8="","",'07 Commercial'!C8)</f>
        <v>27</v>
      </c>
      <c r="E34" s="88" t="str">
        <f aca="false">'07 Commercial'!E8</f>
        <v>Public marketplace price</v>
      </c>
      <c r="F34" s="26" t="str">
        <f aca="false">IF('07 Commercial'!H8="","",'07 Commercial'!H8)</f>
        <v/>
      </c>
      <c r="G34" s="96" t="n">
        <f aca="false">IF(D34&lt;&gt;"",D34,IF(AND($C$7=1,F34&lt;&gt;""),INDEX($D$32:$D$44,MATCH(F34,$A$32:$A$44,0)),""))</f>
        <v>27</v>
      </c>
      <c r="H34" s="97" t="str">
        <f aca="false">IF(D34&lt;&gt;"",E34,IF(G34&lt;&gt;"","Analyst assumption","Unknown"))</f>
        <v>Public marketplace price</v>
      </c>
      <c r="I34" s="96" t="n">
        <f aca="false">IF(G34="","",G34*$C$6)</f>
        <v>24.3</v>
      </c>
      <c r="J34" s="98" t="n">
        <f aca="false">IF('07 Commercial'!R8="",$C$20,'07 Commercial'!R8)</f>
        <v>12</v>
      </c>
      <c r="K34" s="99" t="n">
        <f aca="false">IF(C34="4G",$C$13,$C$14)</f>
        <v>15000</v>
      </c>
      <c r="L34" s="96" t="n">
        <f aca="false">IF(C34="4G",$C$10,$C$11)</f>
        <v>4</v>
      </c>
      <c r="M34" s="96" t="n">
        <f aca="false">IF(C34="BLE",$C$19*$C$18,0)</f>
        <v>0</v>
      </c>
      <c r="N34" s="96" t="n">
        <f aca="false">IF(C34="4G",$C$15,0)+$C$16+$C$17</f>
        <v>2.5</v>
      </c>
      <c r="O34" s="96" t="n">
        <f aca="false">IF($G34="","RFQ",(I34*(1-$D$26)*(1+$C$9)+$C$8)+$C$12+L34+M34+K34/$C$26+N34*12+$C$21*12/12*(MIN(J34,12)/12*$C$8+(1-MIN(J34,12)/12)*((I34*(1-$D$26)*(1+$C$9)+$C$8)+L34)))</f>
        <v>211.54</v>
      </c>
      <c r="P34" s="96" t="n">
        <f aca="false">IF($G34="","RFQ",(I34*(1-$D$26)*(1+$C$9)+$C$8)+$C$12+L34+M34+K34/$C$26+N34*36+$C$21*36/12*(MIN(J34,36)/36*$C$8+(1-MIN(J34,36)/36)*((I34*(1-$D$26)*(1+$C$9)+$C$8)+L34)))</f>
        <v>276.548</v>
      </c>
      <c r="Q34" s="96" t="n">
        <f aca="false">IF($G34="","RFQ",(I34*(1-$D$27)*(1+$C$9)+$C$8)+$C$12+L34+M34+K34/$C$27+N34*12+$C$21*12/12*(MIN(J34,12)/12*$C$8+(1-MIN(J34,12)/12)*((I34*(1-$D$27)*(1+$C$9)+$C$8)+L34)))</f>
        <v>75.325</v>
      </c>
      <c r="R34" s="96" t="n">
        <f aca="false">IF($G34="","RFQ",(I34*(1-$D$27)*(1+$C$9)+$C$8)+$C$12+L34+M34+K34/$C$27+N34*36+$C$21*36/12*(MIN(J34,36)/36*$C$8+(1-MIN(J34,36)/36)*((I34*(1-$D$27)*(1+$C$9)+$C$8)+L34)))</f>
        <v>140.1386</v>
      </c>
      <c r="S34" s="96" t="n">
        <f aca="false">IF($G34="","RFQ",(I34*(1-$D$28)*(1+$C$9)+$C$8)+$C$12+L34+M34+K34/$C$28+N34*12+$C$21*12/12*(MIN(J34,12)/12*$C$8+(1-MIN(J34,12)/12)*((I34*(1-$D$28)*(1+$C$9)+$C$8)+L34)))</f>
        <v>62.11</v>
      </c>
      <c r="T34" s="96" t="n">
        <f aca="false">IF($G34="","RFQ",(I34*(1-$D$28)*(1+$C$9)+$C$8)+$C$12+L34+M34+K34/$C$28+N34*36+$C$21*36/12*(MIN(J34,36)/36*$C$8+(1-MIN(J34,36)/36)*((I34*(1-$D$28)*(1+$C$9)+$C$8)+L34)))</f>
        <v>126.7292</v>
      </c>
      <c r="U34" s="99" t="n">
        <f aca="false">IF(ISNUMBER(P34),P34*$C$26,"RFQ")</f>
        <v>27654.8</v>
      </c>
      <c r="V34" s="99" t="n">
        <f aca="false">IF(ISNUMBER(R34),R34*$C$27,"RFQ")</f>
        <v>140138.6</v>
      </c>
      <c r="W34" s="99" t="n">
        <f aca="false">IF(ISNUMBER(T34),T34*$C$28,"RFQ")</f>
        <v>633646</v>
      </c>
      <c r="X34" s="96" t="n">
        <f aca="false">N34*12</f>
        <v>30</v>
      </c>
      <c r="Y34" s="100" t="n">
        <f aca="false">IF($G34="","RFQ",INDEX(O34:T34,1,MATCH($C$22,$C$26:$C$28,0)*2))</f>
        <v>140.1386</v>
      </c>
      <c r="Z34" s="101" t="str">
        <f aca="false">IF(G34="","RFQ required — no price",IF(H34="Analyst assumption","Provisional — price is an analyst assumption (proxy "&amp;F34&amp;")","Provisional — "&amp;H34&amp;"; other inputs are assumptions"))</f>
        <v>Provisional — Public marketplace price; other inputs are assumptions</v>
      </c>
    </row>
    <row r="35" customFormat="false" ht="25.5" hidden="false" customHeight="true" outlineLevel="0" collapsed="false">
      <c r="A35" s="42" t="s">
        <v>71</v>
      </c>
      <c r="B35" s="51" t="s">
        <v>72</v>
      </c>
      <c r="C35" s="42" t="s">
        <v>298</v>
      </c>
      <c r="D35" s="95" t="str">
        <f aca="false">IF('07 Commercial'!C9="","",'07 Commercial'!C9)</f>
        <v/>
      </c>
      <c r="E35" s="88" t="str">
        <f aca="false">'07 Commercial'!E9</f>
        <v>Unknown</v>
      </c>
      <c r="F35" s="26" t="str">
        <f aca="false">IF('07 Commercial'!H9="","",'07 Commercial'!H9)</f>
        <v>M05</v>
      </c>
      <c r="G35" s="96" t="n">
        <f aca="false">IF(D35&lt;&gt;"",D35,IF(AND($C$7=1,F35&lt;&gt;""),INDEX($D$32:$D$44,MATCH(F35,$A$32:$A$44,0)),""))</f>
        <v>23.25</v>
      </c>
      <c r="H35" s="97" t="str">
        <f aca="false">IF(D35&lt;&gt;"",E35,IF(G35&lt;&gt;"","Analyst assumption","Unknown"))</f>
        <v>Analyst assumption</v>
      </c>
      <c r="I35" s="96" t="n">
        <f aca="false">IF(G35="","",G35*$C$6)</f>
        <v>20.925</v>
      </c>
      <c r="J35" s="98" t="n">
        <f aca="false">IF('07 Commercial'!R9="",$C$20,'07 Commercial'!R9)</f>
        <v>12</v>
      </c>
      <c r="K35" s="99" t="n">
        <f aca="false">IF(C35="4G",$C$13,$C$14)</f>
        <v>25000</v>
      </c>
      <c r="L35" s="96" t="n">
        <f aca="false">IF(C35="4G",$C$10,$C$11)</f>
        <v>2</v>
      </c>
      <c r="M35" s="96" t="n">
        <f aca="false">IF(C35="BLE",$C$19*$C$18,0)</f>
        <v>12.6</v>
      </c>
      <c r="N35" s="96" t="n">
        <f aca="false">IF(C35="4G",$C$15,0)+$C$16+$C$17</f>
        <v>0</v>
      </c>
      <c r="O35" s="96" t="n">
        <f aca="false">IF($G35="","RFQ",(I35*(1-$D$26)*(1+$C$9)+$C$8)+$C$12+L35+M35+K35/$C$26+N35*12+$C$21*12/12*(MIN(J35,12)/12*$C$8+(1-MIN(J35,12)/12)*((I35*(1-$D$26)*(1+$C$9)+$C$8)+L35)))</f>
        <v>288.765</v>
      </c>
      <c r="P35" s="96" t="n">
        <f aca="false">IF($G35="","RFQ",(I35*(1-$D$26)*(1+$C$9)+$C$8)+$C$12+L35+M35+K35/$C$26+N35*36+$C$21*36/12*(MIN(J35,36)/36*$C$8+(1-MIN(J35,36)/36)*((I35*(1-$D$26)*(1+$C$9)+$C$8)+L35)))</f>
        <v>292.913</v>
      </c>
      <c r="Q35" s="96" t="n">
        <f aca="false">IF($G35="","RFQ",(I35*(1-$D$27)*(1+$C$9)+$C$8)+$C$12+L35+M35+K35/$C$27+N35*12+$C$21*12/12*(MIN(J35,12)/12*$C$8+(1-MIN(J35,12)/12)*((I35*(1-$D$27)*(1+$C$9)+$C$8)+L35)))</f>
        <v>62.71875</v>
      </c>
      <c r="R35" s="96" t="n">
        <f aca="false">IF($G35="","RFQ",(I35*(1-$D$27)*(1+$C$9)+$C$8)+$C$12+L35+M35+K35/$C$27+N35*36+$C$21*36/12*(MIN(J35,36)/36*$C$8+(1-MIN(J35,36)/36)*((I35*(1-$D$27)*(1+$C$9)+$C$8)+L35)))</f>
        <v>66.69935</v>
      </c>
      <c r="S35" s="96" t="n">
        <f aca="false">IF($G35="","RFQ",(I35*(1-$D$28)*(1+$C$9)+$C$8)+$C$12+L35+M35+K35/$C$28+N35*12+$C$21*12/12*(MIN(J35,12)/12*$C$8+(1-MIN(J35,12)/12)*((I35*(1-$D$28)*(1+$C$9)+$C$8)+L35)))</f>
        <v>41.6725</v>
      </c>
      <c r="T35" s="96" t="n">
        <f aca="false">IF($G35="","RFQ",(I35*(1-$D$28)*(1+$C$9)+$C$8)+$C$12+L35+M35+K35/$C$28+N35*36+$C$21*36/12*(MIN(J35,36)/36*$C$8+(1-MIN(J35,36)/36)*((I35*(1-$D$28)*(1+$C$9)+$C$8)+L35)))</f>
        <v>45.4857</v>
      </c>
      <c r="U35" s="99" t="n">
        <f aca="false">IF(ISNUMBER(P35),P35*$C$26,"RFQ")</f>
        <v>29291.3</v>
      </c>
      <c r="V35" s="99" t="n">
        <f aca="false">IF(ISNUMBER(R35),R35*$C$27,"RFQ")</f>
        <v>66699.35</v>
      </c>
      <c r="W35" s="99" t="n">
        <f aca="false">IF(ISNUMBER(T35),T35*$C$28,"RFQ")</f>
        <v>227428.5</v>
      </c>
      <c r="X35" s="96" t="n">
        <f aca="false">N35*12</f>
        <v>0</v>
      </c>
      <c r="Y35" s="100" t="n">
        <f aca="false">IF($G35="","RFQ",INDEX(O35:T35,1,MATCH($C$22,$C$26:$C$28,0)*2))</f>
        <v>66.69935</v>
      </c>
      <c r="Z35" s="101" t="str">
        <f aca="false">IF(G35="","RFQ required — no price",IF(H35="Analyst assumption","Provisional — price is an analyst assumption (proxy "&amp;F35&amp;")","Provisional — "&amp;H35&amp;"; other inputs are assumptions"))</f>
        <v>Provisional — price is an analyst assumption (proxy M05)</v>
      </c>
    </row>
    <row r="36" customFormat="false" ht="25.5" hidden="false" customHeight="true" outlineLevel="0" collapsed="false">
      <c r="A36" s="42" t="s">
        <v>80</v>
      </c>
      <c r="B36" s="51" t="s">
        <v>81</v>
      </c>
      <c r="C36" s="42" t="s">
        <v>298</v>
      </c>
      <c r="D36" s="95" t="n">
        <f aca="false">IF('07 Commercial'!C10="","",'07 Commercial'!C10)</f>
        <v>23.25</v>
      </c>
      <c r="E36" s="88" t="str">
        <f aca="false">'07 Commercial'!E10</f>
        <v>Historical internal figure</v>
      </c>
      <c r="F36" s="26" t="str">
        <f aca="false">IF('07 Commercial'!H10="","",'07 Commercial'!H10)</f>
        <v/>
      </c>
      <c r="G36" s="96" t="n">
        <f aca="false">IF(D36&lt;&gt;"",D36,IF(AND($C$7=1,F36&lt;&gt;""),INDEX($D$32:$D$44,MATCH(F36,$A$32:$A$44,0)),""))</f>
        <v>23.25</v>
      </c>
      <c r="H36" s="97" t="str">
        <f aca="false">IF(D36&lt;&gt;"",E36,IF(G36&lt;&gt;"","Analyst assumption","Unknown"))</f>
        <v>Historical internal figure</v>
      </c>
      <c r="I36" s="96" t="n">
        <f aca="false">IF(G36="","",G36*$C$6)</f>
        <v>20.925</v>
      </c>
      <c r="J36" s="98" t="n">
        <f aca="false">IF('07 Commercial'!R10="",$C$20,'07 Commercial'!R10)</f>
        <v>12</v>
      </c>
      <c r="K36" s="99" t="n">
        <f aca="false">IF(C36="4G",$C$13,$C$14)</f>
        <v>25000</v>
      </c>
      <c r="L36" s="96" t="n">
        <f aca="false">IF(C36="4G",$C$10,$C$11)</f>
        <v>2</v>
      </c>
      <c r="M36" s="96" t="n">
        <f aca="false">IF(C36="BLE",$C$19*$C$18,0)</f>
        <v>12.6</v>
      </c>
      <c r="N36" s="96" t="n">
        <f aca="false">IF(C36="4G",$C$15,0)+$C$16+$C$17</f>
        <v>0</v>
      </c>
      <c r="O36" s="96" t="n">
        <f aca="false">IF($G36="","RFQ",(I36*(1-$D$26)*(1+$C$9)+$C$8)+$C$12+L36+M36+K36/$C$26+N36*12+$C$21*12/12*(MIN(J36,12)/12*$C$8+(1-MIN(J36,12)/12)*((I36*(1-$D$26)*(1+$C$9)+$C$8)+L36)))</f>
        <v>288.765</v>
      </c>
      <c r="P36" s="96" t="n">
        <f aca="false">IF($G36="","RFQ",(I36*(1-$D$26)*(1+$C$9)+$C$8)+$C$12+L36+M36+K36/$C$26+N36*36+$C$21*36/12*(MIN(J36,36)/36*$C$8+(1-MIN(J36,36)/36)*((I36*(1-$D$26)*(1+$C$9)+$C$8)+L36)))</f>
        <v>292.913</v>
      </c>
      <c r="Q36" s="96" t="n">
        <f aca="false">IF($G36="","RFQ",(I36*(1-$D$27)*(1+$C$9)+$C$8)+$C$12+L36+M36+K36/$C$27+N36*12+$C$21*12/12*(MIN(J36,12)/12*$C$8+(1-MIN(J36,12)/12)*((I36*(1-$D$27)*(1+$C$9)+$C$8)+L36)))</f>
        <v>62.71875</v>
      </c>
      <c r="R36" s="96" t="n">
        <f aca="false">IF($G36="","RFQ",(I36*(1-$D$27)*(1+$C$9)+$C$8)+$C$12+L36+M36+K36/$C$27+N36*36+$C$21*36/12*(MIN(J36,36)/36*$C$8+(1-MIN(J36,36)/36)*((I36*(1-$D$27)*(1+$C$9)+$C$8)+L36)))</f>
        <v>66.69935</v>
      </c>
      <c r="S36" s="96" t="n">
        <f aca="false">IF($G36="","RFQ",(I36*(1-$D$28)*(1+$C$9)+$C$8)+$C$12+L36+M36+K36/$C$28+N36*12+$C$21*12/12*(MIN(J36,12)/12*$C$8+(1-MIN(J36,12)/12)*((I36*(1-$D$28)*(1+$C$9)+$C$8)+L36)))</f>
        <v>41.6725</v>
      </c>
      <c r="T36" s="96" t="n">
        <f aca="false">IF($G36="","RFQ",(I36*(1-$D$28)*(1+$C$9)+$C$8)+$C$12+L36+M36+K36/$C$28+N36*36+$C$21*36/12*(MIN(J36,36)/36*$C$8+(1-MIN(J36,36)/36)*((I36*(1-$D$28)*(1+$C$9)+$C$8)+L36)))</f>
        <v>45.4857</v>
      </c>
      <c r="U36" s="99" t="n">
        <f aca="false">IF(ISNUMBER(P36),P36*$C$26,"RFQ")</f>
        <v>29291.3</v>
      </c>
      <c r="V36" s="99" t="n">
        <f aca="false">IF(ISNUMBER(R36),R36*$C$27,"RFQ")</f>
        <v>66699.35</v>
      </c>
      <c r="W36" s="99" t="n">
        <f aca="false">IF(ISNUMBER(T36),T36*$C$28,"RFQ")</f>
        <v>227428.5</v>
      </c>
      <c r="X36" s="96" t="n">
        <f aca="false">N36*12</f>
        <v>0</v>
      </c>
      <c r="Y36" s="100" t="n">
        <f aca="false">IF($G36="","RFQ",INDEX(O36:T36,1,MATCH($C$22,$C$26:$C$28,0)*2))</f>
        <v>66.69935</v>
      </c>
      <c r="Z36" s="101" t="str">
        <f aca="false">IF(G36="","RFQ required — no price",IF(H36="Analyst assumption","Provisional — price is an analyst assumption (proxy "&amp;F36&amp;")","Provisional — "&amp;H36&amp;"; other inputs are assumptions"))</f>
        <v>Provisional — Historical internal figure; other inputs are assumptions</v>
      </c>
    </row>
    <row r="37" customFormat="false" ht="25.5" hidden="false" customHeight="true" outlineLevel="0" collapsed="false">
      <c r="A37" s="42" t="s">
        <v>86</v>
      </c>
      <c r="B37" s="51" t="s">
        <v>87</v>
      </c>
      <c r="C37" s="42" t="s">
        <v>298</v>
      </c>
      <c r="D37" s="95" t="str">
        <f aca="false">IF('07 Commercial'!C11="","",'07 Commercial'!C11)</f>
        <v/>
      </c>
      <c r="E37" s="88" t="str">
        <f aca="false">'07 Commercial'!E11</f>
        <v>Unknown</v>
      </c>
      <c r="F37" s="26" t="str">
        <f aca="false">IF('07 Commercial'!H11="","",'07 Commercial'!H11)</f>
        <v>M07</v>
      </c>
      <c r="G37" s="96" t="n">
        <f aca="false">IF(D37&lt;&gt;"",D37,IF(AND($C$7=1,F37&lt;&gt;""),INDEX($D$32:$D$44,MATCH(F37,$A$32:$A$44,0)),""))</f>
        <v>77</v>
      </c>
      <c r="H37" s="97" t="str">
        <f aca="false">IF(D37&lt;&gt;"",E37,IF(G37&lt;&gt;"","Analyst assumption","Unknown"))</f>
        <v>Analyst assumption</v>
      </c>
      <c r="I37" s="96" t="n">
        <f aca="false">IF(G37="","",G37*$C$6)</f>
        <v>69.3</v>
      </c>
      <c r="J37" s="98" t="n">
        <f aca="false">IF('07 Commercial'!R11="",$C$20,'07 Commercial'!R11)</f>
        <v>24</v>
      </c>
      <c r="K37" s="99" t="n">
        <f aca="false">IF(C37="4G",$C$13,$C$14)</f>
        <v>25000</v>
      </c>
      <c r="L37" s="96" t="n">
        <f aca="false">IF(C37="4G",$C$10,$C$11)</f>
        <v>2</v>
      </c>
      <c r="M37" s="96" t="n">
        <f aca="false">IF(C37="BLE",$C$19*$C$18,0)</f>
        <v>12.6</v>
      </c>
      <c r="N37" s="96" t="n">
        <f aca="false">IF(C37="4G",$C$15,0)+$C$16+$C$17</f>
        <v>0</v>
      </c>
      <c r="O37" s="96" t="n">
        <f aca="false">IF($G37="","RFQ",(I37*(1-$D$26)*(1+$C$9)+$C$8)+$C$12+L37+M37+K37/$C$26+N37*12+$C$21*12/12*(MIN(J37,12)/12*$C$8+(1-MIN(J37,12)/12)*((I37*(1-$D$26)*(1+$C$9)+$C$8)+L37)))</f>
        <v>337.14</v>
      </c>
      <c r="P37" s="96" t="n">
        <f aca="false">IF($G37="","RFQ",(I37*(1-$D$26)*(1+$C$9)+$C$8)+$C$12+L37+M37+K37/$C$26+N37*36+$C$21*36/12*(MIN(J37,36)/36*$C$8+(1-MIN(J37,36)/36)*((I37*(1-$D$26)*(1+$C$9)+$C$8)+L37)))</f>
        <v>343.324</v>
      </c>
      <c r="Q37" s="96" t="n">
        <f aca="false">IF($G37="","RFQ",(I37*(1-$D$27)*(1+$C$9)+$C$8)+$C$12+L37+M37+K37/$C$27+N37*12+$C$21*12/12*(MIN(J37,12)/12*$C$8+(1-MIN(J37,12)/12)*((I37*(1-$D$27)*(1+$C$9)+$C$8)+L37)))</f>
        <v>108.675</v>
      </c>
      <c r="R37" s="96" t="n">
        <f aca="false">IF($G37="","RFQ",(I37*(1-$D$27)*(1+$C$9)+$C$8)+$C$12+L37+M37+K37/$C$27+N37*36+$C$21*36/12*(MIN(J37,36)/36*$C$8+(1-MIN(J37,36)/36)*((I37*(1-$D$27)*(1+$C$9)+$C$8)+L37)))</f>
        <v>114.5818</v>
      </c>
      <c r="S37" s="96" t="n">
        <f aca="false">IF($G37="","RFQ",(I37*(1-$D$28)*(1+$C$9)+$C$8)+$C$12+L37+M37+K37/$C$28+N37*12+$C$21*12/12*(MIN(J37,12)/12*$C$8+(1-MIN(J37,12)/12)*((I37*(1-$D$28)*(1+$C$9)+$C$8)+L37)))</f>
        <v>85.21</v>
      </c>
      <c r="T37" s="96" t="n">
        <f aca="false">IF($G37="","RFQ",(I37*(1-$D$28)*(1+$C$9)+$C$8)+$C$12+L37+M37+K37/$C$28+N37*36+$C$21*36/12*(MIN(J37,36)/36*$C$8+(1-MIN(J37,36)/36)*((I37*(1-$D$28)*(1+$C$9)+$C$8)+L37)))</f>
        <v>90.8396</v>
      </c>
      <c r="U37" s="99" t="n">
        <f aca="false">IF(ISNUMBER(P37),P37*$C$26,"RFQ")</f>
        <v>34332.4</v>
      </c>
      <c r="V37" s="99" t="n">
        <f aca="false">IF(ISNUMBER(R37),R37*$C$27,"RFQ")</f>
        <v>114581.8</v>
      </c>
      <c r="W37" s="99" t="n">
        <f aca="false">IF(ISNUMBER(T37),T37*$C$28,"RFQ")</f>
        <v>454198</v>
      </c>
      <c r="X37" s="96" t="n">
        <f aca="false">N37*12</f>
        <v>0</v>
      </c>
      <c r="Y37" s="100" t="n">
        <f aca="false">IF($G37="","RFQ",INDEX(O37:T37,1,MATCH($C$22,$C$26:$C$28,0)*2))</f>
        <v>114.5818</v>
      </c>
      <c r="Z37" s="101" t="str">
        <f aca="false">IF(G37="","RFQ required — no price",IF(H37="Analyst assumption","Provisional — price is an analyst assumption (proxy "&amp;F37&amp;")","Provisional — "&amp;H37&amp;"; other inputs are assumptions"))</f>
        <v>Provisional — price is an analyst assumption (proxy M07)</v>
      </c>
    </row>
    <row r="38" customFormat="false" ht="25.5" hidden="false" customHeight="true" outlineLevel="0" collapsed="false">
      <c r="A38" s="42" t="s">
        <v>93</v>
      </c>
      <c r="B38" s="51" t="s">
        <v>94</v>
      </c>
      <c r="C38" s="42" t="s">
        <v>309</v>
      </c>
      <c r="D38" s="95" t="n">
        <f aca="false">IF('07 Commercial'!C12="","",'07 Commercial'!C12)</f>
        <v>77</v>
      </c>
      <c r="E38" s="88" t="str">
        <f aca="false">'07 Commercial'!E12</f>
        <v>Historical internal figure</v>
      </c>
      <c r="F38" s="26" t="str">
        <f aca="false">IF('07 Commercial'!H12="","",'07 Commercial'!H12)</f>
        <v/>
      </c>
      <c r="G38" s="96" t="n">
        <f aca="false">IF(D38&lt;&gt;"",D38,IF(AND($C$7=1,F38&lt;&gt;""),INDEX($D$32:$D$44,MATCH(F38,$A$32:$A$44,0)),""))</f>
        <v>77</v>
      </c>
      <c r="H38" s="97" t="str">
        <f aca="false">IF(D38&lt;&gt;"",E38,IF(G38&lt;&gt;"","Analyst assumption","Unknown"))</f>
        <v>Historical internal figure</v>
      </c>
      <c r="I38" s="96" t="n">
        <f aca="false">IF(G38="","",G38*$C$6)</f>
        <v>69.3</v>
      </c>
      <c r="J38" s="98" t="n">
        <f aca="false">IF('07 Commercial'!R12="",$C$20,'07 Commercial'!R12)</f>
        <v>12</v>
      </c>
      <c r="K38" s="99" t="n">
        <f aca="false">IF(C38="4G",$C$13,$C$14)</f>
        <v>15000</v>
      </c>
      <c r="L38" s="96" t="n">
        <f aca="false">IF(C38="4G",$C$10,$C$11)</f>
        <v>4</v>
      </c>
      <c r="M38" s="96" t="n">
        <f aca="false">IF(C38="BLE",$C$19*$C$18,0)</f>
        <v>0</v>
      </c>
      <c r="N38" s="96" t="n">
        <f aca="false">IF(C38="4G",$C$15,0)+$C$16+$C$17</f>
        <v>2.5</v>
      </c>
      <c r="O38" s="96" t="n">
        <f aca="false">IF($G38="","RFQ",(I38*(1-$D$26)*(1+$C$9)+$C$8)+$C$12+L38+M38+K38/$C$26+N38*12+$C$21*12/12*(MIN(J38,12)/12*$C$8+(1-MIN(J38,12)/12)*((I38*(1-$D$26)*(1+$C$9)+$C$8)+L38)))</f>
        <v>256.54</v>
      </c>
      <c r="P38" s="96" t="n">
        <f aca="false">IF($G38="","RFQ",(I38*(1-$D$26)*(1+$C$9)+$C$8)+$C$12+L38+M38+K38/$C$26+N38*36+$C$21*36/12*(MIN(J38,36)/36*$C$8+(1-MIN(J38,36)/36)*((I38*(1-$D$26)*(1+$C$9)+$C$8)+L38)))</f>
        <v>328.748</v>
      </c>
      <c r="Q38" s="96" t="n">
        <f aca="false">IF($G38="","RFQ",(I38*(1-$D$27)*(1+$C$9)+$C$8)+$C$12+L38+M38+K38/$C$27+N38*12+$C$21*12/12*(MIN(J38,12)/12*$C$8+(1-MIN(J38,12)/12)*((I38*(1-$D$27)*(1+$C$9)+$C$8)+L38)))</f>
        <v>118.075</v>
      </c>
      <c r="R38" s="96" t="n">
        <f aca="false">IF($G38="","RFQ",(I38*(1-$D$27)*(1+$C$9)+$C$8)+$C$12+L38+M38+K38/$C$27+N38*36+$C$21*36/12*(MIN(J38,36)/36*$C$8+(1-MIN(J38,36)/36)*((I38*(1-$D$27)*(1+$C$9)+$C$8)+L38)))</f>
        <v>189.7286</v>
      </c>
      <c r="S38" s="96" t="n">
        <f aca="false">IF($G38="","RFQ",(I38*(1-$D$28)*(1+$C$9)+$C$8)+$C$12+L38+M38+K38/$C$28+N38*12+$C$21*12/12*(MIN(J38,12)/12*$C$8+(1-MIN(J38,12)/12)*((I38*(1-$D$28)*(1+$C$9)+$C$8)+L38)))</f>
        <v>102.61</v>
      </c>
      <c r="T38" s="96" t="n">
        <f aca="false">IF($G38="","RFQ",(I38*(1-$D$28)*(1+$C$9)+$C$8)+$C$12+L38+M38+K38/$C$28+N38*36+$C$21*36/12*(MIN(J38,36)/36*$C$8+(1-MIN(J38,36)/36)*((I38*(1-$D$28)*(1+$C$9)+$C$8)+L38)))</f>
        <v>173.7092</v>
      </c>
      <c r="U38" s="99" t="n">
        <f aca="false">IF(ISNUMBER(P38),P38*$C$26,"RFQ")</f>
        <v>32874.8</v>
      </c>
      <c r="V38" s="99" t="n">
        <f aca="false">IF(ISNUMBER(R38),R38*$C$27,"RFQ")</f>
        <v>189728.6</v>
      </c>
      <c r="W38" s="99" t="n">
        <f aca="false">IF(ISNUMBER(T38),T38*$C$28,"RFQ")</f>
        <v>868546</v>
      </c>
      <c r="X38" s="96" t="n">
        <f aca="false">N38*12</f>
        <v>30</v>
      </c>
      <c r="Y38" s="100" t="n">
        <f aca="false">IF($G38="","RFQ",INDEX(O38:T38,1,MATCH($C$22,$C$26:$C$28,0)*2))</f>
        <v>189.7286</v>
      </c>
      <c r="Z38" s="101" t="str">
        <f aca="false">IF(G38="","RFQ required — no price",IF(H38="Analyst assumption","Provisional — price is an analyst assumption (proxy "&amp;F38&amp;")","Provisional — "&amp;H38&amp;"; other inputs are assumptions"))</f>
        <v>Provisional — Historical internal figure; other inputs are assumptions</v>
      </c>
    </row>
    <row r="39" customFormat="false" ht="25.5" hidden="false" customHeight="true" outlineLevel="0" collapsed="false">
      <c r="A39" s="42" t="s">
        <v>98</v>
      </c>
      <c r="B39" s="51" t="s">
        <v>99</v>
      </c>
      <c r="C39" s="42" t="s">
        <v>298</v>
      </c>
      <c r="D39" s="95" t="str">
        <f aca="false">IF('07 Commercial'!C13="","",'07 Commercial'!C13)</f>
        <v/>
      </c>
      <c r="E39" s="88" t="str">
        <f aca="false">'07 Commercial'!E13</f>
        <v>Unknown</v>
      </c>
      <c r="F39" s="26" t="str">
        <f aca="false">IF('07 Commercial'!H13="","",'07 Commercial'!H13)</f>
        <v>M05</v>
      </c>
      <c r="G39" s="96" t="n">
        <f aca="false">IF(D39&lt;&gt;"",D39,IF(AND($C$7=1,F39&lt;&gt;""),INDEX($D$32:$D$44,MATCH(F39,$A$32:$A$44,0)),""))</f>
        <v>23.25</v>
      </c>
      <c r="H39" s="97" t="str">
        <f aca="false">IF(D39&lt;&gt;"",E39,IF(G39&lt;&gt;"","Analyst assumption","Unknown"))</f>
        <v>Analyst assumption</v>
      </c>
      <c r="I39" s="96" t="n">
        <f aca="false">IF(G39="","",G39*$C$6)</f>
        <v>20.925</v>
      </c>
      <c r="J39" s="98" t="n">
        <f aca="false">IF('07 Commercial'!R13="",$C$20,'07 Commercial'!R13)</f>
        <v>12</v>
      </c>
      <c r="K39" s="99" t="n">
        <f aca="false">IF(C39="4G",$C$13,$C$14)</f>
        <v>25000</v>
      </c>
      <c r="L39" s="96" t="n">
        <f aca="false">IF(C39="4G",$C$10,$C$11)</f>
        <v>2</v>
      </c>
      <c r="M39" s="96" t="n">
        <f aca="false">IF(C39="BLE",$C$19*$C$18,0)</f>
        <v>12.6</v>
      </c>
      <c r="N39" s="96" t="n">
        <f aca="false">IF(C39="4G",$C$15,0)+$C$16+$C$17</f>
        <v>0</v>
      </c>
      <c r="O39" s="96" t="n">
        <f aca="false">IF($G39="","RFQ",(I39*(1-$D$26)*(1+$C$9)+$C$8)+$C$12+L39+M39+K39/$C$26+N39*12+$C$21*12/12*(MIN(J39,12)/12*$C$8+(1-MIN(J39,12)/12)*((I39*(1-$D$26)*(1+$C$9)+$C$8)+L39)))</f>
        <v>288.765</v>
      </c>
      <c r="P39" s="96" t="n">
        <f aca="false">IF($G39="","RFQ",(I39*(1-$D$26)*(1+$C$9)+$C$8)+$C$12+L39+M39+K39/$C$26+N39*36+$C$21*36/12*(MIN(J39,36)/36*$C$8+(1-MIN(J39,36)/36)*((I39*(1-$D$26)*(1+$C$9)+$C$8)+L39)))</f>
        <v>292.913</v>
      </c>
      <c r="Q39" s="96" t="n">
        <f aca="false">IF($G39="","RFQ",(I39*(1-$D$27)*(1+$C$9)+$C$8)+$C$12+L39+M39+K39/$C$27+N39*12+$C$21*12/12*(MIN(J39,12)/12*$C$8+(1-MIN(J39,12)/12)*((I39*(1-$D$27)*(1+$C$9)+$C$8)+L39)))</f>
        <v>62.71875</v>
      </c>
      <c r="R39" s="96" t="n">
        <f aca="false">IF($G39="","RFQ",(I39*(1-$D$27)*(1+$C$9)+$C$8)+$C$12+L39+M39+K39/$C$27+N39*36+$C$21*36/12*(MIN(J39,36)/36*$C$8+(1-MIN(J39,36)/36)*((I39*(1-$D$27)*(1+$C$9)+$C$8)+L39)))</f>
        <v>66.69935</v>
      </c>
      <c r="S39" s="96" t="n">
        <f aca="false">IF($G39="","RFQ",(I39*(1-$D$28)*(1+$C$9)+$C$8)+$C$12+L39+M39+K39/$C$28+N39*12+$C$21*12/12*(MIN(J39,12)/12*$C$8+(1-MIN(J39,12)/12)*((I39*(1-$D$28)*(1+$C$9)+$C$8)+L39)))</f>
        <v>41.6725</v>
      </c>
      <c r="T39" s="96" t="n">
        <f aca="false">IF($G39="","RFQ",(I39*(1-$D$28)*(1+$C$9)+$C$8)+$C$12+L39+M39+K39/$C$28+N39*36+$C$21*36/12*(MIN(J39,36)/36*$C$8+(1-MIN(J39,36)/36)*((I39*(1-$D$28)*(1+$C$9)+$C$8)+L39)))</f>
        <v>45.4857</v>
      </c>
      <c r="U39" s="99" t="n">
        <f aca="false">IF(ISNUMBER(P39),P39*$C$26,"RFQ")</f>
        <v>29291.3</v>
      </c>
      <c r="V39" s="99" t="n">
        <f aca="false">IF(ISNUMBER(R39),R39*$C$27,"RFQ")</f>
        <v>66699.35</v>
      </c>
      <c r="W39" s="99" t="n">
        <f aca="false">IF(ISNUMBER(T39),T39*$C$28,"RFQ")</f>
        <v>227428.5</v>
      </c>
      <c r="X39" s="96" t="n">
        <f aca="false">N39*12</f>
        <v>0</v>
      </c>
      <c r="Y39" s="100" t="n">
        <f aca="false">IF($G39="","RFQ",INDEX(O39:T39,1,MATCH($C$22,$C$26:$C$28,0)*2))</f>
        <v>66.69935</v>
      </c>
      <c r="Z39" s="101" t="str">
        <f aca="false">IF(G39="","RFQ required — no price",IF(H39="Analyst assumption","Provisional — price is an analyst assumption (proxy "&amp;F39&amp;")","Provisional — "&amp;H39&amp;"; other inputs are assumptions"))</f>
        <v>Provisional — price is an analyst assumption (proxy M05)</v>
      </c>
    </row>
    <row r="40" customFormat="false" ht="25.5" hidden="false" customHeight="true" outlineLevel="0" collapsed="false">
      <c r="A40" s="42" t="s">
        <v>106</v>
      </c>
      <c r="B40" s="51" t="s">
        <v>107</v>
      </c>
      <c r="C40" s="42" t="s">
        <v>309</v>
      </c>
      <c r="D40" s="95" t="str">
        <f aca="false">IF('07 Commercial'!C14="","",'07 Commercial'!C14)</f>
        <v/>
      </c>
      <c r="E40" s="88" t="str">
        <f aca="false">'07 Commercial'!E14</f>
        <v>Unknown</v>
      </c>
      <c r="F40" s="26" t="str">
        <f aca="false">IF('07 Commercial'!H14="","",'07 Commercial'!H14)</f>
        <v>M07</v>
      </c>
      <c r="G40" s="96" t="n">
        <f aca="false">IF(D40&lt;&gt;"",D40,IF(AND($C$7=1,F40&lt;&gt;""),INDEX($D$32:$D$44,MATCH(F40,$A$32:$A$44,0)),""))</f>
        <v>77</v>
      </c>
      <c r="H40" s="97" t="str">
        <f aca="false">IF(D40&lt;&gt;"",E40,IF(G40&lt;&gt;"","Analyst assumption","Unknown"))</f>
        <v>Analyst assumption</v>
      </c>
      <c r="I40" s="96" t="n">
        <f aca="false">IF(G40="","",G40*$C$6)</f>
        <v>69.3</v>
      </c>
      <c r="J40" s="98" t="n">
        <f aca="false">IF('07 Commercial'!R14="",$C$20,'07 Commercial'!R14)</f>
        <v>12</v>
      </c>
      <c r="K40" s="99" t="n">
        <f aca="false">IF(C40="4G",$C$13,$C$14)</f>
        <v>15000</v>
      </c>
      <c r="L40" s="96" t="n">
        <f aca="false">IF(C40="4G",$C$10,$C$11)</f>
        <v>4</v>
      </c>
      <c r="M40" s="96" t="n">
        <f aca="false">IF(C40="BLE",$C$19*$C$18,0)</f>
        <v>0</v>
      </c>
      <c r="N40" s="96" t="n">
        <f aca="false">IF(C40="4G",$C$15,0)+$C$16+$C$17</f>
        <v>2.5</v>
      </c>
      <c r="O40" s="96" t="n">
        <f aca="false">IF($G40="","RFQ",(I40*(1-$D$26)*(1+$C$9)+$C$8)+$C$12+L40+M40+K40/$C$26+N40*12+$C$21*12/12*(MIN(J40,12)/12*$C$8+(1-MIN(J40,12)/12)*((I40*(1-$D$26)*(1+$C$9)+$C$8)+L40)))</f>
        <v>256.54</v>
      </c>
      <c r="P40" s="96" t="n">
        <f aca="false">IF($G40="","RFQ",(I40*(1-$D$26)*(1+$C$9)+$C$8)+$C$12+L40+M40+K40/$C$26+N40*36+$C$21*36/12*(MIN(J40,36)/36*$C$8+(1-MIN(J40,36)/36)*((I40*(1-$D$26)*(1+$C$9)+$C$8)+L40)))</f>
        <v>328.748</v>
      </c>
      <c r="Q40" s="96" t="n">
        <f aca="false">IF($G40="","RFQ",(I40*(1-$D$27)*(1+$C$9)+$C$8)+$C$12+L40+M40+K40/$C$27+N40*12+$C$21*12/12*(MIN(J40,12)/12*$C$8+(1-MIN(J40,12)/12)*((I40*(1-$D$27)*(1+$C$9)+$C$8)+L40)))</f>
        <v>118.075</v>
      </c>
      <c r="R40" s="96" t="n">
        <f aca="false">IF($G40="","RFQ",(I40*(1-$D$27)*(1+$C$9)+$C$8)+$C$12+L40+M40+K40/$C$27+N40*36+$C$21*36/12*(MIN(J40,36)/36*$C$8+(1-MIN(J40,36)/36)*((I40*(1-$D$27)*(1+$C$9)+$C$8)+L40)))</f>
        <v>189.7286</v>
      </c>
      <c r="S40" s="96" t="n">
        <f aca="false">IF($G40="","RFQ",(I40*(1-$D$28)*(1+$C$9)+$C$8)+$C$12+L40+M40+K40/$C$28+N40*12+$C$21*12/12*(MIN(J40,12)/12*$C$8+(1-MIN(J40,12)/12)*((I40*(1-$D$28)*(1+$C$9)+$C$8)+L40)))</f>
        <v>102.61</v>
      </c>
      <c r="T40" s="96" t="n">
        <f aca="false">IF($G40="","RFQ",(I40*(1-$D$28)*(1+$C$9)+$C$8)+$C$12+L40+M40+K40/$C$28+N40*36+$C$21*36/12*(MIN(J40,36)/36*$C$8+(1-MIN(J40,36)/36)*((I40*(1-$D$28)*(1+$C$9)+$C$8)+L40)))</f>
        <v>173.7092</v>
      </c>
      <c r="U40" s="99" t="n">
        <f aca="false">IF(ISNUMBER(P40),P40*$C$26,"RFQ")</f>
        <v>32874.8</v>
      </c>
      <c r="V40" s="99" t="n">
        <f aca="false">IF(ISNUMBER(R40),R40*$C$27,"RFQ")</f>
        <v>189728.6</v>
      </c>
      <c r="W40" s="99" t="n">
        <f aca="false">IF(ISNUMBER(T40),T40*$C$28,"RFQ")</f>
        <v>868546</v>
      </c>
      <c r="X40" s="96" t="n">
        <f aca="false">N40*12</f>
        <v>30</v>
      </c>
      <c r="Y40" s="100" t="n">
        <f aca="false">IF($G40="","RFQ",INDEX(O40:T40,1,MATCH($C$22,$C$26:$C$28,0)*2))</f>
        <v>189.7286</v>
      </c>
      <c r="Z40" s="101" t="str">
        <f aca="false">IF(G40="","RFQ required — no price",IF(H40="Analyst assumption","Provisional — price is an analyst assumption (proxy "&amp;F40&amp;")","Provisional — "&amp;H40&amp;"; other inputs are assumptions"))</f>
        <v>Provisional — price is an analyst assumption (proxy M07)</v>
      </c>
    </row>
    <row r="41" customFormat="false" ht="25.5" hidden="false" customHeight="true" outlineLevel="0" collapsed="false">
      <c r="A41" s="42" t="s">
        <v>112</v>
      </c>
      <c r="B41" s="51" t="s">
        <v>113</v>
      </c>
      <c r="C41" s="42" t="s">
        <v>309</v>
      </c>
      <c r="D41" s="95" t="str">
        <f aca="false">IF('07 Commercial'!C15="","",'07 Commercial'!C15)</f>
        <v/>
      </c>
      <c r="E41" s="88" t="str">
        <f aca="false">'07 Commercial'!E15</f>
        <v>Unknown</v>
      </c>
      <c r="F41" s="26" t="str">
        <f aca="false">IF('07 Commercial'!H15="","",'07 Commercial'!H15)</f>
        <v>M07</v>
      </c>
      <c r="G41" s="96" t="n">
        <f aca="false">IF(D41&lt;&gt;"",D41,IF(AND($C$7=1,F41&lt;&gt;""),INDEX($D$32:$D$44,MATCH(F41,$A$32:$A$44,0)),""))</f>
        <v>77</v>
      </c>
      <c r="H41" s="97" t="str">
        <f aca="false">IF(D41&lt;&gt;"",E41,IF(G41&lt;&gt;"","Analyst assumption","Unknown"))</f>
        <v>Analyst assumption</v>
      </c>
      <c r="I41" s="96" t="n">
        <f aca="false">IF(G41="","",G41*$C$6)</f>
        <v>69.3</v>
      </c>
      <c r="J41" s="98" t="n">
        <f aca="false">IF('07 Commercial'!R15="",$C$20,'07 Commercial'!R15)</f>
        <v>12</v>
      </c>
      <c r="K41" s="99" t="n">
        <f aca="false">IF(C41="4G",$C$13,$C$14)</f>
        <v>15000</v>
      </c>
      <c r="L41" s="96" t="n">
        <f aca="false">IF(C41="4G",$C$10,$C$11)</f>
        <v>4</v>
      </c>
      <c r="M41" s="96" t="n">
        <f aca="false">IF(C41="BLE",$C$19*$C$18,0)</f>
        <v>0</v>
      </c>
      <c r="N41" s="96" t="n">
        <f aca="false">IF(C41="4G",$C$15,0)+$C$16+$C$17</f>
        <v>2.5</v>
      </c>
      <c r="O41" s="96" t="n">
        <f aca="false">IF($G41="","RFQ",(I41*(1-$D$26)*(1+$C$9)+$C$8)+$C$12+L41+M41+K41/$C$26+N41*12+$C$21*12/12*(MIN(J41,12)/12*$C$8+(1-MIN(J41,12)/12)*((I41*(1-$D$26)*(1+$C$9)+$C$8)+L41)))</f>
        <v>256.54</v>
      </c>
      <c r="P41" s="96" t="n">
        <f aca="false">IF($G41="","RFQ",(I41*(1-$D$26)*(1+$C$9)+$C$8)+$C$12+L41+M41+K41/$C$26+N41*36+$C$21*36/12*(MIN(J41,36)/36*$C$8+(1-MIN(J41,36)/36)*((I41*(1-$D$26)*(1+$C$9)+$C$8)+L41)))</f>
        <v>328.748</v>
      </c>
      <c r="Q41" s="96" t="n">
        <f aca="false">IF($G41="","RFQ",(I41*(1-$D$27)*(1+$C$9)+$C$8)+$C$12+L41+M41+K41/$C$27+N41*12+$C$21*12/12*(MIN(J41,12)/12*$C$8+(1-MIN(J41,12)/12)*((I41*(1-$D$27)*(1+$C$9)+$C$8)+L41)))</f>
        <v>118.075</v>
      </c>
      <c r="R41" s="96" t="n">
        <f aca="false">IF($G41="","RFQ",(I41*(1-$D$27)*(1+$C$9)+$C$8)+$C$12+L41+M41+K41/$C$27+N41*36+$C$21*36/12*(MIN(J41,36)/36*$C$8+(1-MIN(J41,36)/36)*((I41*(1-$D$27)*(1+$C$9)+$C$8)+L41)))</f>
        <v>189.7286</v>
      </c>
      <c r="S41" s="96" t="n">
        <f aca="false">IF($G41="","RFQ",(I41*(1-$D$28)*(1+$C$9)+$C$8)+$C$12+L41+M41+K41/$C$28+N41*12+$C$21*12/12*(MIN(J41,12)/12*$C$8+(1-MIN(J41,12)/12)*((I41*(1-$D$28)*(1+$C$9)+$C$8)+L41)))</f>
        <v>102.61</v>
      </c>
      <c r="T41" s="96" t="n">
        <f aca="false">IF($G41="","RFQ",(I41*(1-$D$28)*(1+$C$9)+$C$8)+$C$12+L41+M41+K41/$C$28+N41*36+$C$21*36/12*(MIN(J41,36)/36*$C$8+(1-MIN(J41,36)/36)*((I41*(1-$D$28)*(1+$C$9)+$C$8)+L41)))</f>
        <v>173.7092</v>
      </c>
      <c r="U41" s="99" t="n">
        <f aca="false">IF(ISNUMBER(P41),P41*$C$26,"RFQ")</f>
        <v>32874.8</v>
      </c>
      <c r="V41" s="99" t="n">
        <f aca="false">IF(ISNUMBER(R41),R41*$C$27,"RFQ")</f>
        <v>189728.6</v>
      </c>
      <c r="W41" s="99" t="n">
        <f aca="false">IF(ISNUMBER(T41),T41*$C$28,"RFQ")</f>
        <v>868546</v>
      </c>
      <c r="X41" s="96" t="n">
        <f aca="false">N41*12</f>
        <v>30</v>
      </c>
      <c r="Y41" s="100" t="n">
        <f aca="false">IF($G41="","RFQ",INDEX(O41:T41,1,MATCH($C$22,$C$26:$C$28,0)*2))</f>
        <v>189.7286</v>
      </c>
      <c r="Z41" s="101" t="str">
        <f aca="false">IF(G41="","RFQ required — no price",IF(H41="Analyst assumption","Provisional — price is an analyst assumption (proxy "&amp;F41&amp;")","Provisional — "&amp;H41&amp;"; other inputs are assumptions"))</f>
        <v>Provisional — price is an analyst assumption (proxy M07)</v>
      </c>
    </row>
    <row r="42" customFormat="false" ht="25.5" hidden="false" customHeight="true" outlineLevel="0" collapsed="false">
      <c r="A42" s="42" t="s">
        <v>117</v>
      </c>
      <c r="B42" s="51" t="s">
        <v>118</v>
      </c>
      <c r="C42" s="42" t="s">
        <v>309</v>
      </c>
      <c r="D42" s="95" t="str">
        <f aca="false">IF('07 Commercial'!C16="","",'07 Commercial'!C16)</f>
        <v/>
      </c>
      <c r="E42" s="88" t="str">
        <f aca="false">'07 Commercial'!E16</f>
        <v>Unknown</v>
      </c>
      <c r="F42" s="26" t="str">
        <f aca="false">IF('07 Commercial'!H16="","",'07 Commercial'!H16)</f>
        <v>M03</v>
      </c>
      <c r="G42" s="96" t="n">
        <f aca="false">IF(D42&lt;&gt;"",D42,IF(AND($C$7=1,F42&lt;&gt;""),INDEX($D$32:$D$44,MATCH(F42,$A$32:$A$44,0)),""))</f>
        <v>27</v>
      </c>
      <c r="H42" s="97" t="str">
        <f aca="false">IF(D42&lt;&gt;"",E42,IF(G42&lt;&gt;"","Analyst assumption","Unknown"))</f>
        <v>Analyst assumption</v>
      </c>
      <c r="I42" s="96" t="n">
        <f aca="false">IF(G42="","",G42*$C$6)</f>
        <v>24.3</v>
      </c>
      <c r="J42" s="98" t="n">
        <f aca="false">IF('07 Commercial'!R16="",$C$20,'07 Commercial'!R16)</f>
        <v>12</v>
      </c>
      <c r="K42" s="99" t="n">
        <f aca="false">IF(C42="4G",$C$13,$C$14)</f>
        <v>15000</v>
      </c>
      <c r="L42" s="96" t="n">
        <f aca="false">IF(C42="4G",$C$10,$C$11)</f>
        <v>4</v>
      </c>
      <c r="M42" s="96" t="n">
        <f aca="false">IF(C42="BLE",$C$19*$C$18,0)</f>
        <v>0</v>
      </c>
      <c r="N42" s="96" t="n">
        <f aca="false">IF(C42="4G",$C$15,0)+$C$16+$C$17</f>
        <v>2.5</v>
      </c>
      <c r="O42" s="96" t="n">
        <f aca="false">IF($G42="","RFQ",(I42*(1-$D$26)*(1+$C$9)+$C$8)+$C$12+L42+M42+K42/$C$26+N42*12+$C$21*12/12*(MIN(J42,12)/12*$C$8+(1-MIN(J42,12)/12)*((I42*(1-$D$26)*(1+$C$9)+$C$8)+L42)))</f>
        <v>211.54</v>
      </c>
      <c r="P42" s="96" t="n">
        <f aca="false">IF($G42="","RFQ",(I42*(1-$D$26)*(1+$C$9)+$C$8)+$C$12+L42+M42+K42/$C$26+N42*36+$C$21*36/12*(MIN(J42,36)/36*$C$8+(1-MIN(J42,36)/36)*((I42*(1-$D$26)*(1+$C$9)+$C$8)+L42)))</f>
        <v>276.548</v>
      </c>
      <c r="Q42" s="96" t="n">
        <f aca="false">IF($G42="","RFQ",(I42*(1-$D$27)*(1+$C$9)+$C$8)+$C$12+L42+M42+K42/$C$27+N42*12+$C$21*12/12*(MIN(J42,12)/12*$C$8+(1-MIN(J42,12)/12)*((I42*(1-$D$27)*(1+$C$9)+$C$8)+L42)))</f>
        <v>75.325</v>
      </c>
      <c r="R42" s="96" t="n">
        <f aca="false">IF($G42="","RFQ",(I42*(1-$D$27)*(1+$C$9)+$C$8)+$C$12+L42+M42+K42/$C$27+N42*36+$C$21*36/12*(MIN(J42,36)/36*$C$8+(1-MIN(J42,36)/36)*((I42*(1-$D$27)*(1+$C$9)+$C$8)+L42)))</f>
        <v>140.1386</v>
      </c>
      <c r="S42" s="96" t="n">
        <f aca="false">IF($G42="","RFQ",(I42*(1-$D$28)*(1+$C$9)+$C$8)+$C$12+L42+M42+K42/$C$28+N42*12+$C$21*12/12*(MIN(J42,12)/12*$C$8+(1-MIN(J42,12)/12)*((I42*(1-$D$28)*(1+$C$9)+$C$8)+L42)))</f>
        <v>62.11</v>
      </c>
      <c r="T42" s="96" t="n">
        <f aca="false">IF($G42="","RFQ",(I42*(1-$D$28)*(1+$C$9)+$C$8)+$C$12+L42+M42+K42/$C$28+N42*36+$C$21*36/12*(MIN(J42,36)/36*$C$8+(1-MIN(J42,36)/36)*((I42*(1-$D$28)*(1+$C$9)+$C$8)+L42)))</f>
        <v>126.7292</v>
      </c>
      <c r="U42" s="99" t="n">
        <f aca="false">IF(ISNUMBER(P42),P42*$C$26,"RFQ")</f>
        <v>27654.8</v>
      </c>
      <c r="V42" s="99" t="n">
        <f aca="false">IF(ISNUMBER(R42),R42*$C$27,"RFQ")</f>
        <v>140138.6</v>
      </c>
      <c r="W42" s="99" t="n">
        <f aca="false">IF(ISNUMBER(T42),T42*$C$28,"RFQ")</f>
        <v>633646</v>
      </c>
      <c r="X42" s="96" t="n">
        <f aca="false">N42*12</f>
        <v>30</v>
      </c>
      <c r="Y42" s="100" t="n">
        <f aca="false">IF($G42="","RFQ",INDEX(O42:T42,1,MATCH($C$22,$C$26:$C$28,0)*2))</f>
        <v>140.1386</v>
      </c>
      <c r="Z42" s="101" t="str">
        <f aca="false">IF(G42="","RFQ required — no price",IF(H42="Analyst assumption","Provisional — price is an analyst assumption (proxy "&amp;F42&amp;")","Provisional — "&amp;H42&amp;"; other inputs are assumptions"))</f>
        <v>Provisional — price is an analyst assumption (proxy M03)</v>
      </c>
    </row>
    <row r="43" customFormat="false" ht="25.5" hidden="false" customHeight="true" outlineLevel="0" collapsed="false">
      <c r="A43" s="42" t="s">
        <v>122</v>
      </c>
      <c r="B43" s="51" t="s">
        <v>123</v>
      </c>
      <c r="C43" s="42" t="s">
        <v>309</v>
      </c>
      <c r="D43" s="95" t="str">
        <f aca="false">IF('07 Commercial'!C17="","",'07 Commercial'!C17)</f>
        <v/>
      </c>
      <c r="E43" s="88" t="str">
        <f aca="false">'07 Commercial'!E17</f>
        <v>Unknown</v>
      </c>
      <c r="F43" s="26" t="str">
        <f aca="false">IF('07 Commercial'!H17="","",'07 Commercial'!H17)</f>
        <v>M13</v>
      </c>
      <c r="G43" s="96" t="n">
        <f aca="false">IF(D43&lt;&gt;"",D43,IF(AND($C$7=1,F43&lt;&gt;""),INDEX($D$32:$D$44,MATCH(F43,$A$32:$A$44,0)),""))</f>
        <v>24</v>
      </c>
      <c r="H43" s="97" t="str">
        <f aca="false">IF(D43&lt;&gt;"",E43,IF(G43&lt;&gt;"","Analyst assumption","Unknown"))</f>
        <v>Analyst assumption</v>
      </c>
      <c r="I43" s="96" t="n">
        <f aca="false">IF(G43="","",G43*$C$6)</f>
        <v>21.6</v>
      </c>
      <c r="J43" s="98" t="n">
        <f aca="false">IF('07 Commercial'!R17="",$C$20,'07 Commercial'!R17)</f>
        <v>12</v>
      </c>
      <c r="K43" s="99" t="n">
        <f aca="false">IF(C43="4G",$C$13,$C$14)</f>
        <v>15000</v>
      </c>
      <c r="L43" s="96" t="n">
        <f aca="false">IF(C43="4G",$C$10,$C$11)</f>
        <v>4</v>
      </c>
      <c r="M43" s="96" t="n">
        <f aca="false">IF(C43="BLE",$C$19*$C$18,0)</f>
        <v>0</v>
      </c>
      <c r="N43" s="96" t="n">
        <f aca="false">IF(C43="4G",$C$15,0)+$C$16+$C$17</f>
        <v>2.5</v>
      </c>
      <c r="O43" s="96" t="n">
        <f aca="false">IF($G43="","RFQ",(I43*(1-$D$26)*(1+$C$9)+$C$8)+$C$12+L43+M43+K43/$C$26+N43*12+$C$21*12/12*(MIN(J43,12)/12*$C$8+(1-MIN(J43,12)/12)*((I43*(1-$D$26)*(1+$C$9)+$C$8)+L43)))</f>
        <v>208.84</v>
      </c>
      <c r="P43" s="96" t="n">
        <f aca="false">IF($G43="","RFQ",(I43*(1-$D$26)*(1+$C$9)+$C$8)+$C$12+L43+M43+K43/$C$26+N43*36+$C$21*36/12*(MIN(J43,36)/36*$C$8+(1-MIN(J43,36)/36)*((I43*(1-$D$26)*(1+$C$9)+$C$8)+L43)))</f>
        <v>273.416</v>
      </c>
      <c r="Q43" s="96" t="n">
        <f aca="false">IF($G43="","RFQ",(I43*(1-$D$27)*(1+$C$9)+$C$8)+$C$12+L43+M43+K43/$C$27+N43*12+$C$21*12/12*(MIN(J43,12)/12*$C$8+(1-MIN(J43,12)/12)*((I43*(1-$D$27)*(1+$C$9)+$C$8)+L43)))</f>
        <v>72.76</v>
      </c>
      <c r="R43" s="96" t="n">
        <f aca="false">IF($G43="","RFQ",(I43*(1-$D$27)*(1+$C$9)+$C$8)+$C$12+L43+M43+K43/$C$27+N43*36+$C$21*36/12*(MIN(J43,36)/36*$C$8+(1-MIN(J43,36)/36)*((I43*(1-$D$27)*(1+$C$9)+$C$8)+L43)))</f>
        <v>137.1632</v>
      </c>
      <c r="S43" s="96" t="n">
        <f aca="false">IF($G43="","RFQ",(I43*(1-$D$28)*(1+$C$9)+$C$8)+$C$12+L43+M43+K43/$C$28+N43*12+$C$21*12/12*(MIN(J43,12)/12*$C$8+(1-MIN(J43,12)/12)*((I43*(1-$D$28)*(1+$C$9)+$C$8)+L43)))</f>
        <v>59.68</v>
      </c>
      <c r="T43" s="96" t="n">
        <f aca="false">IF($G43="","RFQ",(I43*(1-$D$28)*(1+$C$9)+$C$8)+$C$12+L43+M43+K43/$C$28+N43*36+$C$21*36/12*(MIN(J43,36)/36*$C$8+(1-MIN(J43,36)/36)*((I43*(1-$D$28)*(1+$C$9)+$C$8)+L43)))</f>
        <v>123.9104</v>
      </c>
      <c r="U43" s="99" t="n">
        <f aca="false">IF(ISNUMBER(P43),P43*$C$26,"RFQ")</f>
        <v>27341.6</v>
      </c>
      <c r="V43" s="99" t="n">
        <f aca="false">IF(ISNUMBER(R43),R43*$C$27,"RFQ")</f>
        <v>137163.2</v>
      </c>
      <c r="W43" s="99" t="n">
        <f aca="false">IF(ISNUMBER(T43),T43*$C$28,"RFQ")</f>
        <v>619552</v>
      </c>
      <c r="X43" s="96" t="n">
        <f aca="false">N43*12</f>
        <v>30</v>
      </c>
      <c r="Y43" s="100" t="n">
        <f aca="false">IF($G43="","RFQ",INDEX(O43:T43,1,MATCH($C$22,$C$26:$C$28,0)*2))</f>
        <v>137.1632</v>
      </c>
      <c r="Z43" s="101" t="str">
        <f aca="false">IF(G43="","RFQ required — no price",IF(H43="Analyst assumption","Provisional — price is an analyst assumption (proxy "&amp;F43&amp;")","Provisional — "&amp;H43&amp;"; other inputs are assumptions"))</f>
        <v>Provisional — price is an analyst assumption (proxy M13)</v>
      </c>
    </row>
    <row r="44" customFormat="false" ht="25.5" hidden="false" customHeight="true" outlineLevel="0" collapsed="false">
      <c r="A44" s="42" t="s">
        <v>127</v>
      </c>
      <c r="B44" s="51" t="s">
        <v>128</v>
      </c>
      <c r="C44" s="42" t="s">
        <v>309</v>
      </c>
      <c r="D44" s="95" t="n">
        <f aca="false">IF('07 Commercial'!C18="","",'07 Commercial'!C18)</f>
        <v>24</v>
      </c>
      <c r="E44" s="88" t="str">
        <f aca="false">'07 Commercial'!E18</f>
        <v>Public marketplace price</v>
      </c>
      <c r="F44" s="26" t="str">
        <f aca="false">IF('07 Commercial'!H18="","",'07 Commercial'!H18)</f>
        <v/>
      </c>
      <c r="G44" s="96" t="n">
        <f aca="false">IF(D44&lt;&gt;"",D44,IF(AND($C$7=1,F44&lt;&gt;""),INDEX($D$32:$D$44,MATCH(F44,$A$32:$A$44,0)),""))</f>
        <v>24</v>
      </c>
      <c r="H44" s="97" t="str">
        <f aca="false">IF(D44&lt;&gt;"",E44,IF(G44&lt;&gt;"","Analyst assumption","Unknown"))</f>
        <v>Public marketplace price</v>
      </c>
      <c r="I44" s="96" t="n">
        <f aca="false">IF(G44="","",G44*$C$6)</f>
        <v>21.6</v>
      </c>
      <c r="J44" s="98" t="n">
        <f aca="false">IF('07 Commercial'!R18="",$C$20,'07 Commercial'!R18)</f>
        <v>12</v>
      </c>
      <c r="K44" s="99" t="n">
        <f aca="false">IF(C44="4G",$C$13,$C$14)</f>
        <v>15000</v>
      </c>
      <c r="L44" s="96" t="n">
        <f aca="false">IF(C44="4G",$C$10,$C$11)</f>
        <v>4</v>
      </c>
      <c r="M44" s="96" t="n">
        <f aca="false">IF(C44="BLE",$C$19*$C$18,0)</f>
        <v>0</v>
      </c>
      <c r="N44" s="96" t="n">
        <f aca="false">IF(C44="4G",$C$15,0)+$C$16+$C$17</f>
        <v>2.5</v>
      </c>
      <c r="O44" s="96" t="n">
        <f aca="false">IF($G44="","RFQ",(I44*(1-$D$26)*(1+$C$9)+$C$8)+$C$12+L44+M44+K44/$C$26+N44*12+$C$21*12/12*(MIN(J44,12)/12*$C$8+(1-MIN(J44,12)/12)*((I44*(1-$D$26)*(1+$C$9)+$C$8)+L44)))</f>
        <v>208.84</v>
      </c>
      <c r="P44" s="96" t="n">
        <f aca="false">IF($G44="","RFQ",(I44*(1-$D$26)*(1+$C$9)+$C$8)+$C$12+L44+M44+K44/$C$26+N44*36+$C$21*36/12*(MIN(J44,36)/36*$C$8+(1-MIN(J44,36)/36)*((I44*(1-$D$26)*(1+$C$9)+$C$8)+L44)))</f>
        <v>273.416</v>
      </c>
      <c r="Q44" s="96" t="n">
        <f aca="false">IF($G44="","RFQ",(I44*(1-$D$27)*(1+$C$9)+$C$8)+$C$12+L44+M44+K44/$C$27+N44*12+$C$21*12/12*(MIN(J44,12)/12*$C$8+(1-MIN(J44,12)/12)*((I44*(1-$D$27)*(1+$C$9)+$C$8)+L44)))</f>
        <v>72.76</v>
      </c>
      <c r="R44" s="96" t="n">
        <f aca="false">IF($G44="","RFQ",(I44*(1-$D$27)*(1+$C$9)+$C$8)+$C$12+L44+M44+K44/$C$27+N44*36+$C$21*36/12*(MIN(J44,36)/36*$C$8+(1-MIN(J44,36)/36)*((I44*(1-$D$27)*(1+$C$9)+$C$8)+L44)))</f>
        <v>137.1632</v>
      </c>
      <c r="S44" s="96" t="n">
        <f aca="false">IF($G44="","RFQ",(I44*(1-$D$28)*(1+$C$9)+$C$8)+$C$12+L44+M44+K44/$C$28+N44*12+$C$21*12/12*(MIN(J44,12)/12*$C$8+(1-MIN(J44,12)/12)*((I44*(1-$D$28)*(1+$C$9)+$C$8)+L44)))</f>
        <v>59.68</v>
      </c>
      <c r="T44" s="96" t="n">
        <f aca="false">IF($G44="","RFQ",(I44*(1-$D$28)*(1+$C$9)+$C$8)+$C$12+L44+M44+K44/$C$28+N44*36+$C$21*36/12*(MIN(J44,36)/36*$C$8+(1-MIN(J44,36)/36)*((I44*(1-$D$28)*(1+$C$9)+$C$8)+L44)))</f>
        <v>123.9104</v>
      </c>
      <c r="U44" s="99" t="n">
        <f aca="false">IF(ISNUMBER(P44),P44*$C$26,"RFQ")</f>
        <v>27341.6</v>
      </c>
      <c r="V44" s="99" t="n">
        <f aca="false">IF(ISNUMBER(R44),R44*$C$27,"RFQ")</f>
        <v>137163.2</v>
      </c>
      <c r="W44" s="99" t="n">
        <f aca="false">IF(ISNUMBER(T44),T44*$C$28,"RFQ")</f>
        <v>619552</v>
      </c>
      <c r="X44" s="96" t="n">
        <f aca="false">N44*12</f>
        <v>30</v>
      </c>
      <c r="Y44" s="100" t="n">
        <f aca="false">IF($G44="","RFQ",INDEX(O44:T44,1,MATCH($C$22,$C$26:$C$28,0)*2))</f>
        <v>137.1632</v>
      </c>
      <c r="Z44" s="101" t="str">
        <f aca="false">IF(G44="","RFQ required — no price",IF(H44="Analyst assumption","Provisional — price is an analyst assumption (proxy "&amp;F44&amp;")","Provisional — "&amp;H44&amp;"; other inputs are assumptions"))</f>
        <v>Provisional — Public marketplace price; other inputs are assumptions</v>
      </c>
    </row>
    <row r="46" customFormat="false" ht="30" hidden="false" customHeight="true" outlineLevel="0" collapsed="false">
      <c r="A46" s="27" t="s">
        <v>1170</v>
      </c>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sheetData>
  <mergeCells count="1">
    <mergeCell ref="A46:Z46"/>
  </mergeCells>
  <conditionalFormatting sqref="Z32:Z44">
    <cfRule type="expression" priority="2" aboveAverage="0" equalAverage="0" bottom="0" percent="0" rank="0" text="" dxfId="2">
      <formula>ISNUMBER(SEARCH("assumption",Z32))</formula>
    </cfRule>
    <cfRule type="expression" priority="3" aboveAverage="0" equalAverage="0" bottom="0" percent="0" rank="0" text="" dxfId="0">
      <formula>ISNUMBER(SEARCH("RFQ",Z32))</formula>
    </cfRule>
  </conditionalFormatting>
  <dataValidations count="1">
    <dataValidation allowBlank="true" errorStyle="stop" operator="between" showDropDown="false" showErrorMessage="false" showInputMessage="false" sqref="C22" type="list">
      <formula1>"100,1000,5000"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Q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4"/>
    <col collapsed="false" customWidth="true" hidden="false" outlineLevel="0" max="4" min="4" style="0" width="30"/>
    <col collapsed="false" customWidth="true" hidden="false" outlineLevel="0" max="5" min="5" style="0" width="9"/>
    <col collapsed="false" customWidth="true" hidden="false" outlineLevel="0" max="6" min="6" style="0" width="20"/>
    <col collapsed="false" customWidth="true" hidden="false" outlineLevel="0" max="7" min="7" style="0" width="10"/>
    <col collapsed="false" customWidth="true" hidden="false" outlineLevel="0" max="8" min="8" style="0" width="22"/>
    <col collapsed="false" customWidth="true" hidden="false" outlineLevel="0" max="9" min="9" style="0" width="10"/>
    <col collapsed="false" customWidth="true" hidden="false" outlineLevel="0" max="10" min="10" style="0" width="20"/>
    <col collapsed="false" customWidth="true" hidden="false" outlineLevel="0" max="12" min="11" style="0" width="10"/>
    <col collapsed="false" customWidth="true" hidden="false" outlineLevel="0" max="13" min="13" style="0" width="13"/>
    <col collapsed="false" customWidth="true" hidden="false" outlineLevel="0" max="14" min="14" style="0" width="28"/>
    <col collapsed="false" customWidth="true" hidden="false" outlineLevel="0" max="15" min="15" style="0" width="11"/>
    <col collapsed="false" customWidth="true" hidden="false" outlineLevel="0" max="16" min="16" style="0" width="7"/>
    <col collapsed="false" customWidth="true" hidden="false" outlineLevel="0" max="17" min="17" style="0" width="11"/>
  </cols>
  <sheetData>
    <row r="1" customFormat="false" ht="17.35" hidden="false" customHeight="false" outlineLevel="0" collapsed="false">
      <c r="A1" s="28" t="s">
        <v>1171</v>
      </c>
    </row>
    <row r="2" customFormat="false" ht="15" hidden="false" customHeight="false" outlineLevel="0" collapsed="false">
      <c r="A2" s="2" t="s">
        <v>1172</v>
      </c>
    </row>
    <row r="4" customFormat="false" ht="15" hidden="false" customHeight="false" outlineLevel="0" collapsed="false">
      <c r="A4" s="7" t="s">
        <v>1173</v>
      </c>
      <c r="B4" s="7"/>
      <c r="C4" s="7"/>
      <c r="D4" s="7"/>
      <c r="E4" s="7"/>
      <c r="F4" s="7"/>
      <c r="G4" s="7"/>
      <c r="H4" s="7"/>
      <c r="I4" s="7"/>
      <c r="J4" s="7"/>
      <c r="K4" s="7"/>
      <c r="L4" s="7"/>
      <c r="M4" s="7"/>
      <c r="N4" s="7"/>
      <c r="O4" s="7"/>
      <c r="P4" s="7"/>
      <c r="Q4" s="7"/>
    </row>
    <row r="5" customFormat="false" ht="51.75" hidden="false" customHeight="true" outlineLevel="0" collapsed="false">
      <c r="A5" s="8" t="s">
        <v>36</v>
      </c>
      <c r="B5" s="8" t="s">
        <v>12</v>
      </c>
      <c r="C5" s="8" t="s">
        <v>1174</v>
      </c>
      <c r="D5" s="8" t="s">
        <v>1175</v>
      </c>
      <c r="E5" s="8" t="s">
        <v>1176</v>
      </c>
      <c r="F5" s="8" t="s">
        <v>1177</v>
      </c>
      <c r="G5" s="8" t="s">
        <v>1178</v>
      </c>
      <c r="H5" s="8" t="s">
        <v>1179</v>
      </c>
      <c r="I5" s="8" t="s">
        <v>1180</v>
      </c>
      <c r="J5" s="8" t="s">
        <v>1181</v>
      </c>
      <c r="K5" s="8" t="s">
        <v>1182</v>
      </c>
      <c r="L5" s="8" t="s">
        <v>1183</v>
      </c>
      <c r="M5" s="8" t="s">
        <v>1184</v>
      </c>
      <c r="N5" s="8" t="s">
        <v>1185</v>
      </c>
      <c r="O5" s="8" t="s">
        <v>1186</v>
      </c>
      <c r="P5" s="8" t="s">
        <v>1187</v>
      </c>
      <c r="Q5" s="8" t="s">
        <v>1188</v>
      </c>
    </row>
    <row r="6" customFormat="false" ht="57.75" hidden="false" customHeight="true" outlineLevel="0" collapsed="false">
      <c r="A6" s="29" t="s">
        <v>48</v>
      </c>
      <c r="B6" s="31" t="s">
        <v>50</v>
      </c>
      <c r="C6" s="30" t="s">
        <v>1189</v>
      </c>
      <c r="D6" s="30" t="s">
        <v>1190</v>
      </c>
      <c r="E6" s="56" t="s">
        <v>573</v>
      </c>
      <c r="F6" s="30" t="s">
        <v>1191</v>
      </c>
      <c r="G6" s="56" t="s">
        <v>246</v>
      </c>
      <c r="H6" s="30" t="s">
        <v>1192</v>
      </c>
      <c r="I6" s="56" t="s">
        <v>246</v>
      </c>
      <c r="J6" s="30" t="s">
        <v>1193</v>
      </c>
      <c r="K6" s="56" t="s">
        <v>247</v>
      </c>
      <c r="L6" s="56" t="s">
        <v>245</v>
      </c>
      <c r="M6" s="30" t="s">
        <v>1194</v>
      </c>
      <c r="N6" s="30" t="s">
        <v>1195</v>
      </c>
      <c r="O6" s="56" t="s">
        <v>246</v>
      </c>
      <c r="P6" s="79" t="n">
        <f aca="false">IF(E6="Low",'10 Scoring &amp; Weights'!$I$7,IF(E6="Medium",'10 Scoring &amp; Weights'!$I$8,IF(E6="High",'10 Scoring &amp; Weights'!$I$9,'10 Scoring &amp; Weights'!$C$9)))</f>
        <v>0.25</v>
      </c>
      <c r="Q6" s="81" t="n">
        <f aca="false">('10 Scoring &amp; Weights'!$D$66*P6+'10 Scoring &amp; Weights'!$D$67*((G6="Yes")*'10 Scoring &amp; Weights'!$C$7+(G6="Conditional")*'10 Scoring &amp; Weights'!$C$8+(G6="Unknown")*'10 Scoring &amp; Weights'!$C$9+(G6="No")*'10 Scoring &amp; Weights'!$C$10)+'10 Scoring &amp; Weights'!$D$68*((I6="Yes")*'10 Scoring &amp; Weights'!$C$7+(I6="Conditional")*'10 Scoring &amp; Weights'!$C$8+(I6="Unknown")*'10 Scoring &amp; Weights'!$C$9+(I6="No")*'10 Scoring &amp; Weights'!$C$10)+'10 Scoring &amp; Weights'!$D$69*((K6="Yes")*'10 Scoring &amp; Weights'!$C$7+(K6="Conditional")*'10 Scoring &amp; Weights'!$C$8+(K6="Unknown")*'10 Scoring &amp; Weights'!$C$9+(K6="No")*'10 Scoring &amp; Weights'!$C$10)+'10 Scoring &amp; Weights'!$D$70*((L6="Yes")*'10 Scoring &amp; Weights'!$C$7+(L6="Conditional")*'10 Scoring &amp; Weights'!$C$8+(L6="Unknown")*'10 Scoring &amp; Weights'!$C$9+(L6="No")*'10 Scoring &amp; Weights'!$C$10))/SUM('10 Scoring &amp; Weights'!$D$66:$D$70)*100</f>
        <v>47.5</v>
      </c>
    </row>
    <row r="7" customFormat="false" ht="57.75" hidden="false" customHeight="true" outlineLevel="0" collapsed="false">
      <c r="A7" s="29" t="s">
        <v>59</v>
      </c>
      <c r="B7" s="31" t="s">
        <v>60</v>
      </c>
      <c r="C7" s="30" t="s">
        <v>1189</v>
      </c>
      <c r="D7" s="30" t="s">
        <v>247</v>
      </c>
      <c r="E7" s="56" t="s">
        <v>247</v>
      </c>
      <c r="F7" s="30" t="s">
        <v>247</v>
      </c>
      <c r="G7" s="56" t="s">
        <v>247</v>
      </c>
      <c r="H7" s="30" t="s">
        <v>247</v>
      </c>
      <c r="I7" s="56" t="s">
        <v>247</v>
      </c>
      <c r="J7" s="30" t="s">
        <v>247</v>
      </c>
      <c r="K7" s="56" t="s">
        <v>247</v>
      </c>
      <c r="L7" s="56" t="s">
        <v>246</v>
      </c>
      <c r="M7" s="30" t="s">
        <v>247</v>
      </c>
      <c r="N7" s="30" t="s">
        <v>1196</v>
      </c>
      <c r="O7" s="56" t="s">
        <v>1069</v>
      </c>
      <c r="P7" s="79" t="n">
        <f aca="false">IF(E7="Low",'10 Scoring &amp; Weights'!$I$7,IF(E7="Medium",'10 Scoring &amp; Weights'!$I$8,IF(E7="High",'10 Scoring &amp; Weights'!$I$9,'10 Scoring &amp; Weights'!$C$9)))</f>
        <v>0.25</v>
      </c>
      <c r="Q7" s="81" t="n">
        <f aca="false">('10 Scoring &amp; Weights'!$D$66*P7+'10 Scoring &amp; Weights'!$D$67*((G7="Yes")*'10 Scoring &amp; Weights'!$C$7+(G7="Conditional")*'10 Scoring &amp; Weights'!$C$8+(G7="Unknown")*'10 Scoring &amp; Weights'!$C$9+(G7="No")*'10 Scoring &amp; Weights'!$C$10)+'10 Scoring &amp; Weights'!$D$68*((I7="Yes")*'10 Scoring &amp; Weights'!$C$7+(I7="Conditional")*'10 Scoring &amp; Weights'!$C$8+(I7="Unknown")*'10 Scoring &amp; Weights'!$C$9+(I7="No")*'10 Scoring &amp; Weights'!$C$10)+'10 Scoring &amp; Weights'!$D$69*((K7="Yes")*'10 Scoring &amp; Weights'!$C$7+(K7="Conditional")*'10 Scoring &amp; Weights'!$C$8+(K7="Unknown")*'10 Scoring &amp; Weights'!$C$9+(K7="No")*'10 Scoring &amp; Weights'!$C$10)+'10 Scoring &amp; Weights'!$D$70*((L7="Yes")*'10 Scoring &amp; Weights'!$C$7+(L7="Conditional")*'10 Scoring &amp; Weights'!$C$8+(L7="Unknown")*'10 Scoring &amp; Weights'!$C$9+(L7="No")*'10 Scoring &amp; Weights'!$C$10))/SUM('10 Scoring &amp; Weights'!$D$66:$D$70)*100</f>
        <v>28.75</v>
      </c>
    </row>
    <row r="8" customFormat="false" ht="57.75" hidden="false" customHeight="true" outlineLevel="0" collapsed="false">
      <c r="A8" s="29" t="s">
        <v>65</v>
      </c>
      <c r="B8" s="31" t="s">
        <v>66</v>
      </c>
      <c r="C8" s="30" t="s">
        <v>1189</v>
      </c>
      <c r="D8" s="30" t="s">
        <v>1197</v>
      </c>
      <c r="E8" s="56" t="s">
        <v>1198</v>
      </c>
      <c r="F8" s="30" t="s">
        <v>1199</v>
      </c>
      <c r="G8" s="56" t="s">
        <v>246</v>
      </c>
      <c r="H8" s="30" t="s">
        <v>1200</v>
      </c>
      <c r="I8" s="56" t="s">
        <v>246</v>
      </c>
      <c r="J8" s="30" t="s">
        <v>1201</v>
      </c>
      <c r="K8" s="56" t="s">
        <v>247</v>
      </c>
      <c r="L8" s="56" t="s">
        <v>245</v>
      </c>
      <c r="M8" s="30" t="s">
        <v>1202</v>
      </c>
      <c r="N8" s="30" t="s">
        <v>1203</v>
      </c>
      <c r="O8" s="56" t="s">
        <v>246</v>
      </c>
      <c r="P8" s="79" t="n">
        <f aca="false">IF(E8="Low",'10 Scoring &amp; Weights'!$I$7,IF(E8="Medium",'10 Scoring &amp; Weights'!$I$8,IF(E8="High",'10 Scoring &amp; Weights'!$I$9,'10 Scoring &amp; Weights'!$C$9)))</f>
        <v>1</v>
      </c>
      <c r="Q8" s="81" t="n">
        <f aca="false">('10 Scoring &amp; Weights'!$D$66*P8+'10 Scoring &amp; Weights'!$D$67*((G8="Yes")*'10 Scoring &amp; Weights'!$C$7+(G8="Conditional")*'10 Scoring &amp; Weights'!$C$8+(G8="Unknown")*'10 Scoring &amp; Weights'!$C$9+(G8="No")*'10 Scoring &amp; Weights'!$C$10)+'10 Scoring &amp; Weights'!$D$68*((I8="Yes")*'10 Scoring &amp; Weights'!$C$7+(I8="Conditional")*'10 Scoring &amp; Weights'!$C$8+(I8="Unknown")*'10 Scoring &amp; Weights'!$C$9+(I8="No")*'10 Scoring &amp; Weights'!$C$10)+'10 Scoring &amp; Weights'!$D$69*((K8="Yes")*'10 Scoring &amp; Weights'!$C$7+(K8="Conditional")*'10 Scoring &amp; Weights'!$C$8+(K8="Unknown")*'10 Scoring &amp; Weights'!$C$9+(K8="No")*'10 Scoring &amp; Weights'!$C$10)+'10 Scoring &amp; Weights'!$D$70*((L8="Yes")*'10 Scoring &amp; Weights'!$C$7+(L8="Conditional")*'10 Scoring &amp; Weights'!$C$8+(L8="Unknown")*'10 Scoring &amp; Weights'!$C$9+(L8="No")*'10 Scoring &amp; Weights'!$C$10))/SUM('10 Scoring &amp; Weights'!$D$66:$D$70)*100</f>
        <v>70</v>
      </c>
    </row>
    <row r="9" customFormat="false" ht="57.75" hidden="false" customHeight="true" outlineLevel="0" collapsed="false">
      <c r="A9" s="29" t="s">
        <v>71</v>
      </c>
      <c r="B9" s="31" t="s">
        <v>72</v>
      </c>
      <c r="C9" s="30" t="s">
        <v>1189</v>
      </c>
      <c r="D9" s="30" t="s">
        <v>1204</v>
      </c>
      <c r="E9" s="56" t="s">
        <v>573</v>
      </c>
      <c r="F9" s="30" t="s">
        <v>1205</v>
      </c>
      <c r="G9" s="56" t="s">
        <v>246</v>
      </c>
      <c r="H9" s="30" t="s">
        <v>318</v>
      </c>
      <c r="I9" s="56" t="s">
        <v>247</v>
      </c>
      <c r="J9" s="30" t="s">
        <v>318</v>
      </c>
      <c r="K9" s="56" t="s">
        <v>247</v>
      </c>
      <c r="L9" s="56" t="s">
        <v>245</v>
      </c>
      <c r="M9" s="30" t="s">
        <v>1202</v>
      </c>
      <c r="N9" s="30" t="s">
        <v>1206</v>
      </c>
      <c r="O9" s="56" t="s">
        <v>246</v>
      </c>
      <c r="P9" s="79" t="n">
        <f aca="false">IF(E9="Low",'10 Scoring &amp; Weights'!$I$7,IF(E9="Medium",'10 Scoring &amp; Weights'!$I$8,IF(E9="High",'10 Scoring &amp; Weights'!$I$9,'10 Scoring &amp; Weights'!$C$9)))</f>
        <v>0.25</v>
      </c>
      <c r="Q9" s="81" t="n">
        <f aca="false">('10 Scoring &amp; Weights'!$D$66*P9+'10 Scoring &amp; Weights'!$D$67*((G9="Yes")*'10 Scoring &amp; Weights'!$C$7+(G9="Conditional")*'10 Scoring &amp; Weights'!$C$8+(G9="Unknown")*'10 Scoring &amp; Weights'!$C$9+(G9="No")*'10 Scoring &amp; Weights'!$C$10)+'10 Scoring &amp; Weights'!$D$68*((I9="Yes")*'10 Scoring &amp; Weights'!$C$7+(I9="Conditional")*'10 Scoring &amp; Weights'!$C$8+(I9="Unknown")*'10 Scoring &amp; Weights'!$C$9+(I9="No")*'10 Scoring &amp; Weights'!$C$10)+'10 Scoring &amp; Weights'!$D$69*((K9="Yes")*'10 Scoring &amp; Weights'!$C$7+(K9="Conditional")*'10 Scoring &amp; Weights'!$C$8+(K9="Unknown")*'10 Scoring &amp; Weights'!$C$9+(K9="No")*'10 Scoring &amp; Weights'!$C$10)+'10 Scoring &amp; Weights'!$D$70*((L9="Yes")*'10 Scoring &amp; Weights'!$C$7+(L9="Conditional")*'10 Scoring &amp; Weights'!$C$8+(L9="Unknown")*'10 Scoring &amp; Weights'!$C$9+(L9="No")*'10 Scoring &amp; Weights'!$C$10))/SUM('10 Scoring &amp; Weights'!$D$66:$D$70)*100</f>
        <v>42.5</v>
      </c>
    </row>
    <row r="10" customFormat="false" ht="57.75" hidden="false" customHeight="true" outlineLevel="0" collapsed="false">
      <c r="A10" s="29" t="s">
        <v>80</v>
      </c>
      <c r="B10" s="31" t="s">
        <v>81</v>
      </c>
      <c r="C10" s="30" t="s">
        <v>1189</v>
      </c>
      <c r="D10" s="30" t="s">
        <v>1207</v>
      </c>
      <c r="E10" s="56" t="s">
        <v>573</v>
      </c>
      <c r="F10" s="30" t="s">
        <v>559</v>
      </c>
      <c r="G10" s="56" t="s">
        <v>246</v>
      </c>
      <c r="H10" s="30" t="s">
        <v>318</v>
      </c>
      <c r="I10" s="56" t="s">
        <v>247</v>
      </c>
      <c r="J10" s="30" t="s">
        <v>318</v>
      </c>
      <c r="K10" s="56" t="s">
        <v>247</v>
      </c>
      <c r="L10" s="56" t="s">
        <v>246</v>
      </c>
      <c r="M10" s="30" t="s">
        <v>576</v>
      </c>
      <c r="N10" s="30" t="s">
        <v>1208</v>
      </c>
      <c r="O10" s="56" t="s">
        <v>246</v>
      </c>
      <c r="P10" s="79" t="n">
        <f aca="false">IF(E10="Low",'10 Scoring &amp; Weights'!$I$7,IF(E10="Medium",'10 Scoring &amp; Weights'!$I$8,IF(E10="High",'10 Scoring &amp; Weights'!$I$9,'10 Scoring &amp; Weights'!$C$9)))</f>
        <v>0.25</v>
      </c>
      <c r="Q10" s="81" t="n">
        <f aca="false">('10 Scoring &amp; Weights'!$D$66*P10+'10 Scoring &amp; Weights'!$D$67*((G10="Yes")*'10 Scoring &amp; Weights'!$C$7+(G10="Conditional")*'10 Scoring &amp; Weights'!$C$8+(G10="Unknown")*'10 Scoring &amp; Weights'!$C$9+(G10="No")*'10 Scoring &amp; Weights'!$C$10)+'10 Scoring &amp; Weights'!$D$68*((I10="Yes")*'10 Scoring &amp; Weights'!$C$7+(I10="Conditional")*'10 Scoring &amp; Weights'!$C$8+(I10="Unknown")*'10 Scoring &amp; Weights'!$C$9+(I10="No")*'10 Scoring &amp; Weights'!$C$10)+'10 Scoring &amp; Weights'!$D$69*((K10="Yes")*'10 Scoring &amp; Weights'!$C$7+(K10="Conditional")*'10 Scoring &amp; Weights'!$C$8+(K10="Unknown")*'10 Scoring &amp; Weights'!$C$9+(K10="No")*'10 Scoring &amp; Weights'!$C$10)+'10 Scoring &amp; Weights'!$D$70*((L10="Yes")*'10 Scoring &amp; Weights'!$C$7+(L10="Conditional")*'10 Scoring &amp; Weights'!$C$8+(L10="Unknown")*'10 Scoring &amp; Weights'!$C$9+(L10="No")*'10 Scoring &amp; Weights'!$C$10))/SUM('10 Scoring &amp; Weights'!$D$66:$D$70)*100</f>
        <v>35</v>
      </c>
    </row>
    <row r="11" customFormat="false" ht="57.75" hidden="false" customHeight="true" outlineLevel="0" collapsed="false">
      <c r="A11" s="29" t="s">
        <v>86</v>
      </c>
      <c r="B11" s="31" t="s">
        <v>87</v>
      </c>
      <c r="C11" s="30" t="s">
        <v>1189</v>
      </c>
      <c r="D11" s="30" t="s">
        <v>1209</v>
      </c>
      <c r="E11" s="56" t="s">
        <v>573</v>
      </c>
      <c r="F11" s="30" t="s">
        <v>559</v>
      </c>
      <c r="G11" s="56" t="s">
        <v>246</v>
      </c>
      <c r="H11" s="30" t="s">
        <v>318</v>
      </c>
      <c r="I11" s="56" t="s">
        <v>247</v>
      </c>
      <c r="J11" s="30" t="s">
        <v>318</v>
      </c>
      <c r="K11" s="56" t="s">
        <v>247</v>
      </c>
      <c r="L11" s="56" t="s">
        <v>246</v>
      </c>
      <c r="M11" s="30" t="s">
        <v>1210</v>
      </c>
      <c r="N11" s="30" t="s">
        <v>1211</v>
      </c>
      <c r="O11" s="56" t="s">
        <v>246</v>
      </c>
      <c r="P11" s="79" t="n">
        <f aca="false">IF(E11="Low",'10 Scoring &amp; Weights'!$I$7,IF(E11="Medium",'10 Scoring &amp; Weights'!$I$8,IF(E11="High",'10 Scoring &amp; Weights'!$I$9,'10 Scoring &amp; Weights'!$C$9)))</f>
        <v>0.25</v>
      </c>
      <c r="Q11" s="81" t="n">
        <f aca="false">('10 Scoring &amp; Weights'!$D$66*P11+'10 Scoring &amp; Weights'!$D$67*((G11="Yes")*'10 Scoring &amp; Weights'!$C$7+(G11="Conditional")*'10 Scoring &amp; Weights'!$C$8+(G11="Unknown")*'10 Scoring &amp; Weights'!$C$9+(G11="No")*'10 Scoring &amp; Weights'!$C$10)+'10 Scoring &amp; Weights'!$D$68*((I11="Yes")*'10 Scoring &amp; Weights'!$C$7+(I11="Conditional")*'10 Scoring &amp; Weights'!$C$8+(I11="Unknown")*'10 Scoring &amp; Weights'!$C$9+(I11="No")*'10 Scoring &amp; Weights'!$C$10)+'10 Scoring &amp; Weights'!$D$69*((K11="Yes")*'10 Scoring &amp; Weights'!$C$7+(K11="Conditional")*'10 Scoring &amp; Weights'!$C$8+(K11="Unknown")*'10 Scoring &amp; Weights'!$C$9+(K11="No")*'10 Scoring &amp; Weights'!$C$10)+'10 Scoring &amp; Weights'!$D$70*((L11="Yes")*'10 Scoring &amp; Weights'!$C$7+(L11="Conditional")*'10 Scoring &amp; Weights'!$C$8+(L11="Unknown")*'10 Scoring &amp; Weights'!$C$9+(L11="No")*'10 Scoring &amp; Weights'!$C$10))/SUM('10 Scoring &amp; Weights'!$D$66:$D$70)*100</f>
        <v>35</v>
      </c>
    </row>
    <row r="12" customFormat="false" ht="57.75" hidden="false" customHeight="true" outlineLevel="0" collapsed="false">
      <c r="A12" s="29" t="s">
        <v>93</v>
      </c>
      <c r="B12" s="31" t="s">
        <v>94</v>
      </c>
      <c r="C12" s="30" t="s">
        <v>1189</v>
      </c>
      <c r="D12" s="30" t="s">
        <v>1212</v>
      </c>
      <c r="E12" s="56" t="s">
        <v>573</v>
      </c>
      <c r="F12" s="30" t="s">
        <v>559</v>
      </c>
      <c r="G12" s="56" t="s">
        <v>246</v>
      </c>
      <c r="H12" s="30" t="s">
        <v>318</v>
      </c>
      <c r="I12" s="56" t="s">
        <v>247</v>
      </c>
      <c r="J12" s="30" t="s">
        <v>318</v>
      </c>
      <c r="K12" s="56" t="s">
        <v>247</v>
      </c>
      <c r="L12" s="56" t="s">
        <v>245</v>
      </c>
      <c r="M12" s="30" t="s">
        <v>1202</v>
      </c>
      <c r="N12" s="30" t="s">
        <v>1213</v>
      </c>
      <c r="O12" s="56" t="s">
        <v>246</v>
      </c>
      <c r="P12" s="79" t="n">
        <f aca="false">IF(E12="Low",'10 Scoring &amp; Weights'!$I$7,IF(E12="Medium",'10 Scoring &amp; Weights'!$I$8,IF(E12="High",'10 Scoring &amp; Weights'!$I$9,'10 Scoring &amp; Weights'!$C$9)))</f>
        <v>0.25</v>
      </c>
      <c r="Q12" s="81" t="n">
        <f aca="false">('10 Scoring &amp; Weights'!$D$66*P12+'10 Scoring &amp; Weights'!$D$67*((G12="Yes")*'10 Scoring &amp; Weights'!$C$7+(G12="Conditional")*'10 Scoring &amp; Weights'!$C$8+(G12="Unknown")*'10 Scoring &amp; Weights'!$C$9+(G12="No")*'10 Scoring &amp; Weights'!$C$10)+'10 Scoring &amp; Weights'!$D$68*((I12="Yes")*'10 Scoring &amp; Weights'!$C$7+(I12="Conditional")*'10 Scoring &amp; Weights'!$C$8+(I12="Unknown")*'10 Scoring &amp; Weights'!$C$9+(I12="No")*'10 Scoring &amp; Weights'!$C$10)+'10 Scoring &amp; Weights'!$D$69*((K12="Yes")*'10 Scoring &amp; Weights'!$C$7+(K12="Conditional")*'10 Scoring &amp; Weights'!$C$8+(K12="Unknown")*'10 Scoring &amp; Weights'!$C$9+(K12="No")*'10 Scoring &amp; Weights'!$C$10)+'10 Scoring &amp; Weights'!$D$70*((L12="Yes")*'10 Scoring &amp; Weights'!$C$7+(L12="Conditional")*'10 Scoring &amp; Weights'!$C$8+(L12="Unknown")*'10 Scoring &amp; Weights'!$C$9+(L12="No")*'10 Scoring &amp; Weights'!$C$10))/SUM('10 Scoring &amp; Weights'!$D$66:$D$70)*100</f>
        <v>42.5</v>
      </c>
    </row>
    <row r="13" customFormat="false" ht="57.75" hidden="false" customHeight="true" outlineLevel="0" collapsed="false">
      <c r="A13" s="29" t="s">
        <v>98</v>
      </c>
      <c r="B13" s="31" t="s">
        <v>99</v>
      </c>
      <c r="C13" s="30" t="s">
        <v>1189</v>
      </c>
      <c r="D13" s="30" t="s">
        <v>1214</v>
      </c>
      <c r="E13" s="56" t="s">
        <v>573</v>
      </c>
      <c r="F13" s="30" t="s">
        <v>559</v>
      </c>
      <c r="G13" s="56" t="s">
        <v>246</v>
      </c>
      <c r="H13" s="30" t="s">
        <v>318</v>
      </c>
      <c r="I13" s="56" t="s">
        <v>247</v>
      </c>
      <c r="J13" s="30" t="s">
        <v>318</v>
      </c>
      <c r="K13" s="56" t="s">
        <v>247</v>
      </c>
      <c r="L13" s="56" t="s">
        <v>245</v>
      </c>
      <c r="M13" s="30" t="s">
        <v>1202</v>
      </c>
      <c r="N13" s="30" t="s">
        <v>1215</v>
      </c>
      <c r="O13" s="56" t="s">
        <v>246</v>
      </c>
      <c r="P13" s="79" t="n">
        <f aca="false">IF(E13="Low",'10 Scoring &amp; Weights'!$I$7,IF(E13="Medium",'10 Scoring &amp; Weights'!$I$8,IF(E13="High",'10 Scoring &amp; Weights'!$I$9,'10 Scoring &amp; Weights'!$C$9)))</f>
        <v>0.25</v>
      </c>
      <c r="Q13" s="81" t="n">
        <f aca="false">('10 Scoring &amp; Weights'!$D$66*P13+'10 Scoring &amp; Weights'!$D$67*((G13="Yes")*'10 Scoring &amp; Weights'!$C$7+(G13="Conditional")*'10 Scoring &amp; Weights'!$C$8+(G13="Unknown")*'10 Scoring &amp; Weights'!$C$9+(G13="No")*'10 Scoring &amp; Weights'!$C$10)+'10 Scoring &amp; Weights'!$D$68*((I13="Yes")*'10 Scoring &amp; Weights'!$C$7+(I13="Conditional")*'10 Scoring &amp; Weights'!$C$8+(I13="Unknown")*'10 Scoring &amp; Weights'!$C$9+(I13="No")*'10 Scoring &amp; Weights'!$C$10)+'10 Scoring &amp; Weights'!$D$69*((K13="Yes")*'10 Scoring &amp; Weights'!$C$7+(K13="Conditional")*'10 Scoring &amp; Weights'!$C$8+(K13="Unknown")*'10 Scoring &amp; Weights'!$C$9+(K13="No")*'10 Scoring &amp; Weights'!$C$10)+'10 Scoring &amp; Weights'!$D$70*((L13="Yes")*'10 Scoring &amp; Weights'!$C$7+(L13="Conditional")*'10 Scoring &amp; Weights'!$C$8+(L13="Unknown")*'10 Scoring &amp; Weights'!$C$9+(L13="No")*'10 Scoring &amp; Weights'!$C$10))/SUM('10 Scoring &amp; Weights'!$D$66:$D$70)*100</f>
        <v>42.5</v>
      </c>
    </row>
    <row r="14" customFormat="false" ht="57.75" hidden="false" customHeight="true" outlineLevel="0" collapsed="false">
      <c r="A14" s="29" t="s">
        <v>106</v>
      </c>
      <c r="B14" s="31" t="s">
        <v>107</v>
      </c>
      <c r="C14" s="30" t="s">
        <v>1189</v>
      </c>
      <c r="D14" s="30" t="s">
        <v>1216</v>
      </c>
      <c r="E14" s="56" t="s">
        <v>573</v>
      </c>
      <c r="F14" s="30" t="s">
        <v>559</v>
      </c>
      <c r="G14" s="56" t="s">
        <v>246</v>
      </c>
      <c r="H14" s="30" t="s">
        <v>318</v>
      </c>
      <c r="I14" s="56" t="s">
        <v>247</v>
      </c>
      <c r="J14" s="30" t="s">
        <v>318</v>
      </c>
      <c r="K14" s="56" t="s">
        <v>247</v>
      </c>
      <c r="L14" s="56" t="s">
        <v>245</v>
      </c>
      <c r="M14" s="30" t="s">
        <v>1202</v>
      </c>
      <c r="N14" s="30" t="s">
        <v>1213</v>
      </c>
      <c r="O14" s="56" t="s">
        <v>246</v>
      </c>
      <c r="P14" s="79" t="n">
        <f aca="false">IF(E14="Low",'10 Scoring &amp; Weights'!$I$7,IF(E14="Medium",'10 Scoring &amp; Weights'!$I$8,IF(E14="High",'10 Scoring &amp; Weights'!$I$9,'10 Scoring &amp; Weights'!$C$9)))</f>
        <v>0.25</v>
      </c>
      <c r="Q14" s="81" t="n">
        <f aca="false">('10 Scoring &amp; Weights'!$D$66*P14+'10 Scoring &amp; Weights'!$D$67*((G14="Yes")*'10 Scoring &amp; Weights'!$C$7+(G14="Conditional")*'10 Scoring &amp; Weights'!$C$8+(G14="Unknown")*'10 Scoring &amp; Weights'!$C$9+(G14="No")*'10 Scoring &amp; Weights'!$C$10)+'10 Scoring &amp; Weights'!$D$68*((I14="Yes")*'10 Scoring &amp; Weights'!$C$7+(I14="Conditional")*'10 Scoring &amp; Weights'!$C$8+(I14="Unknown")*'10 Scoring &amp; Weights'!$C$9+(I14="No")*'10 Scoring &amp; Weights'!$C$10)+'10 Scoring &amp; Weights'!$D$69*((K14="Yes")*'10 Scoring &amp; Weights'!$C$7+(K14="Conditional")*'10 Scoring &amp; Weights'!$C$8+(K14="Unknown")*'10 Scoring &amp; Weights'!$C$9+(K14="No")*'10 Scoring &amp; Weights'!$C$10)+'10 Scoring &amp; Weights'!$D$70*((L14="Yes")*'10 Scoring &amp; Weights'!$C$7+(L14="Conditional")*'10 Scoring &amp; Weights'!$C$8+(L14="Unknown")*'10 Scoring &amp; Weights'!$C$9+(L14="No")*'10 Scoring &amp; Weights'!$C$10))/SUM('10 Scoring &amp; Weights'!$D$66:$D$70)*100</f>
        <v>42.5</v>
      </c>
    </row>
    <row r="15" customFormat="false" ht="57.75" hidden="false" customHeight="true" outlineLevel="0" collapsed="false">
      <c r="A15" s="29" t="s">
        <v>112</v>
      </c>
      <c r="B15" s="31" t="s">
        <v>113</v>
      </c>
      <c r="C15" s="30" t="s">
        <v>1189</v>
      </c>
      <c r="D15" s="30" t="s">
        <v>1217</v>
      </c>
      <c r="E15" s="56" t="s">
        <v>1218</v>
      </c>
      <c r="F15" s="30" t="s">
        <v>559</v>
      </c>
      <c r="G15" s="56" t="s">
        <v>246</v>
      </c>
      <c r="H15" s="30" t="s">
        <v>1219</v>
      </c>
      <c r="I15" s="56" t="s">
        <v>246</v>
      </c>
      <c r="J15" s="30" t="s">
        <v>1220</v>
      </c>
      <c r="K15" s="56" t="s">
        <v>247</v>
      </c>
      <c r="L15" s="56" t="s">
        <v>245</v>
      </c>
      <c r="M15" s="30" t="s">
        <v>1202</v>
      </c>
      <c r="N15" s="30" t="s">
        <v>1221</v>
      </c>
      <c r="O15" s="56" t="s">
        <v>246</v>
      </c>
      <c r="P15" s="79" t="n">
        <f aca="false">IF(E15="Low",'10 Scoring &amp; Weights'!$I$7,IF(E15="Medium",'10 Scoring &amp; Weights'!$I$8,IF(E15="High",'10 Scoring &amp; Weights'!$I$9,'10 Scoring &amp; Weights'!$C$9)))</f>
        <v>0.6</v>
      </c>
      <c r="Q15" s="81" t="n">
        <f aca="false">('10 Scoring &amp; Weights'!$D$66*P15+'10 Scoring &amp; Weights'!$D$67*((G15="Yes")*'10 Scoring &amp; Weights'!$C$7+(G15="Conditional")*'10 Scoring &amp; Weights'!$C$8+(G15="Unknown")*'10 Scoring &amp; Weights'!$C$9+(G15="No")*'10 Scoring &amp; Weights'!$C$10)+'10 Scoring &amp; Weights'!$D$68*((I15="Yes")*'10 Scoring &amp; Weights'!$C$7+(I15="Conditional")*'10 Scoring &amp; Weights'!$C$8+(I15="Unknown")*'10 Scoring &amp; Weights'!$C$9+(I15="No")*'10 Scoring &amp; Weights'!$C$10)+'10 Scoring &amp; Weights'!$D$69*((K15="Yes")*'10 Scoring &amp; Weights'!$C$7+(K15="Conditional")*'10 Scoring &amp; Weights'!$C$8+(K15="Unknown")*'10 Scoring &amp; Weights'!$C$9+(K15="No")*'10 Scoring &amp; Weights'!$C$10)+'10 Scoring &amp; Weights'!$D$70*((L15="Yes")*'10 Scoring &amp; Weights'!$C$7+(L15="Conditional")*'10 Scoring &amp; Weights'!$C$8+(L15="Unknown")*'10 Scoring &amp; Weights'!$C$9+(L15="No")*'10 Scoring &amp; Weights'!$C$10))/SUM('10 Scoring &amp; Weights'!$D$66:$D$70)*100</f>
        <v>58</v>
      </c>
    </row>
    <row r="16" customFormat="false" ht="57.75" hidden="false" customHeight="true" outlineLevel="0" collapsed="false">
      <c r="A16" s="29" t="s">
        <v>117</v>
      </c>
      <c r="B16" s="31" t="s">
        <v>118</v>
      </c>
      <c r="C16" s="30" t="s">
        <v>1189</v>
      </c>
      <c r="D16" s="30" t="s">
        <v>1222</v>
      </c>
      <c r="E16" s="56" t="s">
        <v>1198</v>
      </c>
      <c r="F16" s="30" t="s">
        <v>1223</v>
      </c>
      <c r="G16" s="56" t="s">
        <v>246</v>
      </c>
      <c r="H16" s="30" t="s">
        <v>318</v>
      </c>
      <c r="I16" s="56" t="s">
        <v>247</v>
      </c>
      <c r="J16" s="30" t="s">
        <v>318</v>
      </c>
      <c r="K16" s="56" t="s">
        <v>247</v>
      </c>
      <c r="L16" s="56" t="s">
        <v>245</v>
      </c>
      <c r="M16" s="30" t="s">
        <v>1202</v>
      </c>
      <c r="N16" s="30" t="s">
        <v>1224</v>
      </c>
      <c r="O16" s="56" t="s">
        <v>246</v>
      </c>
      <c r="P16" s="79" t="n">
        <f aca="false">IF(E16="Low",'10 Scoring &amp; Weights'!$I$7,IF(E16="Medium",'10 Scoring &amp; Weights'!$I$8,IF(E16="High",'10 Scoring &amp; Weights'!$I$9,'10 Scoring &amp; Weights'!$C$9)))</f>
        <v>1</v>
      </c>
      <c r="Q16" s="81" t="n">
        <f aca="false">('10 Scoring &amp; Weights'!$D$66*P16+'10 Scoring &amp; Weights'!$D$67*((G16="Yes")*'10 Scoring &amp; Weights'!$C$7+(G16="Conditional")*'10 Scoring &amp; Weights'!$C$8+(G16="Unknown")*'10 Scoring &amp; Weights'!$C$9+(G16="No")*'10 Scoring &amp; Weights'!$C$10)+'10 Scoring &amp; Weights'!$D$68*((I16="Yes")*'10 Scoring &amp; Weights'!$C$7+(I16="Conditional")*'10 Scoring &amp; Weights'!$C$8+(I16="Unknown")*'10 Scoring &amp; Weights'!$C$9+(I16="No")*'10 Scoring &amp; Weights'!$C$10)+'10 Scoring &amp; Weights'!$D$69*((K16="Yes")*'10 Scoring &amp; Weights'!$C$7+(K16="Conditional")*'10 Scoring &amp; Weights'!$C$8+(K16="Unknown")*'10 Scoring &amp; Weights'!$C$9+(K16="No")*'10 Scoring &amp; Weights'!$C$10)+'10 Scoring &amp; Weights'!$D$70*((L16="Yes")*'10 Scoring &amp; Weights'!$C$7+(L16="Conditional")*'10 Scoring &amp; Weights'!$C$8+(L16="Unknown")*'10 Scoring &amp; Weights'!$C$9+(L16="No")*'10 Scoring &amp; Weights'!$C$10))/SUM('10 Scoring &amp; Weights'!$D$66:$D$70)*100</f>
        <v>65</v>
      </c>
    </row>
    <row r="17" customFormat="false" ht="57.75" hidden="false" customHeight="true" outlineLevel="0" collapsed="false">
      <c r="A17" s="29" t="s">
        <v>122</v>
      </c>
      <c r="B17" s="31" t="s">
        <v>123</v>
      </c>
      <c r="C17" s="30" t="s">
        <v>1189</v>
      </c>
      <c r="D17" s="30" t="s">
        <v>1225</v>
      </c>
      <c r="E17" s="56" t="s">
        <v>1198</v>
      </c>
      <c r="F17" s="30" t="s">
        <v>1223</v>
      </c>
      <c r="G17" s="56" t="s">
        <v>246</v>
      </c>
      <c r="H17" s="30" t="s">
        <v>318</v>
      </c>
      <c r="I17" s="56" t="s">
        <v>247</v>
      </c>
      <c r="J17" s="30" t="s">
        <v>318</v>
      </c>
      <c r="K17" s="56" t="s">
        <v>247</v>
      </c>
      <c r="L17" s="56" t="s">
        <v>245</v>
      </c>
      <c r="M17" s="30" t="s">
        <v>1202</v>
      </c>
      <c r="N17" s="30" t="s">
        <v>1226</v>
      </c>
      <c r="O17" s="56" t="s">
        <v>246</v>
      </c>
      <c r="P17" s="79" t="n">
        <f aca="false">IF(E17="Low",'10 Scoring &amp; Weights'!$I$7,IF(E17="Medium",'10 Scoring &amp; Weights'!$I$8,IF(E17="High",'10 Scoring &amp; Weights'!$I$9,'10 Scoring &amp; Weights'!$C$9)))</f>
        <v>1</v>
      </c>
      <c r="Q17" s="81" t="n">
        <f aca="false">('10 Scoring &amp; Weights'!$D$66*P17+'10 Scoring &amp; Weights'!$D$67*((G17="Yes")*'10 Scoring &amp; Weights'!$C$7+(G17="Conditional")*'10 Scoring &amp; Weights'!$C$8+(G17="Unknown")*'10 Scoring &amp; Weights'!$C$9+(G17="No")*'10 Scoring &amp; Weights'!$C$10)+'10 Scoring &amp; Weights'!$D$68*((I17="Yes")*'10 Scoring &amp; Weights'!$C$7+(I17="Conditional")*'10 Scoring &amp; Weights'!$C$8+(I17="Unknown")*'10 Scoring &amp; Weights'!$C$9+(I17="No")*'10 Scoring &amp; Weights'!$C$10)+'10 Scoring &amp; Weights'!$D$69*((K17="Yes")*'10 Scoring &amp; Weights'!$C$7+(K17="Conditional")*'10 Scoring &amp; Weights'!$C$8+(K17="Unknown")*'10 Scoring &amp; Weights'!$C$9+(K17="No")*'10 Scoring &amp; Weights'!$C$10)+'10 Scoring &amp; Weights'!$D$70*((L17="Yes")*'10 Scoring &amp; Weights'!$C$7+(L17="Conditional")*'10 Scoring &amp; Weights'!$C$8+(L17="Unknown")*'10 Scoring &amp; Weights'!$C$9+(L17="No")*'10 Scoring &amp; Weights'!$C$10))/SUM('10 Scoring &amp; Weights'!$D$66:$D$70)*100</f>
        <v>65</v>
      </c>
    </row>
    <row r="18" customFormat="false" ht="57.75" hidden="false" customHeight="true" outlineLevel="0" collapsed="false">
      <c r="A18" s="29" t="s">
        <v>127</v>
      </c>
      <c r="B18" s="31" t="s">
        <v>128</v>
      </c>
      <c r="C18" s="30" t="s">
        <v>1189</v>
      </c>
      <c r="D18" s="30" t="s">
        <v>1227</v>
      </c>
      <c r="E18" s="56" t="s">
        <v>1198</v>
      </c>
      <c r="F18" s="30" t="s">
        <v>1223</v>
      </c>
      <c r="G18" s="56" t="s">
        <v>246</v>
      </c>
      <c r="H18" s="30" t="s">
        <v>318</v>
      </c>
      <c r="I18" s="56" t="s">
        <v>247</v>
      </c>
      <c r="J18" s="30" t="s">
        <v>318</v>
      </c>
      <c r="K18" s="56" t="s">
        <v>247</v>
      </c>
      <c r="L18" s="56" t="s">
        <v>245</v>
      </c>
      <c r="M18" s="30" t="s">
        <v>1202</v>
      </c>
      <c r="N18" s="30" t="s">
        <v>1228</v>
      </c>
      <c r="O18" s="56" t="s">
        <v>246</v>
      </c>
      <c r="P18" s="79" t="n">
        <f aca="false">IF(E18="Low",'10 Scoring &amp; Weights'!$I$7,IF(E18="Medium",'10 Scoring &amp; Weights'!$I$8,IF(E18="High",'10 Scoring &amp; Weights'!$I$9,'10 Scoring &amp; Weights'!$C$9)))</f>
        <v>1</v>
      </c>
      <c r="Q18" s="81" t="n">
        <f aca="false">('10 Scoring &amp; Weights'!$D$66*P18+'10 Scoring &amp; Weights'!$D$67*((G18="Yes")*'10 Scoring &amp; Weights'!$C$7+(G18="Conditional")*'10 Scoring &amp; Weights'!$C$8+(G18="Unknown")*'10 Scoring &amp; Weights'!$C$9+(G18="No")*'10 Scoring &amp; Weights'!$C$10)+'10 Scoring &amp; Weights'!$D$68*((I18="Yes")*'10 Scoring &amp; Weights'!$C$7+(I18="Conditional")*'10 Scoring &amp; Weights'!$C$8+(I18="Unknown")*'10 Scoring &amp; Weights'!$C$9+(I18="No")*'10 Scoring &amp; Weights'!$C$10)+'10 Scoring &amp; Weights'!$D$69*((K18="Yes")*'10 Scoring &amp; Weights'!$C$7+(K18="Conditional")*'10 Scoring &amp; Weights'!$C$8+(K18="Unknown")*'10 Scoring &amp; Weights'!$C$9+(K18="No")*'10 Scoring &amp; Weights'!$C$10)+'10 Scoring &amp; Weights'!$D$70*((L18="Yes")*'10 Scoring &amp; Weights'!$C$7+(L18="Conditional")*'10 Scoring &amp; Weights'!$C$8+(L18="Unknown")*'10 Scoring &amp; Weights'!$C$9+(L18="No")*'10 Scoring &amp; Weights'!$C$10))/SUM('10 Scoring &amp; Weights'!$D$66:$D$70)*100</f>
        <v>65</v>
      </c>
    </row>
    <row r="21" customFormat="false" ht="15" hidden="false" customHeight="false" outlineLevel="0" collapsed="false">
      <c r="A21" s="7" t="s">
        <v>1229</v>
      </c>
      <c r="B21" s="7"/>
      <c r="C21" s="7"/>
      <c r="D21" s="7"/>
      <c r="E21" s="7"/>
      <c r="F21" s="7"/>
      <c r="G21" s="7"/>
      <c r="H21" s="7"/>
      <c r="I21" s="7"/>
      <c r="J21" s="7"/>
      <c r="K21" s="7"/>
      <c r="L21" s="7"/>
      <c r="M21" s="7"/>
      <c r="N21" s="7"/>
      <c r="O21" s="7"/>
      <c r="P21" s="7"/>
      <c r="Q21" s="7"/>
    </row>
    <row r="22" customFormat="false" ht="22.35" hidden="false" customHeight="false" outlineLevel="0" collapsed="false">
      <c r="B22" s="8" t="s">
        <v>1230</v>
      </c>
      <c r="C22" s="8" t="s">
        <v>1231</v>
      </c>
      <c r="D22" s="8" t="s">
        <v>640</v>
      </c>
    </row>
    <row r="23" customFormat="false" ht="39.75" hidden="false" customHeight="true" outlineLevel="0" collapsed="false">
      <c r="B23" s="31" t="s">
        <v>1232</v>
      </c>
      <c r="C23" s="30" t="s">
        <v>1233</v>
      </c>
      <c r="D23" s="30"/>
      <c r="E23" s="30"/>
      <c r="F23" s="30"/>
      <c r="G23" s="30"/>
      <c r="H23" s="30"/>
      <c r="I23" s="30"/>
      <c r="J23" s="30"/>
      <c r="K23" s="30"/>
      <c r="L23" s="30"/>
      <c r="M23" s="30"/>
      <c r="N23" s="30"/>
      <c r="O23" s="55" t="s">
        <v>1234</v>
      </c>
    </row>
    <row r="24" customFormat="false" ht="39.75" hidden="false" customHeight="true" outlineLevel="0" collapsed="false">
      <c r="B24" s="31" t="s">
        <v>1235</v>
      </c>
      <c r="C24" s="30" t="s">
        <v>1236</v>
      </c>
      <c r="D24" s="30"/>
      <c r="E24" s="30"/>
      <c r="F24" s="30"/>
      <c r="G24" s="30"/>
      <c r="H24" s="30"/>
      <c r="I24" s="30"/>
      <c r="J24" s="30"/>
      <c r="K24" s="30"/>
      <c r="L24" s="30"/>
      <c r="M24" s="30"/>
      <c r="N24" s="30"/>
      <c r="O24" s="55" t="s">
        <v>1237</v>
      </c>
    </row>
    <row r="25" customFormat="false" ht="39.75" hidden="false" customHeight="true" outlineLevel="0" collapsed="false">
      <c r="B25" s="31" t="s">
        <v>1238</v>
      </c>
      <c r="C25" s="30" t="s">
        <v>1239</v>
      </c>
      <c r="D25" s="30"/>
      <c r="E25" s="30"/>
      <c r="F25" s="30"/>
      <c r="G25" s="30"/>
      <c r="H25" s="30"/>
      <c r="I25" s="30"/>
      <c r="J25" s="30"/>
      <c r="K25" s="30"/>
      <c r="L25" s="30"/>
      <c r="M25" s="30"/>
      <c r="N25" s="30"/>
      <c r="O25" s="55" t="s">
        <v>1240</v>
      </c>
    </row>
    <row r="26" customFormat="false" ht="39.75" hidden="false" customHeight="true" outlineLevel="0" collapsed="false">
      <c r="B26" s="31" t="s">
        <v>1241</v>
      </c>
      <c r="C26" s="30" t="s">
        <v>1242</v>
      </c>
      <c r="D26" s="30"/>
      <c r="E26" s="30"/>
      <c r="F26" s="30"/>
      <c r="G26" s="30"/>
      <c r="H26" s="30"/>
      <c r="I26" s="30"/>
      <c r="J26" s="30"/>
      <c r="K26" s="30"/>
      <c r="L26" s="30"/>
      <c r="M26" s="30"/>
      <c r="N26" s="30"/>
      <c r="O26" s="55" t="s">
        <v>1243</v>
      </c>
    </row>
    <row r="27" customFormat="false" ht="39.75" hidden="false" customHeight="true" outlineLevel="0" collapsed="false">
      <c r="B27" s="31" t="s">
        <v>1244</v>
      </c>
      <c r="C27" s="30" t="s">
        <v>1245</v>
      </c>
      <c r="D27" s="30"/>
      <c r="E27" s="30"/>
      <c r="F27" s="30"/>
      <c r="G27" s="30"/>
      <c r="H27" s="30"/>
      <c r="I27" s="30"/>
      <c r="J27" s="30"/>
      <c r="K27" s="30"/>
      <c r="L27" s="30"/>
      <c r="M27" s="30"/>
      <c r="N27" s="30"/>
      <c r="O27" s="55" t="s">
        <v>1246</v>
      </c>
    </row>
    <row r="28" customFormat="false" ht="39.75" hidden="false" customHeight="true" outlineLevel="0" collapsed="false">
      <c r="B28" s="31" t="s">
        <v>1247</v>
      </c>
      <c r="C28" s="30" t="s">
        <v>1248</v>
      </c>
      <c r="D28" s="30"/>
      <c r="E28" s="30"/>
      <c r="F28" s="30"/>
      <c r="G28" s="30"/>
      <c r="H28" s="30"/>
      <c r="I28" s="30"/>
      <c r="J28" s="30"/>
      <c r="K28" s="30"/>
      <c r="L28" s="30"/>
      <c r="M28" s="30"/>
      <c r="N28" s="30"/>
      <c r="O28" s="55" t="s">
        <v>1249</v>
      </c>
    </row>
    <row r="29" customFormat="false" ht="39.75" hidden="false" customHeight="true" outlineLevel="0" collapsed="false">
      <c r="B29" s="31" t="s">
        <v>1250</v>
      </c>
      <c r="C29" s="30" t="s">
        <v>1251</v>
      </c>
      <c r="D29" s="30"/>
      <c r="E29" s="30"/>
      <c r="F29" s="30"/>
      <c r="G29" s="30"/>
      <c r="H29" s="30"/>
      <c r="I29" s="30"/>
      <c r="J29" s="30"/>
      <c r="K29" s="30"/>
      <c r="L29" s="30"/>
      <c r="M29" s="30"/>
      <c r="N29" s="30"/>
      <c r="O29" s="55" t="s">
        <v>1252</v>
      </c>
    </row>
    <row r="31" customFormat="false" ht="15" hidden="false" customHeight="false" outlineLevel="0" collapsed="false">
      <c r="A31" s="7" t="s">
        <v>1253</v>
      </c>
      <c r="B31" s="7"/>
      <c r="C31" s="7"/>
      <c r="D31" s="7"/>
      <c r="E31" s="7"/>
      <c r="F31" s="7"/>
      <c r="G31" s="7"/>
      <c r="H31" s="7"/>
      <c r="I31" s="7"/>
      <c r="J31" s="7"/>
      <c r="K31" s="7"/>
      <c r="L31" s="7"/>
      <c r="M31" s="7"/>
      <c r="N31" s="7"/>
      <c r="O31" s="7"/>
      <c r="P31" s="7"/>
      <c r="Q31" s="7"/>
    </row>
    <row r="32" customFormat="false" ht="21.75" hidden="false" customHeight="true" outlineLevel="0" collapsed="false">
      <c r="B32" s="102" t="s">
        <v>1254</v>
      </c>
      <c r="C32" s="102"/>
      <c r="D32" s="102"/>
      <c r="E32" s="102"/>
      <c r="F32" s="102"/>
      <c r="G32" s="102"/>
      <c r="H32" s="102"/>
      <c r="I32" s="102"/>
      <c r="J32" s="102"/>
      <c r="K32" s="102"/>
      <c r="L32" s="102"/>
      <c r="M32" s="102"/>
      <c r="N32" s="102"/>
      <c r="O32" s="102"/>
      <c r="P32" s="102"/>
      <c r="Q32" s="102"/>
    </row>
    <row r="33" customFormat="false" ht="21.75" hidden="false" customHeight="true" outlineLevel="0" collapsed="false">
      <c r="B33" s="102" t="s">
        <v>1255</v>
      </c>
      <c r="C33" s="102"/>
      <c r="D33" s="102"/>
      <c r="E33" s="102"/>
      <c r="F33" s="102"/>
      <c r="G33" s="102"/>
      <c r="H33" s="102"/>
      <c r="I33" s="102"/>
      <c r="J33" s="102"/>
      <c r="K33" s="102"/>
      <c r="L33" s="102"/>
      <c r="M33" s="102"/>
      <c r="N33" s="102"/>
      <c r="O33" s="102"/>
      <c r="P33" s="102"/>
      <c r="Q33" s="102"/>
    </row>
    <row r="34" customFormat="false" ht="21.75" hidden="false" customHeight="true" outlineLevel="0" collapsed="false">
      <c r="B34" s="102" t="s">
        <v>1256</v>
      </c>
      <c r="C34" s="102"/>
      <c r="D34" s="102"/>
      <c r="E34" s="102"/>
      <c r="F34" s="102"/>
      <c r="G34" s="102"/>
      <c r="H34" s="102"/>
      <c r="I34" s="102"/>
      <c r="J34" s="102"/>
      <c r="K34" s="102"/>
      <c r="L34" s="102"/>
      <c r="M34" s="102"/>
      <c r="N34" s="102"/>
      <c r="O34" s="102"/>
      <c r="P34" s="102"/>
      <c r="Q34" s="102"/>
    </row>
    <row r="35" customFormat="false" ht="21.75" hidden="false" customHeight="true" outlineLevel="0" collapsed="false">
      <c r="B35" s="102" t="s">
        <v>1257</v>
      </c>
      <c r="C35" s="102"/>
      <c r="D35" s="102"/>
      <c r="E35" s="102"/>
      <c r="F35" s="102"/>
      <c r="G35" s="102"/>
      <c r="H35" s="102"/>
      <c r="I35" s="102"/>
      <c r="J35" s="102"/>
      <c r="K35" s="102"/>
      <c r="L35" s="102"/>
      <c r="M35" s="102"/>
      <c r="N35" s="102"/>
      <c r="O35" s="102"/>
      <c r="P35" s="102"/>
      <c r="Q35" s="102"/>
    </row>
  </sheetData>
  <mergeCells count="11">
    <mergeCell ref="C23:N23"/>
    <mergeCell ref="C24:N24"/>
    <mergeCell ref="C25:N25"/>
    <mergeCell ref="C26:N26"/>
    <mergeCell ref="C27:N27"/>
    <mergeCell ref="C28:N28"/>
    <mergeCell ref="C29:N29"/>
    <mergeCell ref="B32:Q32"/>
    <mergeCell ref="B33:Q33"/>
    <mergeCell ref="B34:Q34"/>
    <mergeCell ref="B35:Q35"/>
  </mergeCells>
  <conditionalFormatting sqref="G6:G18">
    <cfRule type="cellIs" priority="2" operator="equal" aboveAverage="0" equalAverage="0" bottom="0" percent="0" rank="0" text="" dxfId="1">
      <formula>"Yes"</formula>
    </cfRule>
    <cfRule type="cellIs" priority="3" operator="equal" aboveAverage="0" equalAverage="0" bottom="0" percent="0" rank="0" text="" dxfId="2">
      <formula>"Conditional"</formula>
    </cfRule>
    <cfRule type="cellIs" priority="4" operator="equal" aboveAverage="0" equalAverage="0" bottom="0" percent="0" rank="0" text="" dxfId="14">
      <formula>"Unknown"</formula>
    </cfRule>
    <cfRule type="cellIs" priority="5" operator="equal" aboveAverage="0" equalAverage="0" bottom="0" percent="0" rank="0" text="" dxfId="0">
      <formula>"No"</formula>
    </cfRule>
  </conditionalFormatting>
  <conditionalFormatting sqref="I6:I18">
    <cfRule type="cellIs" priority="6" operator="equal" aboveAverage="0" equalAverage="0" bottom="0" percent="0" rank="0" text="" dxfId="1">
      <formula>"Yes"</formula>
    </cfRule>
    <cfRule type="cellIs" priority="7" operator="equal" aboveAverage="0" equalAverage="0" bottom="0" percent="0" rank="0" text="" dxfId="2">
      <formula>"Conditional"</formula>
    </cfRule>
    <cfRule type="cellIs" priority="8" operator="equal" aboveAverage="0" equalAverage="0" bottom="0" percent="0" rank="0" text="" dxfId="14">
      <formula>"Unknown"</formula>
    </cfRule>
    <cfRule type="cellIs" priority="9" operator="equal" aboveAverage="0" equalAverage="0" bottom="0" percent="0" rank="0" text="" dxfId="0">
      <formula>"No"</formula>
    </cfRule>
  </conditionalFormatting>
  <conditionalFormatting sqref="K6:L18">
    <cfRule type="cellIs" priority="10" operator="equal" aboveAverage="0" equalAverage="0" bottom="0" percent="0" rank="0" text="" dxfId="1">
      <formula>"Yes"</formula>
    </cfRule>
    <cfRule type="cellIs" priority="11" operator="equal" aboveAverage="0" equalAverage="0" bottom="0" percent="0" rank="0" text="" dxfId="2">
      <formula>"Conditional"</formula>
    </cfRule>
    <cfRule type="cellIs" priority="12" operator="equal" aboveAverage="0" equalAverage="0" bottom="0" percent="0" rank="0" text="" dxfId="14">
      <formula>"Unknown"</formula>
    </cfRule>
    <cfRule type="cellIs" priority="13" operator="equal" aboveAverage="0" equalAverage="0" bottom="0" percent="0" rank="0" text="" dxfId="0">
      <formula>"No"</formula>
    </cfRule>
  </conditionalFormatting>
  <conditionalFormatting sqref="O6:O18">
    <cfRule type="cellIs" priority="14" operator="equal" aboveAverage="0" equalAverage="0" bottom="0" percent="0" rank="0" text="" dxfId="1">
      <formula>"Pass"</formula>
    </cfRule>
    <cfRule type="cellIs" priority="15" operator="equal" aboveAverage="0" equalAverage="0" bottom="0" percent="0" rank="0" text="" dxfId="1">
      <formula>"Eligible"</formula>
    </cfRule>
    <cfRule type="cellIs" priority="16" operator="equal" aboveAverage="0" equalAverage="0" bottom="0" percent="0" rank="0" text="" dxfId="1">
      <formula>"Verified feasible"</formula>
    </cfRule>
    <cfRule type="cellIs" priority="17" operator="equal" aboveAverage="0" equalAverage="0" bottom="0" percent="0" rank="0" text="" dxfId="2">
      <formula>"Conditional"</formula>
    </cfRule>
    <cfRule type="cellIs" priority="18" operator="equal" aboveAverage="0" equalAverage="0" bottom="0" percent="0" rank="0" text="" dxfId="2">
      <formula>"Conditionally eligible"</formula>
    </cfRule>
    <cfRule type="cellIs" priority="19" operator="equal" aboveAverage="0" equalAverage="0" bottom="0" percent="0" rank="0" text="" dxfId="2">
      <formula>"Pending"</formula>
    </cfRule>
    <cfRule type="cellIs" priority="20" operator="equal" aboveAverage="0" equalAverage="0" bottom="0" percent="0" rank="0" text="" dxfId="2">
      <formula>"Pending verification"</formula>
    </cfRule>
    <cfRule type="cellIs" priority="21" operator="equal" aboveAverage="0" equalAverage="0" bottom="0" percent="0" rank="0" text="" dxfId="2">
      <formula>"Not verified"</formula>
    </cfRule>
    <cfRule type="cellIs" priority="22" operator="equal" aboveAverage="0" equalAverage="0" bottom="0" percent="0" rank="0" text="" dxfId="0">
      <formula>"Fail"</formula>
    </cfRule>
    <cfRule type="cellIs" priority="23" operator="equal" aboveAverage="0" equalAverage="0" bottom="0" percent="0" rank="0" text="" dxfId="0">
      <formula>"Ineligible"</formula>
    </cfRule>
    <cfRule type="cellIs" priority="24" operator="equal" aboveAverage="0" equalAverage="0" bottom="0" percent="0" rank="0" text="" dxfId="0">
      <formula>"Not feasible"</formula>
    </cfRule>
  </conditionalFormatting>
  <conditionalFormatting sqref="E6:E18">
    <cfRule type="cellIs" priority="25" operator="equal" aboveAverage="0" equalAverage="0" bottom="0" percent="0" rank="0" text="" dxfId="1">
      <formula>"Low"</formula>
    </cfRule>
    <cfRule type="cellIs" priority="26" operator="equal" aboveAverage="0" equalAverage="0" bottom="0" percent="0" rank="0" text="" dxfId="2">
      <formula>"Medium"</formula>
    </cfRule>
    <cfRule type="cellIs" priority="27" operator="equal" aboveAverage="0" equalAverage="0" bottom="0" percent="0" rank="0" text="" dxfId="0">
      <formula>"High"</formula>
    </cfRule>
    <cfRule type="cellIs" priority="28" operator="equal" aboveAverage="0" equalAverage="0" bottom="0" percent="0" rank="0" text="" dxfId="14">
      <formula>"Unknown"</formula>
    </cfRule>
  </conditionalFormatting>
  <dataValidations count="3">
    <dataValidation allowBlank="true" errorStyle="stop" operator="between" showDropDown="false" showErrorMessage="false" showInputMessage="false" sqref="E6:E18" type="list">
      <formula1>"Low,Medium,High,Unknown"</formula1>
      <formula2>0</formula2>
    </dataValidation>
    <dataValidation allowBlank="true" errorStyle="stop" operator="between" showDropDown="false" showErrorMessage="false" showInputMessage="false" sqref="G6:G18 I6:I18 K6:L18" type="list">
      <formula1>"Yes,Conditional,Unknown,No,N/A"</formula1>
      <formula2>0</formula2>
    </dataValidation>
    <dataValidation allowBlank="true" errorStyle="stop" operator="between" showDropDown="false" showErrorMessage="false" showInputMessage="false" sqref="O6:O18" type="list">
      <formula1>"Pass,Conditional,Pending,Fail"</formula1>
      <formula2>0</formula2>
    </dataValidation>
  </dataValidations>
  <hyperlinks>
    <hyperlink ref="O23" r:id="rId1" location="'14%20Source%20Register'!A54" display="S44"/>
    <hyperlink ref="O24" r:id="rId2" location="'14%20Source%20Register'!A59" display="S49"/>
    <hyperlink ref="O25" r:id="rId3" location="'14%20Source%20Register'!A55" display="S45"/>
    <hyperlink ref="O26" r:id="rId4" location="'14%20Source%20Register'!A57" display="S47"/>
    <hyperlink ref="O27" r:id="rId5" location="'14%20Source%20Register'!A56" display="S46"/>
    <hyperlink ref="O28" r:id="rId6" location="'14%20Source%20Register'!A58" display="S48"/>
    <hyperlink ref="O29" r:id="rId7" location="'14%20Source%20Register'!A38" display="S28;S2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6834"/>
    <pageSetUpPr fitToPage="false"/>
  </sheetPr>
  <dimension ref="A1:T9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30"/>
    <col collapsed="false" customWidth="true" hidden="false" outlineLevel="0" max="18" min="4" style="0" width="11"/>
    <col collapsed="false" customWidth="true" hidden="false" outlineLevel="0" max="19" min="19" style="0" width="15"/>
    <col collapsed="false" customWidth="true" hidden="false" outlineLevel="0" max="20" min="20" style="0" width="14"/>
  </cols>
  <sheetData>
    <row r="1" customFormat="false" ht="17.35" hidden="false" customHeight="false" outlineLevel="0" collapsed="false">
      <c r="A1" s="28" t="s">
        <v>1258</v>
      </c>
    </row>
    <row r="2" customFormat="false" ht="15" hidden="false" customHeight="false" outlineLevel="0" collapsed="false">
      <c r="A2" s="2" t="s">
        <v>1259</v>
      </c>
    </row>
    <row r="4" customFormat="false" ht="15" hidden="false" customHeight="false" outlineLevel="0" collapsed="false">
      <c r="B4" s="7" t="s">
        <v>1260</v>
      </c>
      <c r="C4" s="7"/>
      <c r="D4" s="7"/>
      <c r="E4" s="7"/>
      <c r="F4" s="7"/>
      <c r="G4" s="7"/>
      <c r="H4" s="7"/>
      <c r="I4" s="7"/>
    </row>
    <row r="6" customFormat="false" ht="22.35" hidden="false" customHeight="false" outlineLevel="0" collapsed="false">
      <c r="B6" s="8" t="s">
        <v>1169</v>
      </c>
      <c r="C6" s="8" t="s">
        <v>1093</v>
      </c>
      <c r="E6" s="8" t="s">
        <v>414</v>
      </c>
      <c r="F6" s="8" t="s">
        <v>926</v>
      </c>
      <c r="H6" s="8" t="s">
        <v>1261</v>
      </c>
      <c r="I6" s="8" t="s">
        <v>1093</v>
      </c>
    </row>
    <row r="7" customFormat="false" ht="15" hidden="false" customHeight="true" outlineLevel="0" collapsed="false">
      <c r="B7" s="20" t="s">
        <v>245</v>
      </c>
      <c r="C7" s="103" t="n">
        <v>1</v>
      </c>
      <c r="E7" s="16" t="s">
        <v>1061</v>
      </c>
      <c r="F7" s="103" t="n">
        <v>1</v>
      </c>
      <c r="H7" s="20" t="s">
        <v>1198</v>
      </c>
      <c r="I7" s="103" t="n">
        <v>1</v>
      </c>
      <c r="K7" s="27" t="s">
        <v>1262</v>
      </c>
      <c r="L7" s="27"/>
      <c r="M7" s="27"/>
      <c r="N7" s="27"/>
      <c r="O7" s="27"/>
      <c r="P7" s="27"/>
      <c r="Q7" s="27"/>
    </row>
    <row r="8" customFormat="false" ht="15" hidden="false" customHeight="false" outlineLevel="0" collapsed="false">
      <c r="B8" s="20" t="s">
        <v>246</v>
      </c>
      <c r="C8" s="103" t="n">
        <v>0.5</v>
      </c>
      <c r="E8" s="16" t="s">
        <v>314</v>
      </c>
      <c r="F8" s="103" t="n">
        <v>0.75</v>
      </c>
      <c r="H8" s="20" t="s">
        <v>1218</v>
      </c>
      <c r="I8" s="103" t="n">
        <v>0.6</v>
      </c>
      <c r="K8" s="27"/>
      <c r="L8" s="27"/>
      <c r="M8" s="27"/>
      <c r="N8" s="27"/>
      <c r="O8" s="27"/>
      <c r="P8" s="27"/>
      <c r="Q8" s="27"/>
    </row>
    <row r="9" customFormat="false" ht="15" hidden="false" customHeight="false" outlineLevel="0" collapsed="false">
      <c r="B9" s="20" t="s">
        <v>247</v>
      </c>
      <c r="C9" s="104" t="n">
        <v>0.25</v>
      </c>
      <c r="E9" s="16" t="s">
        <v>347</v>
      </c>
      <c r="F9" s="103" t="n">
        <v>0.5</v>
      </c>
      <c r="H9" s="20" t="s">
        <v>573</v>
      </c>
      <c r="I9" s="103" t="n">
        <v>0.25</v>
      </c>
      <c r="K9" s="27"/>
      <c r="L9" s="27"/>
      <c r="M9" s="27"/>
      <c r="N9" s="27"/>
      <c r="O9" s="27"/>
      <c r="P9" s="27"/>
      <c r="Q9" s="27"/>
    </row>
    <row r="10" customFormat="false" ht="15" hidden="false" customHeight="false" outlineLevel="0" collapsed="false">
      <c r="B10" s="20" t="s">
        <v>248</v>
      </c>
      <c r="C10" s="103" t="n">
        <v>0</v>
      </c>
      <c r="E10" s="16" t="s">
        <v>1263</v>
      </c>
      <c r="F10" s="103" t="n">
        <v>0.25</v>
      </c>
      <c r="H10" s="20" t="s">
        <v>247</v>
      </c>
      <c r="I10" s="23" t="n">
        <f aca="false">C9</f>
        <v>0.25</v>
      </c>
      <c r="K10" s="27"/>
      <c r="L10" s="27"/>
      <c r="M10" s="27"/>
      <c r="N10" s="27"/>
      <c r="O10" s="27"/>
      <c r="P10" s="27"/>
      <c r="Q10" s="27"/>
    </row>
    <row r="11" customFormat="false" ht="15" hidden="false" customHeight="false" outlineLevel="0" collapsed="false">
      <c r="B11" s="20" t="s">
        <v>249</v>
      </c>
      <c r="C11" s="105" t="s">
        <v>1264</v>
      </c>
      <c r="E11" s="16" t="s">
        <v>301</v>
      </c>
      <c r="F11" s="103" t="n">
        <v>0</v>
      </c>
      <c r="K11" s="27"/>
      <c r="L11" s="27"/>
      <c r="M11" s="27"/>
      <c r="N11" s="27"/>
      <c r="O11" s="27"/>
      <c r="P11" s="27"/>
      <c r="Q11" s="27"/>
    </row>
    <row r="12" customFormat="false" ht="15" hidden="false" customHeight="false" outlineLevel="0" collapsed="false">
      <c r="B12" s="7" t="s">
        <v>1265</v>
      </c>
      <c r="C12" s="7"/>
      <c r="D12" s="7"/>
      <c r="E12" s="7"/>
      <c r="F12" s="7"/>
    </row>
    <row r="13" customFormat="false" ht="15" hidden="false" customHeight="false" outlineLevel="0" collapsed="false">
      <c r="B13" s="8" t="s">
        <v>1266</v>
      </c>
      <c r="C13" s="8" t="s">
        <v>1267</v>
      </c>
      <c r="D13" s="8" t="s">
        <v>1093</v>
      </c>
      <c r="E13" s="8" t="s">
        <v>1268</v>
      </c>
    </row>
    <row r="14" customFormat="false" ht="15" hidden="false" customHeight="false" outlineLevel="0" collapsed="false">
      <c r="B14" s="20" t="s">
        <v>1269</v>
      </c>
      <c r="C14" s="106" t="n">
        <v>7</v>
      </c>
      <c r="D14" s="103" t="n">
        <v>1</v>
      </c>
      <c r="E14" s="66" t="s">
        <v>1270</v>
      </c>
      <c r="G14" s="43" t="s">
        <v>1271</v>
      </c>
    </row>
    <row r="15" customFormat="false" ht="15" hidden="false" customHeight="false" outlineLevel="0" collapsed="false">
      <c r="B15" s="20" t="s">
        <v>1272</v>
      </c>
      <c r="C15" s="106" t="n">
        <v>3</v>
      </c>
      <c r="D15" s="103" t="n">
        <v>0.6</v>
      </c>
      <c r="E15" s="66" t="s">
        <v>1273</v>
      </c>
    </row>
    <row r="16" customFormat="false" ht="15" hidden="false" customHeight="false" outlineLevel="0" collapsed="false">
      <c r="B16" s="20" t="s">
        <v>1274</v>
      </c>
      <c r="C16" s="106"/>
      <c r="D16" s="103" t="n">
        <v>0.25</v>
      </c>
      <c r="E16" s="66" t="s">
        <v>1273</v>
      </c>
    </row>
    <row r="17" customFormat="false" ht="15" hidden="false" customHeight="false" outlineLevel="0" collapsed="false">
      <c r="B17" s="20" t="s">
        <v>1275</v>
      </c>
      <c r="C17" s="106" t="n">
        <v>30</v>
      </c>
      <c r="D17" s="103" t="n">
        <v>1</v>
      </c>
      <c r="E17" s="66" t="s">
        <v>1276</v>
      </c>
    </row>
    <row r="18" customFormat="false" ht="15" hidden="false" customHeight="false" outlineLevel="0" collapsed="false">
      <c r="B18" s="20" t="s">
        <v>1277</v>
      </c>
      <c r="C18" s="106" t="n">
        <v>50</v>
      </c>
      <c r="D18" s="103" t="n">
        <v>0.7</v>
      </c>
      <c r="E18" s="66" t="s">
        <v>1276</v>
      </c>
    </row>
    <row r="19" customFormat="false" ht="15" hidden="false" customHeight="false" outlineLevel="0" collapsed="false">
      <c r="B19" s="20" t="s">
        <v>1278</v>
      </c>
      <c r="C19" s="106"/>
      <c r="D19" s="103" t="n">
        <v>0.4</v>
      </c>
      <c r="E19" s="66" t="s">
        <v>1276</v>
      </c>
    </row>
    <row r="21" customFormat="false" ht="15" hidden="false" customHeight="false" outlineLevel="0" collapsed="false">
      <c r="B21" s="7" t="s">
        <v>1279</v>
      </c>
      <c r="C21" s="7"/>
      <c r="D21" s="7"/>
      <c r="E21" s="7"/>
      <c r="F21" s="7"/>
      <c r="G21" s="7"/>
      <c r="H21" s="7"/>
      <c r="I21" s="7"/>
    </row>
    <row r="22" customFormat="false" ht="22.35" hidden="false" customHeight="false" outlineLevel="0" collapsed="false">
      <c r="B22" s="8" t="s">
        <v>1280</v>
      </c>
      <c r="C22" s="8" t="s">
        <v>949</v>
      </c>
      <c r="D22" s="8" t="s">
        <v>927</v>
      </c>
      <c r="G22" s="8" t="s">
        <v>1281</v>
      </c>
      <c r="H22" s="8" t="s">
        <v>1267</v>
      </c>
    </row>
    <row r="23" customFormat="false" ht="15" hidden="false" customHeight="false" outlineLevel="0" collapsed="false">
      <c r="B23" s="20" t="s">
        <v>1282</v>
      </c>
      <c r="C23" s="61" t="n">
        <v>35</v>
      </c>
      <c r="D23" s="66" t="s">
        <v>1283</v>
      </c>
      <c r="E23" s="66"/>
      <c r="F23" s="66"/>
      <c r="G23" s="20" t="s">
        <v>1284</v>
      </c>
      <c r="H23" s="94" t="n">
        <v>0.6</v>
      </c>
    </row>
    <row r="24" customFormat="false" ht="15" hidden="false" customHeight="false" outlineLevel="0" collapsed="false">
      <c r="B24" s="20" t="s">
        <v>1285</v>
      </c>
      <c r="C24" s="61" t="n">
        <v>15</v>
      </c>
      <c r="D24" s="66" t="s">
        <v>1286</v>
      </c>
      <c r="E24" s="66"/>
      <c r="F24" s="66"/>
      <c r="G24" s="20" t="s">
        <v>1287</v>
      </c>
      <c r="H24" s="94" t="n">
        <v>0.8</v>
      </c>
    </row>
    <row r="25" customFormat="false" ht="15" hidden="false" customHeight="false" outlineLevel="0" collapsed="false">
      <c r="B25" s="20" t="s">
        <v>1288</v>
      </c>
      <c r="C25" s="61" t="n">
        <v>25</v>
      </c>
      <c r="D25" s="66" t="s">
        <v>1289</v>
      </c>
      <c r="E25" s="66"/>
      <c r="F25" s="66"/>
      <c r="G25" s="20" t="s">
        <v>1290</v>
      </c>
      <c r="H25" s="94" t="n">
        <v>0.6</v>
      </c>
    </row>
    <row r="26" customFormat="false" ht="15" hidden="false" customHeight="false" outlineLevel="0" collapsed="false">
      <c r="B26" s="20" t="s">
        <v>1291</v>
      </c>
      <c r="C26" s="61" t="n">
        <v>15</v>
      </c>
      <c r="D26" s="66" t="s">
        <v>1292</v>
      </c>
      <c r="E26" s="66"/>
      <c r="F26" s="66"/>
      <c r="G26" s="20" t="s">
        <v>1293</v>
      </c>
      <c r="H26" s="94" t="n">
        <v>0.75</v>
      </c>
    </row>
    <row r="27" customFormat="false" ht="15" hidden="false" customHeight="false" outlineLevel="0" collapsed="false">
      <c r="B27" s="20" t="s">
        <v>1294</v>
      </c>
      <c r="C27" s="61" t="n">
        <v>10</v>
      </c>
      <c r="D27" s="66" t="s">
        <v>1295</v>
      </c>
      <c r="E27" s="66"/>
      <c r="F27" s="66"/>
      <c r="G27" s="20" t="s">
        <v>1296</v>
      </c>
      <c r="H27" s="94" t="n">
        <v>0.5</v>
      </c>
    </row>
    <row r="28" customFormat="false" ht="15" hidden="false" customHeight="false" outlineLevel="0" collapsed="false">
      <c r="B28" s="107" t="s">
        <v>979</v>
      </c>
      <c r="C28" s="108" t="n">
        <f aca="false">SUM(C23:C27)</f>
        <v>100</v>
      </c>
    </row>
    <row r="30" customFormat="false" ht="15" hidden="false" customHeight="false" outlineLevel="0" collapsed="false">
      <c r="B30" s="7" t="s">
        <v>1297</v>
      </c>
      <c r="C30" s="7"/>
      <c r="D30" s="7"/>
      <c r="E30" s="7"/>
      <c r="F30" s="7"/>
    </row>
    <row r="31" customFormat="false" ht="15" hidden="false" customHeight="false" outlineLevel="0" collapsed="false">
      <c r="B31" s="8" t="s">
        <v>981</v>
      </c>
      <c r="C31" s="8" t="s">
        <v>1298</v>
      </c>
      <c r="D31" s="8" t="s">
        <v>949</v>
      </c>
      <c r="E31" s="8" t="s">
        <v>1299</v>
      </c>
    </row>
    <row r="32" customFormat="false" ht="15" hidden="false" customHeight="false" outlineLevel="0" collapsed="false">
      <c r="B32" s="16" t="s">
        <v>1300</v>
      </c>
      <c r="C32" s="20" t="s">
        <v>1301</v>
      </c>
      <c r="D32" s="106" t="n">
        <v>25</v>
      </c>
      <c r="E32" s="66" t="s">
        <v>1302</v>
      </c>
      <c r="F32" s="66"/>
      <c r="G32" s="66"/>
      <c r="H32" s="66"/>
    </row>
    <row r="33" customFormat="false" ht="15" hidden="false" customHeight="false" outlineLevel="0" collapsed="false">
      <c r="B33" s="16" t="s">
        <v>402</v>
      </c>
      <c r="C33" s="20" t="s">
        <v>1303</v>
      </c>
      <c r="D33" s="106" t="n">
        <v>10</v>
      </c>
      <c r="E33" s="66" t="s">
        <v>1304</v>
      </c>
      <c r="F33" s="66"/>
      <c r="G33" s="66"/>
      <c r="H33" s="66"/>
    </row>
    <row r="34" customFormat="false" ht="15" hidden="false" customHeight="false" outlineLevel="0" collapsed="false">
      <c r="B34" s="16" t="s">
        <v>403</v>
      </c>
      <c r="C34" s="20" t="s">
        <v>1305</v>
      </c>
      <c r="D34" s="106" t="n">
        <v>25</v>
      </c>
      <c r="E34" s="66" t="s">
        <v>1306</v>
      </c>
      <c r="F34" s="66"/>
      <c r="G34" s="66"/>
      <c r="H34" s="66"/>
    </row>
    <row r="35" customFormat="false" ht="15" hidden="false" customHeight="false" outlineLevel="0" collapsed="false">
      <c r="B35" s="16" t="s">
        <v>404</v>
      </c>
      <c r="C35" s="20" t="s">
        <v>1307</v>
      </c>
      <c r="D35" s="106" t="n">
        <v>15</v>
      </c>
      <c r="E35" s="66" t="s">
        <v>1308</v>
      </c>
      <c r="F35" s="66"/>
      <c r="G35" s="66"/>
      <c r="H35" s="66"/>
    </row>
    <row r="36" customFormat="false" ht="15" hidden="false" customHeight="false" outlineLevel="0" collapsed="false">
      <c r="B36" s="16" t="s">
        <v>405</v>
      </c>
      <c r="C36" s="20" t="s">
        <v>1309</v>
      </c>
      <c r="D36" s="106" t="n">
        <v>5</v>
      </c>
      <c r="E36" s="66" t="s">
        <v>1310</v>
      </c>
      <c r="F36" s="66"/>
      <c r="G36" s="66"/>
      <c r="H36" s="66"/>
    </row>
    <row r="37" customFormat="false" ht="15" hidden="false" customHeight="false" outlineLevel="0" collapsed="false">
      <c r="B37" s="16" t="s">
        <v>406</v>
      </c>
      <c r="C37" s="20" t="s">
        <v>1311</v>
      </c>
      <c r="D37" s="106" t="n">
        <v>10</v>
      </c>
      <c r="E37" s="66" t="s">
        <v>1312</v>
      </c>
      <c r="F37" s="66"/>
      <c r="G37" s="66"/>
      <c r="H37" s="66"/>
    </row>
    <row r="38" customFormat="false" ht="15" hidden="false" customHeight="false" outlineLevel="0" collapsed="false">
      <c r="B38" s="16" t="s">
        <v>407</v>
      </c>
      <c r="C38" s="20" t="s">
        <v>1313</v>
      </c>
      <c r="D38" s="106" t="n">
        <v>10</v>
      </c>
      <c r="E38" s="66" t="s">
        <v>1314</v>
      </c>
      <c r="F38" s="66"/>
      <c r="G38" s="66"/>
      <c r="H38" s="66"/>
    </row>
    <row r="39" customFormat="false" ht="15" hidden="false" customHeight="false" outlineLevel="0" collapsed="false">
      <c r="C39" s="73" t="s">
        <v>979</v>
      </c>
      <c r="D39" s="108" t="n">
        <f aca="false">SUM(D32:D38)</f>
        <v>100</v>
      </c>
    </row>
    <row r="41" customFormat="false" ht="15" hidden="false" customHeight="false" outlineLevel="0" collapsed="false">
      <c r="B41" s="7" t="s">
        <v>1315</v>
      </c>
      <c r="C41" s="7"/>
      <c r="D41" s="7"/>
      <c r="E41" s="7"/>
      <c r="F41" s="7"/>
    </row>
    <row r="42" customFormat="false" ht="15" hidden="false" customHeight="false" outlineLevel="0" collapsed="false">
      <c r="B42" s="8" t="s">
        <v>981</v>
      </c>
      <c r="C42" s="8" t="s">
        <v>1298</v>
      </c>
      <c r="D42" s="8" t="s">
        <v>949</v>
      </c>
      <c r="E42" s="8" t="s">
        <v>1299</v>
      </c>
    </row>
    <row r="43" customFormat="false" ht="15" hidden="false" customHeight="false" outlineLevel="0" collapsed="false">
      <c r="B43" s="16" t="s">
        <v>1316</v>
      </c>
      <c r="C43" s="20" t="s">
        <v>1317</v>
      </c>
      <c r="D43" s="106" t="n">
        <v>20</v>
      </c>
      <c r="E43" s="66" t="s">
        <v>1318</v>
      </c>
      <c r="F43" s="66"/>
      <c r="G43" s="66"/>
      <c r="H43" s="66"/>
    </row>
    <row r="44" customFormat="false" ht="15" hidden="false" customHeight="false" outlineLevel="0" collapsed="false">
      <c r="B44" s="16" t="s">
        <v>1319</v>
      </c>
      <c r="C44" s="20" t="s">
        <v>1320</v>
      </c>
      <c r="D44" s="106" t="n">
        <v>10</v>
      </c>
      <c r="E44" s="66" t="s">
        <v>1318</v>
      </c>
      <c r="F44" s="66"/>
      <c r="G44" s="66"/>
      <c r="H44" s="66"/>
    </row>
    <row r="45" customFormat="false" ht="15" hidden="false" customHeight="false" outlineLevel="0" collapsed="false">
      <c r="B45" s="16" t="s">
        <v>1321</v>
      </c>
      <c r="C45" s="20" t="s">
        <v>1322</v>
      </c>
      <c r="D45" s="106" t="n">
        <v>20</v>
      </c>
      <c r="E45" s="66" t="s">
        <v>1318</v>
      </c>
      <c r="F45" s="66"/>
      <c r="G45" s="66"/>
      <c r="H45" s="66"/>
    </row>
    <row r="46" customFormat="false" ht="15" hidden="false" customHeight="false" outlineLevel="0" collapsed="false">
      <c r="B46" s="16" t="s">
        <v>1323</v>
      </c>
      <c r="C46" s="20" t="s">
        <v>1324</v>
      </c>
      <c r="D46" s="106" t="n">
        <v>15</v>
      </c>
      <c r="E46" s="66" t="s">
        <v>1318</v>
      </c>
      <c r="F46" s="66"/>
      <c r="G46" s="66"/>
      <c r="H46" s="66"/>
    </row>
    <row r="47" customFormat="false" ht="15" hidden="false" customHeight="false" outlineLevel="0" collapsed="false">
      <c r="B47" s="16" t="s">
        <v>1325</v>
      </c>
      <c r="C47" s="20" t="s">
        <v>1326</v>
      </c>
      <c r="D47" s="106" t="n">
        <v>5</v>
      </c>
      <c r="E47" s="66" t="s">
        <v>1318</v>
      </c>
      <c r="F47" s="66"/>
      <c r="G47" s="66"/>
      <c r="H47" s="66"/>
    </row>
    <row r="48" customFormat="false" ht="15" hidden="false" customHeight="false" outlineLevel="0" collapsed="false">
      <c r="B48" s="16" t="s">
        <v>1327</v>
      </c>
      <c r="C48" s="20" t="s">
        <v>1328</v>
      </c>
      <c r="D48" s="106" t="n">
        <v>10</v>
      </c>
      <c r="E48" s="66" t="s">
        <v>1318</v>
      </c>
      <c r="F48" s="66"/>
      <c r="G48" s="66"/>
      <c r="H48" s="66"/>
    </row>
    <row r="49" customFormat="false" ht="15" hidden="false" customHeight="false" outlineLevel="0" collapsed="false">
      <c r="B49" s="16" t="s">
        <v>1329</v>
      </c>
      <c r="C49" s="20" t="s">
        <v>1330</v>
      </c>
      <c r="D49" s="106" t="n">
        <v>10</v>
      </c>
      <c r="E49" s="66" t="s">
        <v>1318</v>
      </c>
      <c r="F49" s="66"/>
      <c r="G49" s="66"/>
      <c r="H49" s="66"/>
    </row>
    <row r="50" customFormat="false" ht="15" hidden="false" customHeight="false" outlineLevel="0" collapsed="false">
      <c r="B50" s="16" t="s">
        <v>1331</v>
      </c>
      <c r="C50" s="20" t="s">
        <v>1332</v>
      </c>
      <c r="D50" s="106" t="n">
        <v>5</v>
      </c>
      <c r="E50" s="66" t="s">
        <v>1318</v>
      </c>
      <c r="F50" s="66"/>
      <c r="G50" s="66"/>
      <c r="H50" s="66"/>
    </row>
    <row r="51" customFormat="false" ht="15" hidden="false" customHeight="false" outlineLevel="0" collapsed="false">
      <c r="B51" s="16" t="s">
        <v>1333</v>
      </c>
      <c r="C51" s="20" t="s">
        <v>1334</v>
      </c>
      <c r="D51" s="106" t="n">
        <v>5</v>
      </c>
      <c r="E51" s="66" t="s">
        <v>1318</v>
      </c>
      <c r="F51" s="66"/>
      <c r="G51" s="66"/>
      <c r="H51" s="66"/>
    </row>
    <row r="52" customFormat="false" ht="15" hidden="false" customHeight="false" outlineLevel="0" collapsed="false">
      <c r="C52" s="73" t="s">
        <v>979</v>
      </c>
      <c r="D52" s="108" t="n">
        <f aca="false">SUM(D43:D51)</f>
        <v>100</v>
      </c>
    </row>
    <row r="54" customFormat="false" ht="15" hidden="false" customHeight="false" outlineLevel="0" collapsed="false">
      <c r="B54" s="7" t="s">
        <v>1335</v>
      </c>
      <c r="C54" s="7"/>
      <c r="D54" s="7"/>
      <c r="E54" s="7"/>
      <c r="F54" s="7"/>
    </row>
    <row r="55" customFormat="false" ht="15" hidden="false" customHeight="false" outlineLevel="0" collapsed="false">
      <c r="B55" s="8" t="s">
        <v>981</v>
      </c>
      <c r="C55" s="8" t="s">
        <v>1298</v>
      </c>
      <c r="D55" s="8" t="s">
        <v>949</v>
      </c>
      <c r="E55" s="8" t="s">
        <v>1299</v>
      </c>
    </row>
    <row r="56" customFormat="false" ht="15" hidden="false" customHeight="false" outlineLevel="0" collapsed="false">
      <c r="B56" s="16" t="s">
        <v>826</v>
      </c>
      <c r="C56" s="20" t="s">
        <v>1336</v>
      </c>
      <c r="D56" s="106" t="n">
        <v>40</v>
      </c>
      <c r="E56" s="66" t="s">
        <v>1318</v>
      </c>
      <c r="F56" s="66"/>
      <c r="G56" s="66"/>
      <c r="H56" s="66"/>
    </row>
    <row r="57" customFormat="false" ht="15" hidden="false" customHeight="false" outlineLevel="0" collapsed="false">
      <c r="B57" s="16" t="s">
        <v>830</v>
      </c>
      <c r="C57" s="20" t="s">
        <v>1337</v>
      </c>
      <c r="D57" s="106" t="n">
        <v>20</v>
      </c>
      <c r="E57" s="66" t="s">
        <v>1318</v>
      </c>
      <c r="F57" s="66"/>
      <c r="G57" s="66"/>
      <c r="H57" s="66"/>
    </row>
    <row r="58" customFormat="false" ht="15" hidden="false" customHeight="false" outlineLevel="0" collapsed="false">
      <c r="B58" s="16" t="s">
        <v>833</v>
      </c>
      <c r="C58" s="20" t="s">
        <v>1338</v>
      </c>
      <c r="D58" s="106" t="n">
        <v>15</v>
      </c>
      <c r="E58" s="66" t="s">
        <v>1318</v>
      </c>
      <c r="F58" s="66"/>
      <c r="G58" s="66"/>
      <c r="H58" s="66"/>
    </row>
    <row r="59" customFormat="false" ht="15" hidden="false" customHeight="false" outlineLevel="0" collapsed="false">
      <c r="B59" s="16" t="s">
        <v>836</v>
      </c>
      <c r="C59" s="20" t="s">
        <v>1339</v>
      </c>
      <c r="D59" s="106" t="n">
        <v>10</v>
      </c>
      <c r="E59" s="66" t="s">
        <v>1318</v>
      </c>
      <c r="F59" s="66"/>
      <c r="G59" s="66"/>
      <c r="H59" s="66"/>
    </row>
    <row r="60" customFormat="false" ht="15" hidden="false" customHeight="false" outlineLevel="0" collapsed="false">
      <c r="B60" s="16" t="s">
        <v>839</v>
      </c>
      <c r="C60" s="20" t="s">
        <v>1340</v>
      </c>
      <c r="D60" s="106" t="n">
        <v>10</v>
      </c>
      <c r="E60" s="66" t="s">
        <v>1318</v>
      </c>
      <c r="F60" s="66"/>
      <c r="G60" s="66"/>
      <c r="H60" s="66"/>
    </row>
    <row r="61" customFormat="false" ht="15" hidden="false" customHeight="false" outlineLevel="0" collapsed="false">
      <c r="B61" s="16" t="s">
        <v>1341</v>
      </c>
      <c r="C61" s="20" t="s">
        <v>1342</v>
      </c>
      <c r="D61" s="106" t="n">
        <v>5</v>
      </c>
      <c r="E61" s="66" t="s">
        <v>1318</v>
      </c>
      <c r="F61" s="66"/>
      <c r="G61" s="66"/>
      <c r="H61" s="66"/>
    </row>
    <row r="62" customFormat="false" ht="15" hidden="false" customHeight="false" outlineLevel="0" collapsed="false">
      <c r="C62" s="73" t="s">
        <v>979</v>
      </c>
      <c r="D62" s="108" t="n">
        <f aca="false">SUM(D56:D61)</f>
        <v>100</v>
      </c>
    </row>
    <row r="64" customFormat="false" ht="15" hidden="false" customHeight="false" outlineLevel="0" collapsed="false">
      <c r="B64" s="7" t="s">
        <v>1343</v>
      </c>
      <c r="C64" s="7"/>
      <c r="D64" s="7"/>
      <c r="E64" s="7"/>
      <c r="F64" s="7"/>
    </row>
    <row r="65" customFormat="false" ht="15" hidden="false" customHeight="false" outlineLevel="0" collapsed="false">
      <c r="B65" s="8" t="s">
        <v>981</v>
      </c>
      <c r="C65" s="8" t="s">
        <v>1298</v>
      </c>
      <c r="D65" s="8" t="s">
        <v>949</v>
      </c>
      <c r="E65" s="8" t="s">
        <v>1299</v>
      </c>
    </row>
    <row r="66" customFormat="false" ht="15" hidden="false" customHeight="false" outlineLevel="0" collapsed="false">
      <c r="B66" s="16" t="s">
        <v>641</v>
      </c>
      <c r="C66" s="20" t="s">
        <v>1344</v>
      </c>
      <c r="D66" s="106" t="n">
        <v>30</v>
      </c>
      <c r="E66" s="66" t="s">
        <v>1318</v>
      </c>
      <c r="F66" s="66"/>
      <c r="G66" s="66"/>
      <c r="H66" s="66"/>
    </row>
    <row r="67" customFormat="false" ht="15" hidden="false" customHeight="false" outlineLevel="0" collapsed="false">
      <c r="B67" s="16" t="s">
        <v>650</v>
      </c>
      <c r="C67" s="20" t="s">
        <v>1345</v>
      </c>
      <c r="D67" s="106" t="n">
        <v>25</v>
      </c>
      <c r="E67" s="66" t="s">
        <v>1318</v>
      </c>
      <c r="F67" s="66"/>
      <c r="G67" s="66"/>
      <c r="H67" s="66"/>
    </row>
    <row r="68" customFormat="false" ht="15" hidden="false" customHeight="false" outlineLevel="0" collapsed="false">
      <c r="B68" s="16" t="s">
        <v>659</v>
      </c>
      <c r="C68" s="20" t="s">
        <v>1346</v>
      </c>
      <c r="D68" s="106" t="n">
        <v>20</v>
      </c>
      <c r="E68" s="66" t="s">
        <v>1318</v>
      </c>
      <c r="F68" s="66"/>
      <c r="G68" s="66"/>
      <c r="H68" s="66"/>
    </row>
    <row r="69" customFormat="false" ht="15" hidden="false" customHeight="false" outlineLevel="0" collapsed="false">
      <c r="B69" s="16" t="s">
        <v>1347</v>
      </c>
      <c r="C69" s="20" t="s">
        <v>1348</v>
      </c>
      <c r="D69" s="106" t="n">
        <v>10</v>
      </c>
      <c r="E69" s="66" t="s">
        <v>1318</v>
      </c>
      <c r="F69" s="66"/>
      <c r="G69" s="66"/>
      <c r="H69" s="66"/>
    </row>
    <row r="70" customFormat="false" ht="15" hidden="false" customHeight="false" outlineLevel="0" collapsed="false">
      <c r="B70" s="16" t="s">
        <v>1349</v>
      </c>
      <c r="C70" s="20" t="s">
        <v>1350</v>
      </c>
      <c r="D70" s="106" t="n">
        <v>15</v>
      </c>
      <c r="E70" s="66" t="s">
        <v>1318</v>
      </c>
      <c r="F70" s="66"/>
      <c r="G70" s="66"/>
      <c r="H70" s="66"/>
    </row>
    <row r="71" customFormat="false" ht="15" hidden="false" customHeight="false" outlineLevel="0" collapsed="false">
      <c r="C71" s="73" t="s">
        <v>979</v>
      </c>
      <c r="D71" s="108" t="n">
        <f aca="false">SUM(D66:D70)</f>
        <v>100</v>
      </c>
    </row>
    <row r="73" customFormat="false" ht="15" hidden="false" customHeight="false" outlineLevel="0" collapsed="false">
      <c r="B73" s="7" t="s">
        <v>1351</v>
      </c>
      <c r="C73" s="7"/>
      <c r="D73" s="7"/>
      <c r="E73" s="7"/>
      <c r="F73" s="7"/>
    </row>
    <row r="74" customFormat="false" ht="15" hidden="false" customHeight="false" outlineLevel="0" collapsed="false">
      <c r="B74" s="8" t="s">
        <v>939</v>
      </c>
      <c r="C74" s="8" t="s">
        <v>940</v>
      </c>
      <c r="D74" s="8" t="s">
        <v>949</v>
      </c>
      <c r="E74" s="8" t="s">
        <v>950</v>
      </c>
    </row>
    <row r="75" customFormat="false" ht="15" hidden="false" customHeight="false" outlineLevel="0" collapsed="false">
      <c r="B75" s="16" t="s">
        <v>679</v>
      </c>
      <c r="C75" s="20" t="s">
        <v>952</v>
      </c>
      <c r="D75" s="109" t="n">
        <f aca="false">'06 Needs-Feature Map'!L14</f>
        <v>0.170618184789444</v>
      </c>
      <c r="E75" s="15" t="n">
        <f aca="false">'06 Needs-Feature Map'!M14</f>
        <v>1</v>
      </c>
    </row>
    <row r="76" customFormat="false" ht="15" hidden="false" customHeight="false" outlineLevel="0" collapsed="false">
      <c r="B76" s="16" t="s">
        <v>695</v>
      </c>
      <c r="C76" s="20" t="s">
        <v>955</v>
      </c>
      <c r="D76" s="109" t="n">
        <f aca="false">'06 Needs-Feature Map'!L15</f>
        <v>0.122507424392572</v>
      </c>
      <c r="E76" s="15" t="n">
        <f aca="false">'06 Needs-Feature Map'!M15</f>
        <v>4</v>
      </c>
    </row>
    <row r="77" customFormat="false" ht="15" hidden="false" customHeight="false" outlineLevel="0" collapsed="false">
      <c r="B77" s="16" t="s">
        <v>681</v>
      </c>
      <c r="C77" s="20" t="s">
        <v>958</v>
      </c>
      <c r="D77" s="109" t="n">
        <f aca="false">'06 Needs-Feature Map'!L16</f>
        <v>0.135138940527282</v>
      </c>
      <c r="E77" s="15" t="n">
        <f aca="false">'06 Needs-Feature Map'!M16</f>
        <v>3</v>
      </c>
    </row>
    <row r="78" customFormat="false" ht="15" hidden="false" customHeight="false" outlineLevel="0" collapsed="false">
      <c r="B78" s="16" t="s">
        <v>710</v>
      </c>
      <c r="C78" s="20" t="s">
        <v>961</v>
      </c>
      <c r="D78" s="109" t="n">
        <f aca="false">'06 Needs-Feature Map'!L17</f>
        <v>0.147869093484185</v>
      </c>
      <c r="E78" s="15" t="n">
        <f aca="false">'06 Needs-Feature Map'!M17</f>
        <v>2</v>
      </c>
    </row>
    <row r="79" customFormat="false" ht="15" hidden="false" customHeight="false" outlineLevel="0" collapsed="false">
      <c r="B79" s="16" t="s">
        <v>712</v>
      </c>
      <c r="C79" s="20" t="s">
        <v>964</v>
      </c>
      <c r="D79" s="109" t="n">
        <f aca="false">'06 Needs-Feature Map'!L18</f>
        <v>0.1197410754697</v>
      </c>
      <c r="E79" s="15" t="n">
        <f aca="false">'06 Needs-Feature Map'!M18</f>
        <v>6</v>
      </c>
    </row>
    <row r="80" customFormat="false" ht="15" hidden="false" customHeight="false" outlineLevel="0" collapsed="false">
      <c r="B80" s="16" t="s">
        <v>683</v>
      </c>
      <c r="C80" s="20" t="s">
        <v>967</v>
      </c>
      <c r="D80" s="109" t="n">
        <f aca="false">'06 Needs-Feature Map'!L19</f>
        <v>0.121051468079564</v>
      </c>
      <c r="E80" s="15" t="n">
        <f aca="false">'06 Needs-Feature Map'!M19</f>
        <v>5</v>
      </c>
    </row>
    <row r="81" customFormat="false" ht="15" hidden="false" customHeight="false" outlineLevel="0" collapsed="false">
      <c r="B81" s="16" t="s">
        <v>706</v>
      </c>
      <c r="C81" s="20" t="s">
        <v>970</v>
      </c>
      <c r="D81" s="109" t="n">
        <f aca="false">'06 Needs-Feature Map'!L20</f>
        <v>0.111812008503223</v>
      </c>
      <c r="E81" s="15" t="n">
        <f aca="false">'06 Needs-Feature Map'!M20</f>
        <v>7</v>
      </c>
    </row>
    <row r="82" customFormat="false" ht="15" hidden="false" customHeight="false" outlineLevel="0" collapsed="false">
      <c r="B82" s="16" t="s">
        <v>700</v>
      </c>
      <c r="C82" s="20" t="s">
        <v>973</v>
      </c>
      <c r="D82" s="109" t="n">
        <f aca="false">'06 Needs-Feature Map'!L21</f>
        <v>0.0665224107320992</v>
      </c>
      <c r="E82" s="15" t="n">
        <f aca="false">'06 Needs-Feature Map'!M21</f>
        <v>8</v>
      </c>
    </row>
    <row r="83" customFormat="false" ht="15" hidden="false" customHeight="false" outlineLevel="0" collapsed="false">
      <c r="B83" s="16" t="s">
        <v>765</v>
      </c>
      <c r="C83" s="20" t="s">
        <v>976</v>
      </c>
      <c r="D83" s="109" t="n">
        <f aca="false">'06 Needs-Feature Map'!L22</f>
        <v>0.00473939402192901</v>
      </c>
      <c r="E83" s="15" t="n">
        <f aca="false">'06 Needs-Feature Map'!M22</f>
        <v>9</v>
      </c>
    </row>
    <row r="84" customFormat="false" ht="15" hidden="false" customHeight="false" outlineLevel="0" collapsed="false">
      <c r="B84" s="7" t="s">
        <v>1352</v>
      </c>
      <c r="C84" s="7"/>
      <c r="D84" s="7"/>
      <c r="E84" s="7"/>
      <c r="F84" s="7"/>
      <c r="G84" s="7"/>
      <c r="H84" s="7"/>
      <c r="I84" s="7"/>
      <c r="J84" s="7"/>
      <c r="K84" s="7"/>
      <c r="L84" s="7"/>
      <c r="M84" s="7"/>
      <c r="N84" s="7"/>
      <c r="O84" s="7"/>
      <c r="P84" s="7"/>
      <c r="Q84" s="7"/>
      <c r="R84" s="7"/>
      <c r="S84" s="7"/>
      <c r="T84" s="7"/>
    </row>
    <row r="85" customFormat="false" ht="25.5" hidden="false" customHeight="true" outlineLevel="0" collapsed="false">
      <c r="B85" s="27" t="s">
        <v>1353</v>
      </c>
      <c r="C85" s="27"/>
      <c r="D85" s="27"/>
      <c r="E85" s="27"/>
      <c r="F85" s="27"/>
      <c r="G85" s="27"/>
      <c r="H85" s="27"/>
      <c r="I85" s="27"/>
      <c r="J85" s="27"/>
      <c r="K85" s="27"/>
      <c r="L85" s="27"/>
      <c r="M85" s="27"/>
      <c r="N85" s="27"/>
      <c r="O85" s="27"/>
      <c r="P85" s="27"/>
      <c r="Q85" s="27"/>
      <c r="R85" s="27"/>
      <c r="S85" s="27"/>
      <c r="T85" s="27"/>
    </row>
    <row r="86" customFormat="false" ht="51.75" hidden="false" customHeight="true" outlineLevel="0" collapsed="false">
      <c r="B86" s="8" t="s">
        <v>36</v>
      </c>
      <c r="C86" s="8" t="s">
        <v>12</v>
      </c>
      <c r="D86" s="8" t="s">
        <v>1282</v>
      </c>
      <c r="E86" s="8" t="s">
        <v>1354</v>
      </c>
      <c r="F86" s="8" t="s">
        <v>1355</v>
      </c>
      <c r="G86" s="8" t="s">
        <v>1356</v>
      </c>
      <c r="H86" s="8" t="s">
        <v>1357</v>
      </c>
      <c r="I86" s="8" t="s">
        <v>1358</v>
      </c>
      <c r="J86" s="8" t="s">
        <v>998</v>
      </c>
      <c r="K86" s="8" t="s">
        <v>1359</v>
      </c>
      <c r="L86" s="8" t="s">
        <v>1360</v>
      </c>
      <c r="M86" s="8" t="s">
        <v>1361</v>
      </c>
      <c r="N86" s="8" t="s">
        <v>1362</v>
      </c>
      <c r="O86" s="8" t="s">
        <v>20</v>
      </c>
      <c r="P86" s="8" t="s">
        <v>1363</v>
      </c>
      <c r="Q86" s="8" t="s">
        <v>1364</v>
      </c>
      <c r="R86" s="8" t="s">
        <v>1365</v>
      </c>
      <c r="S86" s="8" t="s">
        <v>19</v>
      </c>
      <c r="T86" s="8" t="s">
        <v>18</v>
      </c>
    </row>
    <row r="87" customFormat="false" ht="15" hidden="false" customHeight="false" outlineLevel="0" collapsed="false">
      <c r="B87" s="42" t="s">
        <v>48</v>
      </c>
      <c r="C87" s="46" t="s">
        <v>50</v>
      </c>
      <c r="D87" s="13" t="n">
        <f aca="false">'06 Needs-Feature Map'!M113</f>
        <v>62.2558861827256</v>
      </c>
      <c r="E87" s="71" t="n">
        <f aca="false">SUMPRODUCT('03 Feature Comparison'!$F$40:$L$40*(('03 Feature Comparison'!F41:L41="Yes")*'10 Scoring &amp; Weights'!$C$7+('03 Feature Comparison'!F41:L41="Conditional")*'10 Scoring &amp; Weights'!$C$8+('03 Feature Comparison'!F41:L41="Unknown")*'10 Scoring &amp; Weights'!$C$9+('03 Feature Comparison'!F41:L41="No")*'10 Scoring &amp; Weights'!$C$10))/SUMPRODUCT('03 Feature Comparison'!$F$40:$L$40*('03 Feature Comparison'!F41:L41&lt;&gt;"N/A"))*100</f>
        <v>50</v>
      </c>
      <c r="F87" s="71" t="n">
        <f aca="false">SUMPRODUCT('04 API &amp; Integration'!$D$23:$L$23*(('04 API &amp; Integration'!D24:L24="Yes")*'10 Scoring &amp; Weights'!$C$7+('04 API &amp; Integration'!D24:L24="Conditional")*'10 Scoring &amp; Weights'!$C$8+('04 API &amp; Integration'!D24:L24="Unknown")*'10 Scoring &amp; Weights'!$C$9+('04 API &amp; Integration'!D24:L24="No")*'10 Scoring &amp; Weights'!$C$10))/SUMPRODUCT('04 API &amp; Integration'!$D$23:$L$23*('04 API &amp; Integration'!D24:L24&lt;&gt;"N/A"))*100</f>
        <v>40</v>
      </c>
      <c r="G87" s="13" t="n">
        <f aca="false">'07 Commercial'!J24</f>
        <v>61.1171189531267</v>
      </c>
      <c r="H87" s="13" t="n">
        <f aca="false">'09 Regulatory &amp; Security'!Q6</f>
        <v>47.5</v>
      </c>
      <c r="I87" s="110" t="n">
        <f aca="false">(D87*$C$23+E87*$C$24+F87*$C$25+G87*$C$26+H87*$C$27)/$C$28</f>
        <v>53.207128006923</v>
      </c>
      <c r="J87" s="13" t="n">
        <f aca="false">'06 Needs-Feature Map'!O113</f>
        <v>52.5362598897993</v>
      </c>
      <c r="K87" s="13" t="n">
        <f aca="false">'06 Needs-Feature Map'!P113</f>
        <v>91.4147650615044</v>
      </c>
      <c r="L87" s="68" t="n">
        <f aca="false">1-(COUNTIF('03 Feature Comparison'!F6:AA6,"Unknown")-IF('03 Feature Comparison'!X6="Unknown",1,0)+COUNTIF('03 Feature Comparison'!F41:L41,"Unknown")+COUNTIF('04 API &amp; Integration'!D24:L24,"Unknown"))/(21+7-COUNTIF('03 Feature Comparison'!F41:L41,"N/A")+9)</f>
        <v>0.722222222222222</v>
      </c>
      <c r="M87" s="68" t="n">
        <f aca="false">IFERROR((COUNTIF('03 Feature Comparison'!F23:AA23,"A")*$F$7+COUNTIF('03 Feature Comparison'!F23:AA23,"B")*$F$8+COUNTIF('03 Feature Comparison'!F23:AA23,"C")*$F$9+COUNTIF('03 Feature Comparison'!F23:AA23,"D")*$F$10+COUNTIF('03 Feature Comparison'!F23:AA23,"X")*$F$11)/(COUNTIF('03 Feature Comparison'!F23:AA23,"A")+COUNTIF('03 Feature Comparison'!F23:AA23,"B")+COUNTIF('03 Feature Comparison'!F23:AA23,"C")+COUNTIF('03 Feature Comparison'!F23:AA23,"D")+COUNTIF('03 Feature Comparison'!F23:AA23,"X")),0)</f>
        <v>0.703125</v>
      </c>
      <c r="N87" s="68" t="n">
        <f aca="false">IFERROR(COUNTIF('03 Feature Comparison'!F23:AA23,"A")/(COUNTIF('03 Feature Comparison'!F23:AA23,"A")+COUNTIF('03 Feature Comparison'!F23:AA23,"B")+COUNTIF('03 Feature Comparison'!F23:AA23,"C")+COUNTIF('03 Feature Comparison'!F23:AA23,"D")+COUNTIF('03 Feature Comparison'!F23:AA23,"X")),0)</f>
        <v>0</v>
      </c>
      <c r="O87" s="12" t="str">
        <f aca="false">IF(AND(L87&gt;=$H$24,M87&gt;=$H$26,N87&gt;=$H$27),"High",IF(AND(L87&gt;=$H$23,M87&gt;=$H$25),"Medium","Low"))</f>
        <v>Medium</v>
      </c>
      <c r="P87" s="12" t="str">
        <f aca="false">IF('04 API &amp; Integration'!K6="Verified feasible","Pass",IF('04 API &amp; Integration'!K6="Conditional","Conditional",IF('04 API &amp; Integration'!K6="Not feasible","Fail","Pending")))</f>
        <v>Conditional</v>
      </c>
      <c r="Q87" s="15" t="str">
        <f aca="false">'07 Commercial'!Y6</f>
        <v>Conditional</v>
      </c>
      <c r="R87" s="15" t="str">
        <f aca="false">'09 Regulatory &amp; Security'!O6</f>
        <v>Conditional</v>
      </c>
      <c r="S87" s="22" t="str">
        <f aca="false">IF(OR(P87="Fail",Q87="Fail",R87="Fail"),"Ineligible",IF(AND(P87="Pass",Q87="Pass",R87="Pass"),"Eligible",IF(OR(P87="Pending",Q87="Pending",R87="Pending"),"Pending verification","Conditionally eligible")))</f>
        <v>Conditionally eligible</v>
      </c>
      <c r="T87" s="15" t="str">
        <f aca="false">'04 API &amp; Integration'!K6</f>
        <v>Conditional</v>
      </c>
    </row>
    <row r="88" customFormat="false" ht="15" hidden="false" customHeight="false" outlineLevel="0" collapsed="false">
      <c r="B88" s="42" t="s">
        <v>59</v>
      </c>
      <c r="C88" s="46" t="s">
        <v>60</v>
      </c>
      <c r="D88" s="13" t="n">
        <f aca="false">'06 Needs-Feature Map'!M114</f>
        <v>38.8102758012462</v>
      </c>
      <c r="E88" s="71" t="n">
        <f aca="false">SUMPRODUCT('03 Feature Comparison'!$F$40:$L$40*(('03 Feature Comparison'!F42:L42="Yes")*'10 Scoring &amp; Weights'!$C$7+('03 Feature Comparison'!F42:L42="Conditional")*'10 Scoring &amp; Weights'!$C$8+('03 Feature Comparison'!F42:L42="Unknown")*'10 Scoring &amp; Weights'!$C$9+('03 Feature Comparison'!F42:L42="No")*'10 Scoring &amp; Weights'!$C$10))/SUMPRODUCT('03 Feature Comparison'!$F$40:$L$40*('03 Feature Comparison'!F42:L42&lt;&gt;"N/A"))*100</f>
        <v>31.25</v>
      </c>
      <c r="F88" s="71" t="n">
        <f aca="false">SUMPRODUCT('04 API &amp; Integration'!$D$23:$L$23*(('04 API &amp; Integration'!D25:L25="Yes")*'10 Scoring &amp; Weights'!$C$7+('04 API &amp; Integration'!D25:L25="Conditional")*'10 Scoring &amp; Weights'!$C$8+('04 API &amp; Integration'!D25:L25="Unknown")*'10 Scoring &amp; Weights'!$C$9+('04 API &amp; Integration'!D25:L25="No")*'10 Scoring &amp; Weights'!$C$10))/SUMPRODUCT('04 API &amp; Integration'!$D$23:$L$23*('04 API &amp; Integration'!D25:L25&lt;&gt;"N/A"))*100</f>
        <v>27.5</v>
      </c>
      <c r="G88" s="13" t="n">
        <f aca="false">'07 Commercial'!J25</f>
        <v>35.5381094145368</v>
      </c>
      <c r="H88" s="13" t="n">
        <f aca="false">'09 Regulatory &amp; Security'!Q7</f>
        <v>28.75</v>
      </c>
      <c r="I88" s="110" t="n">
        <f aca="false">(D88*$C$23+E88*$C$24+F88*$C$25+G88*$C$26+H88*$C$27)/$C$28</f>
        <v>33.3518129426167</v>
      </c>
      <c r="J88" s="13" t="n">
        <f aca="false">'06 Needs-Feature Map'!O114</f>
        <v>19.0896423630201</v>
      </c>
      <c r="K88" s="13" t="n">
        <f aca="false">'06 Needs-Feature Map'!P114</f>
        <v>97.9721761159243</v>
      </c>
      <c r="L88" s="68" t="n">
        <f aca="false">1-(COUNTIF('03 Feature Comparison'!F7:AA7,"Unknown")-IF('03 Feature Comparison'!X7="Unknown",1,0)+COUNTIF('03 Feature Comparison'!F42:L42,"Unknown")+COUNTIF('04 API &amp; Integration'!D25:L25,"Unknown"))/(21+7-COUNTIF('03 Feature Comparison'!F42:L42,"N/A")+9)</f>
        <v>0.135135135135135</v>
      </c>
      <c r="M88" s="68" t="n">
        <f aca="false">IFERROR((COUNTIF('03 Feature Comparison'!F24:AA24,"A")*$F$7+COUNTIF('03 Feature Comparison'!F24:AA24,"B")*$F$8+COUNTIF('03 Feature Comparison'!F24:AA24,"C")*$F$9+COUNTIF('03 Feature Comparison'!F24:AA24,"D")*$F$10+COUNTIF('03 Feature Comparison'!F24:AA24,"X")*$F$11)/(COUNTIF('03 Feature Comparison'!F24:AA24,"A")+COUNTIF('03 Feature Comparison'!F24:AA24,"B")+COUNTIF('03 Feature Comparison'!F24:AA24,"C")+COUNTIF('03 Feature Comparison'!F24:AA24,"D")+COUNTIF('03 Feature Comparison'!F24:AA24,"X")),0)</f>
        <v>0.5</v>
      </c>
      <c r="N88" s="68" t="n">
        <f aca="false">IFERROR(COUNTIF('03 Feature Comparison'!F24:AA24,"A")/(COUNTIF('03 Feature Comparison'!F24:AA24,"A")+COUNTIF('03 Feature Comparison'!F24:AA24,"B")+COUNTIF('03 Feature Comparison'!F24:AA24,"C")+COUNTIF('03 Feature Comparison'!F24:AA24,"D")+COUNTIF('03 Feature Comparison'!F24:AA24,"X")),0)</f>
        <v>0</v>
      </c>
      <c r="O88" s="12" t="str">
        <f aca="false">IF(AND(L88&gt;=$H$24,M88&gt;=$H$26,N88&gt;=$H$27),"High",IF(AND(L88&gt;=$H$23,M88&gt;=$H$25),"Medium","Low"))</f>
        <v>Low</v>
      </c>
      <c r="P88" s="12" t="str">
        <f aca="false">IF('04 API &amp; Integration'!K7="Verified feasible","Pass",IF('04 API &amp; Integration'!K7="Conditional","Conditional",IF('04 API &amp; Integration'!K7="Not feasible","Fail","Pending")))</f>
        <v>Pending</v>
      </c>
      <c r="Q88" s="15" t="str">
        <f aca="false">'07 Commercial'!Y7</f>
        <v>Pending</v>
      </c>
      <c r="R88" s="15" t="str">
        <f aca="false">'09 Regulatory &amp; Security'!O7</f>
        <v>Pending</v>
      </c>
      <c r="S88" s="22" t="str">
        <f aca="false">IF(OR(P88="Fail",Q88="Fail",R88="Fail"),"Ineligible",IF(AND(P88="Pass",Q88="Pass",R88="Pass"),"Eligible",IF(OR(P88="Pending",Q88="Pending",R88="Pending"),"Pending verification","Conditionally eligible")))</f>
        <v>Pending verification</v>
      </c>
      <c r="T88" s="15" t="str">
        <f aca="false">'04 API &amp; Integration'!K7</f>
        <v>Not verified</v>
      </c>
    </row>
    <row r="89" customFormat="false" ht="15" hidden="false" customHeight="false" outlineLevel="0" collapsed="false">
      <c r="B89" s="42" t="s">
        <v>65</v>
      </c>
      <c r="C89" s="46" t="s">
        <v>66</v>
      </c>
      <c r="D89" s="13" t="n">
        <f aca="false">'06 Needs-Feature Map'!M115</f>
        <v>61.4383792012179</v>
      </c>
      <c r="E89" s="71" t="n">
        <f aca="false">SUMPRODUCT('03 Feature Comparison'!$F$40:$L$40*(('03 Feature Comparison'!F43:L43="Yes")*'10 Scoring &amp; Weights'!$C$7+('03 Feature Comparison'!F43:L43="Conditional")*'10 Scoring &amp; Weights'!$C$8+('03 Feature Comparison'!F43:L43="Unknown")*'10 Scoring &amp; Weights'!$C$9+('03 Feature Comparison'!F43:L43="No")*'10 Scoring &amp; Weights'!$C$10))/SUMPRODUCT('03 Feature Comparison'!$F$40:$L$40*('03 Feature Comparison'!F43:L43&lt;&gt;"N/A"))*100</f>
        <v>50</v>
      </c>
      <c r="F89" s="71" t="n">
        <f aca="false">SUMPRODUCT('04 API &amp; Integration'!$D$23:$L$23*(('04 API &amp; Integration'!D26:L26="Yes")*'10 Scoring &amp; Weights'!$C$7+('04 API &amp; Integration'!D26:L26="Conditional")*'10 Scoring &amp; Weights'!$C$8+('04 API &amp; Integration'!D26:L26="Unknown")*'10 Scoring &amp; Weights'!$C$9+('04 API &amp; Integration'!D26:L26="No")*'10 Scoring &amp; Weights'!$C$10))/SUMPRODUCT('04 API &amp; Integration'!$D$23:$L$23*('04 API &amp; Integration'!D26:L26&lt;&gt;"N/A"))*100</f>
        <v>50</v>
      </c>
      <c r="G89" s="13" t="n">
        <f aca="false">'07 Commercial'!J26</f>
        <v>43.5381094145368</v>
      </c>
      <c r="H89" s="13" t="n">
        <f aca="false">'09 Regulatory &amp; Security'!Q8</f>
        <v>70</v>
      </c>
      <c r="I89" s="110" t="n">
        <f aca="false">(D89*$C$23+E89*$C$24+F89*$C$25+G89*$C$26+H89*$C$27)/$C$28</f>
        <v>55.0341491326068</v>
      </c>
      <c r="J89" s="13" t="n">
        <f aca="false">'06 Needs-Feature Map'!O115</f>
        <v>49.7885190975235</v>
      </c>
      <c r="K89" s="13" t="n">
        <f aca="false">'06 Needs-Feature Map'!P115</f>
        <v>96.3879595123012</v>
      </c>
      <c r="L89" s="68" t="n">
        <f aca="false">1-(COUNTIF('03 Feature Comparison'!F8:AA8,"Unknown")-IF('03 Feature Comparison'!X8="Unknown",1,0)+COUNTIF('03 Feature Comparison'!F43:L43,"Unknown")+COUNTIF('04 API &amp; Integration'!D26:L26,"Unknown"))/(21+7-COUNTIF('03 Feature Comparison'!F43:L43,"N/A")+9)</f>
        <v>0.513513513513514</v>
      </c>
      <c r="M89" s="68" t="n">
        <f aca="false">IFERROR((COUNTIF('03 Feature Comparison'!F25:AA25,"A")*$F$7+COUNTIF('03 Feature Comparison'!F25:AA25,"B")*$F$8+COUNTIF('03 Feature Comparison'!F25:AA25,"C")*$F$9+COUNTIF('03 Feature Comparison'!F25:AA25,"D")*$F$10+COUNTIF('03 Feature Comparison'!F25:AA25,"X")*$F$11)/(COUNTIF('03 Feature Comparison'!F25:AA25,"A")+COUNTIF('03 Feature Comparison'!F25:AA25,"B")+COUNTIF('03 Feature Comparison'!F25:AA25,"C")+COUNTIF('03 Feature Comparison'!F25:AA25,"D")+COUNTIF('03 Feature Comparison'!F25:AA25,"X")),0)</f>
        <v>0.722222222222222</v>
      </c>
      <c r="N89" s="68" t="n">
        <f aca="false">IFERROR(COUNTIF('03 Feature Comparison'!F25:AA25,"A")/(COUNTIF('03 Feature Comparison'!F25:AA25,"A")+COUNTIF('03 Feature Comparison'!F25:AA25,"B")+COUNTIF('03 Feature Comparison'!F25:AA25,"C")+COUNTIF('03 Feature Comparison'!F25:AA25,"D")+COUNTIF('03 Feature Comparison'!F25:AA25,"X")),0)</f>
        <v>0</v>
      </c>
      <c r="O89" s="12" t="str">
        <f aca="false">IF(AND(L89&gt;=$H$24,M89&gt;=$H$26,N89&gt;=$H$27),"High",IF(AND(L89&gt;=$H$23,M89&gt;=$H$25),"Medium","Low"))</f>
        <v>Low</v>
      </c>
      <c r="P89" s="12" t="str">
        <f aca="false">IF('04 API &amp; Integration'!K8="Verified feasible","Pass",IF('04 API &amp; Integration'!K8="Conditional","Conditional",IF('04 API &amp; Integration'!K8="Not feasible","Fail","Pending")))</f>
        <v>Conditional</v>
      </c>
      <c r="Q89" s="15" t="str">
        <f aca="false">'07 Commercial'!Y8</f>
        <v>Conditional</v>
      </c>
      <c r="R89" s="15" t="str">
        <f aca="false">'09 Regulatory &amp; Security'!O8</f>
        <v>Conditional</v>
      </c>
      <c r="S89" s="22" t="str">
        <f aca="false">IF(OR(P89="Fail",Q89="Fail",R89="Fail"),"Ineligible",IF(AND(P89="Pass",Q89="Pass",R89="Pass"),"Eligible",IF(OR(P89="Pending",Q89="Pending",R89="Pending"),"Pending verification","Conditionally eligible")))</f>
        <v>Conditionally eligible</v>
      </c>
      <c r="T89" s="15" t="str">
        <f aca="false">'04 API &amp; Integration'!K8</f>
        <v>Conditional</v>
      </c>
    </row>
    <row r="90" customFormat="false" ht="15" hidden="false" customHeight="false" outlineLevel="0" collapsed="false">
      <c r="B90" s="42" t="s">
        <v>71</v>
      </c>
      <c r="C90" s="46" t="s">
        <v>72</v>
      </c>
      <c r="D90" s="13" t="n">
        <f aca="false">'06 Needs-Feature Map'!M116</f>
        <v>70.3709894004925</v>
      </c>
      <c r="E90" s="71" t="n">
        <f aca="false">SUMPRODUCT('03 Feature Comparison'!$F$40:$L$40*(('03 Feature Comparison'!F44:L44="Yes")*'10 Scoring &amp; Weights'!$C$7+('03 Feature Comparison'!F44:L44="Conditional")*'10 Scoring &amp; Weights'!$C$8+('03 Feature Comparison'!F44:L44="Unknown")*'10 Scoring &amp; Weights'!$C$9+('03 Feature Comparison'!F44:L44="No")*'10 Scoring &amp; Weights'!$C$10))/SUMPRODUCT('03 Feature Comparison'!$F$40:$L$40*('03 Feature Comparison'!F44:L44&lt;&gt;"N/A"))*100</f>
        <v>52.7777777777778</v>
      </c>
      <c r="F90" s="71" t="n">
        <f aca="false">SUMPRODUCT('04 API &amp; Integration'!$D$23:$L$23*(('04 API &amp; Integration'!D27:L27="Yes")*'10 Scoring &amp; Weights'!$C$7+('04 API &amp; Integration'!D27:L27="Conditional")*'10 Scoring &amp; Weights'!$C$8+('04 API &amp; Integration'!D27:L27="Unknown")*'10 Scoring &amp; Weights'!$C$9+('04 API &amp; Integration'!D27:L27="No")*'10 Scoring &amp; Weights'!$C$10))/SUMPRODUCT('04 API &amp; Integration'!$D$23:$L$23*('04 API &amp; Integration'!D27:L27&lt;&gt;"N/A"))*100</f>
        <v>22.5</v>
      </c>
      <c r="G90" s="13" t="n">
        <f aca="false">'07 Commercial'!J27</f>
        <v>56.5</v>
      </c>
      <c r="H90" s="13" t="n">
        <f aca="false">'09 Regulatory &amp; Security'!Q9</f>
        <v>42.5</v>
      </c>
      <c r="I90" s="110" t="n">
        <f aca="false">(D90*$C$23+E90*$C$24+F90*$C$25+G90*$C$26+H90*$C$27)/$C$28</f>
        <v>50.8965129568391</v>
      </c>
      <c r="J90" s="13" t="n">
        <f aca="false">'06 Needs-Feature Map'!O116</f>
        <v>63.2223093864655</v>
      </c>
      <c r="K90" s="13" t="n">
        <f aca="false">'06 Needs-Feature Map'!P116</f>
        <v>91.8170294425737</v>
      </c>
      <c r="L90" s="68" t="n">
        <f aca="false">1-(COUNTIF('03 Feature Comparison'!F9:AA9,"Unknown")-IF('03 Feature Comparison'!X9="Unknown",1,0)+COUNTIF('03 Feature Comparison'!F44:L44,"Unknown")+COUNTIF('04 API &amp; Integration'!D27:L27,"Unknown"))/(21+7-COUNTIF('03 Feature Comparison'!F44:L44,"N/A")+9)</f>
        <v>0.611111111111111</v>
      </c>
      <c r="M90" s="68" t="n">
        <f aca="false">IFERROR((COUNTIF('03 Feature Comparison'!F26:AA26,"A")*$F$7+COUNTIF('03 Feature Comparison'!F26:AA26,"B")*$F$8+COUNTIF('03 Feature Comparison'!F26:AA26,"C")*$F$9+COUNTIF('03 Feature Comparison'!F26:AA26,"D")*$F$10+COUNTIF('03 Feature Comparison'!F26:AA26,"X")*$F$11)/(COUNTIF('03 Feature Comparison'!F26:AA26,"A")+COUNTIF('03 Feature Comparison'!F26:AA26,"B")+COUNTIF('03 Feature Comparison'!F26:AA26,"C")+COUNTIF('03 Feature Comparison'!F26:AA26,"D")+COUNTIF('03 Feature Comparison'!F26:AA26,"X")),0)</f>
        <v>0.694444444444444</v>
      </c>
      <c r="N90" s="68" t="n">
        <f aca="false">IFERROR(COUNTIF('03 Feature Comparison'!F26:AA26,"A")/(COUNTIF('03 Feature Comparison'!F26:AA26,"A")+COUNTIF('03 Feature Comparison'!F26:AA26,"B")+COUNTIF('03 Feature Comparison'!F26:AA26,"C")+COUNTIF('03 Feature Comparison'!F26:AA26,"D")+COUNTIF('03 Feature Comparison'!F26:AA26,"X")),0)</f>
        <v>0</v>
      </c>
      <c r="O90" s="12" t="str">
        <f aca="false">IF(AND(L90&gt;=$H$24,M90&gt;=$H$26,N90&gt;=$H$27),"High",IF(AND(L90&gt;=$H$23,M90&gt;=$H$25),"Medium","Low"))</f>
        <v>Medium</v>
      </c>
      <c r="P90" s="12" t="str">
        <f aca="false">IF('04 API &amp; Integration'!K9="Verified feasible","Pass",IF('04 API &amp; Integration'!K9="Conditional","Conditional",IF('04 API &amp; Integration'!K9="Not feasible","Fail","Pending")))</f>
        <v>Pending</v>
      </c>
      <c r="Q90" s="15" t="str">
        <f aca="false">'07 Commercial'!Y9</f>
        <v>Conditional</v>
      </c>
      <c r="R90" s="15" t="str">
        <f aca="false">'09 Regulatory &amp; Security'!O9</f>
        <v>Conditional</v>
      </c>
      <c r="S90" s="22" t="str">
        <f aca="false">IF(OR(P90="Fail",Q90="Fail",R90="Fail"),"Ineligible",IF(AND(P90="Pass",Q90="Pass",R90="Pass"),"Eligible",IF(OR(P90="Pending",Q90="Pending",R90="Pending"),"Pending verification","Conditionally eligible")))</f>
        <v>Pending verification</v>
      </c>
      <c r="T90" s="15" t="str">
        <f aca="false">'04 API &amp; Integration'!K9</f>
        <v>Not verified</v>
      </c>
    </row>
    <row r="91" customFormat="false" ht="15" hidden="false" customHeight="false" outlineLevel="0" collapsed="false">
      <c r="B91" s="42" t="s">
        <v>80</v>
      </c>
      <c r="C91" s="46" t="s">
        <v>81</v>
      </c>
      <c r="D91" s="13" t="n">
        <f aca="false">'06 Needs-Feature Map'!M117</f>
        <v>69.8653677709651</v>
      </c>
      <c r="E91" s="71" t="n">
        <f aca="false">SUMPRODUCT('03 Feature Comparison'!$F$40:$L$40*(('03 Feature Comparison'!F45:L45="Yes")*'10 Scoring &amp; Weights'!$C$7+('03 Feature Comparison'!F45:L45="Conditional")*'10 Scoring &amp; Weights'!$C$8+('03 Feature Comparison'!F45:L45="Unknown")*'10 Scoring &amp; Weights'!$C$9+('03 Feature Comparison'!F45:L45="No")*'10 Scoring &amp; Weights'!$C$10))/SUMPRODUCT('03 Feature Comparison'!$F$40:$L$40*('03 Feature Comparison'!F45:L45&lt;&gt;"N/A"))*100</f>
        <v>44.4444444444444</v>
      </c>
      <c r="F91" s="71" t="n">
        <f aca="false">SUMPRODUCT('04 API &amp; Integration'!$D$23:$L$23*(('04 API &amp; Integration'!D28:L28="Yes")*'10 Scoring &amp; Weights'!$C$7+('04 API &amp; Integration'!D28:L28="Conditional")*'10 Scoring &amp; Weights'!$C$8+('04 API &amp; Integration'!D28:L28="Unknown")*'10 Scoring &amp; Weights'!$C$9+('04 API &amp; Integration'!D28:L28="No")*'10 Scoring &amp; Weights'!$C$10))/SUMPRODUCT('04 API &amp; Integration'!$D$23:$L$23*('04 API &amp; Integration'!D28:L28&lt;&gt;"N/A"))*100</f>
        <v>22.5</v>
      </c>
      <c r="G91" s="13" t="n">
        <f aca="false">'07 Commercial'!J28</f>
        <v>60.5</v>
      </c>
      <c r="H91" s="13" t="n">
        <f aca="false">'09 Regulatory &amp; Security'!Q10</f>
        <v>35</v>
      </c>
      <c r="I91" s="110" t="n">
        <f aca="false">(D91*$C$23+E91*$C$24+F91*$C$25+G91*$C$26+H91*$C$27)/$C$28</f>
        <v>49.3195453865045</v>
      </c>
      <c r="J91" s="13" t="n">
        <f aca="false">'06 Needs-Feature Map'!O117</f>
        <v>62.5481472137623</v>
      </c>
      <c r="K91" s="13" t="n">
        <f aca="false">'06 Needs-Feature Map'!P117</f>
        <v>91.8170294425737</v>
      </c>
      <c r="L91" s="68" t="n">
        <f aca="false">1-(COUNTIF('03 Feature Comparison'!F10:AA10,"Unknown")-IF('03 Feature Comparison'!X10="Unknown",1,0)+COUNTIF('03 Feature Comparison'!F45:L45,"Unknown")+COUNTIF('04 API &amp; Integration'!D28:L28,"Unknown"))/(21+7-COUNTIF('03 Feature Comparison'!F45:L45,"N/A")+9)</f>
        <v>0.555555555555556</v>
      </c>
      <c r="M91" s="68" t="n">
        <f aca="false">IFERROR((COUNTIF('03 Feature Comparison'!F27:AA27,"A")*$F$7+COUNTIF('03 Feature Comparison'!F27:AA27,"B")*$F$8+COUNTIF('03 Feature Comparison'!F27:AA27,"C")*$F$9+COUNTIF('03 Feature Comparison'!F27:AA27,"D")*$F$10+COUNTIF('03 Feature Comparison'!F27:AA27,"X")*$F$11)/(COUNTIF('03 Feature Comparison'!F27:AA27,"A")+COUNTIF('03 Feature Comparison'!F27:AA27,"B")+COUNTIF('03 Feature Comparison'!F27:AA27,"C")+COUNTIF('03 Feature Comparison'!F27:AA27,"D")+COUNTIF('03 Feature Comparison'!F27:AA27,"X")),0)</f>
        <v>0.666666666666667</v>
      </c>
      <c r="N91" s="68" t="n">
        <f aca="false">IFERROR(COUNTIF('03 Feature Comparison'!F27:AA27,"A")/(COUNTIF('03 Feature Comparison'!F27:AA27,"A")+COUNTIF('03 Feature Comparison'!F27:AA27,"B")+COUNTIF('03 Feature Comparison'!F27:AA27,"C")+COUNTIF('03 Feature Comparison'!F27:AA27,"D")+COUNTIF('03 Feature Comparison'!F27:AA27,"X")),0)</f>
        <v>0</v>
      </c>
      <c r="O91" s="12" t="str">
        <f aca="false">IF(AND(L91&gt;=$H$24,M91&gt;=$H$26,N91&gt;=$H$27),"High",IF(AND(L91&gt;=$H$23,M91&gt;=$H$25),"Medium","Low"))</f>
        <v>Low</v>
      </c>
      <c r="P91" s="12" t="str">
        <f aca="false">IF('04 API &amp; Integration'!K10="Verified feasible","Pass",IF('04 API &amp; Integration'!K10="Conditional","Conditional",IF('04 API &amp; Integration'!K10="Not feasible","Fail","Pending")))</f>
        <v>Pending</v>
      </c>
      <c r="Q91" s="15" t="str">
        <f aca="false">'07 Commercial'!Y10</f>
        <v>Conditional</v>
      </c>
      <c r="R91" s="15" t="str">
        <f aca="false">'09 Regulatory &amp; Security'!O10</f>
        <v>Conditional</v>
      </c>
      <c r="S91" s="22" t="str">
        <f aca="false">IF(OR(P91="Fail",Q91="Fail",R91="Fail"),"Ineligible",IF(AND(P91="Pass",Q91="Pass",R91="Pass"),"Eligible",IF(OR(P91="Pending",Q91="Pending",R91="Pending"),"Pending verification","Conditionally eligible")))</f>
        <v>Pending verification</v>
      </c>
      <c r="T91" s="15" t="str">
        <f aca="false">'04 API &amp; Integration'!K10</f>
        <v>Not verified</v>
      </c>
    </row>
    <row r="92" customFormat="false" ht="15" hidden="false" customHeight="false" outlineLevel="0" collapsed="false">
      <c r="B92" s="42" t="s">
        <v>86</v>
      </c>
      <c r="C92" s="46" t="s">
        <v>87</v>
      </c>
      <c r="D92" s="13" t="n">
        <f aca="false">'06 Needs-Feature Map'!M118</f>
        <v>55.2533665959546</v>
      </c>
      <c r="E92" s="71" t="n">
        <f aca="false">SUMPRODUCT('03 Feature Comparison'!$F$40:$L$40*(('03 Feature Comparison'!F46:L46="Yes")*'10 Scoring &amp; Weights'!$C$7+('03 Feature Comparison'!F46:L46="Conditional")*'10 Scoring &amp; Weights'!$C$8+('03 Feature Comparison'!F46:L46="Unknown")*'10 Scoring &amp; Weights'!$C$9+('03 Feature Comparison'!F46:L46="No")*'10 Scoring &amp; Weights'!$C$10))/SUMPRODUCT('03 Feature Comparison'!$F$40:$L$40*('03 Feature Comparison'!F46:L46&lt;&gt;"N/A"))*100</f>
        <v>58.3333333333333</v>
      </c>
      <c r="F92" s="71" t="n">
        <f aca="false">SUMPRODUCT('04 API &amp; Integration'!$D$23:$L$23*(('04 API &amp; Integration'!D29:L29="Yes")*'10 Scoring &amp; Weights'!$C$7+('04 API &amp; Integration'!D29:L29="Conditional")*'10 Scoring &amp; Weights'!$C$8+('04 API &amp; Integration'!D29:L29="Unknown")*'10 Scoring &amp; Weights'!$C$9+('04 API &amp; Integration'!D29:L29="No")*'10 Scoring &amp; Weights'!$C$10))/SUMPRODUCT('04 API &amp; Integration'!$D$23:$L$23*('04 API &amp; Integration'!D29:L29&lt;&gt;"N/A"))*100</f>
        <v>22.5</v>
      </c>
      <c r="G92" s="13" t="n">
        <f aca="false">'07 Commercial'!J29</f>
        <v>47.2844483155266</v>
      </c>
      <c r="H92" s="13" t="n">
        <f aca="false">'09 Regulatory &amp; Security'!Q11</f>
        <v>35</v>
      </c>
      <c r="I92" s="110" t="n">
        <f aca="false">(D92*$C$23+E92*$C$24+F92*$C$25+G92*$C$26+H92*$C$27)/$C$28</f>
        <v>44.3063455559131</v>
      </c>
      <c r="J92" s="13" t="n">
        <f aca="false">'06 Needs-Feature Map'!O118</f>
        <v>44.1853610639993</v>
      </c>
      <c r="K92" s="13" t="n">
        <f aca="false">'06 Needs-Feature Map'!P118</f>
        <v>88.4573831918207</v>
      </c>
      <c r="L92" s="68" t="n">
        <f aca="false">1-(COUNTIF('03 Feature Comparison'!F11:AA11,"Unknown")-IF('03 Feature Comparison'!X11="Unknown",1,0)+COUNTIF('03 Feature Comparison'!F46:L46,"Unknown")+COUNTIF('04 API &amp; Integration'!D29:L29,"Unknown"))/(21+7-COUNTIF('03 Feature Comparison'!F46:L46,"N/A")+9)</f>
        <v>0.527777777777778</v>
      </c>
      <c r="M92" s="68" t="n">
        <f aca="false">IFERROR((COUNTIF('03 Feature Comparison'!F28:AA28,"A")*$F$7+COUNTIF('03 Feature Comparison'!F28:AA28,"B")*$F$8+COUNTIF('03 Feature Comparison'!F28:AA28,"C")*$F$9+COUNTIF('03 Feature Comparison'!F28:AA28,"D")*$F$10+COUNTIF('03 Feature Comparison'!F28:AA28,"X")*$F$11)/(COUNTIF('03 Feature Comparison'!F28:AA28,"A")+COUNTIF('03 Feature Comparison'!F28:AA28,"B")+COUNTIF('03 Feature Comparison'!F28:AA28,"C")+COUNTIF('03 Feature Comparison'!F28:AA28,"D")+COUNTIF('03 Feature Comparison'!F28:AA28,"X")),0)</f>
        <v>0.660714285714286</v>
      </c>
      <c r="N92" s="68" t="n">
        <f aca="false">IFERROR(COUNTIF('03 Feature Comparison'!F28:AA28,"A")/(COUNTIF('03 Feature Comparison'!F28:AA28,"A")+COUNTIF('03 Feature Comparison'!F28:AA28,"B")+COUNTIF('03 Feature Comparison'!F28:AA28,"C")+COUNTIF('03 Feature Comparison'!F28:AA28,"D")+COUNTIF('03 Feature Comparison'!F28:AA28,"X")),0)</f>
        <v>0</v>
      </c>
      <c r="O92" s="12" t="str">
        <f aca="false">IF(AND(L92&gt;=$H$24,M92&gt;=$H$26,N92&gt;=$H$27),"High",IF(AND(L92&gt;=$H$23,M92&gt;=$H$25),"Medium","Low"))</f>
        <v>Low</v>
      </c>
      <c r="P92" s="12" t="str">
        <f aca="false">IF('04 API &amp; Integration'!K11="Verified feasible","Pass",IF('04 API &amp; Integration'!K11="Conditional","Conditional",IF('04 API &amp; Integration'!K11="Not feasible","Fail","Pending")))</f>
        <v>Pending</v>
      </c>
      <c r="Q92" s="15" t="str">
        <f aca="false">'07 Commercial'!Y11</f>
        <v>Conditional</v>
      </c>
      <c r="R92" s="15" t="str">
        <f aca="false">'09 Regulatory &amp; Security'!O11</f>
        <v>Conditional</v>
      </c>
      <c r="S92" s="22" t="str">
        <f aca="false">IF(OR(P92="Fail",Q92="Fail",R92="Fail"),"Ineligible",IF(AND(P92="Pass",Q92="Pass",R92="Pass"),"Eligible",IF(OR(P92="Pending",Q92="Pending",R92="Pending"),"Pending verification","Conditionally eligible")))</f>
        <v>Pending verification</v>
      </c>
      <c r="T92" s="15" t="str">
        <f aca="false">'04 API &amp; Integration'!K11</f>
        <v>Not verified</v>
      </c>
    </row>
    <row r="93" customFormat="false" ht="15" hidden="false" customHeight="false" outlineLevel="0" collapsed="false">
      <c r="B93" s="42" t="s">
        <v>93</v>
      </c>
      <c r="C93" s="46" t="s">
        <v>94</v>
      </c>
      <c r="D93" s="13" t="n">
        <f aca="false">'06 Needs-Feature Map'!M119</f>
        <v>76.8320885723364</v>
      </c>
      <c r="E93" s="71" t="n">
        <f aca="false">SUMPRODUCT('03 Feature Comparison'!$F$40:$L$40*(('03 Feature Comparison'!F47:L47="Yes")*'10 Scoring &amp; Weights'!$C$7+('03 Feature Comparison'!F47:L47="Conditional")*'10 Scoring &amp; Weights'!$C$8+('03 Feature Comparison'!F47:L47="Unknown")*'10 Scoring &amp; Weights'!$C$9+('03 Feature Comparison'!F47:L47="No")*'10 Scoring &amp; Weights'!$C$10))/SUMPRODUCT('03 Feature Comparison'!$F$40:$L$40*('03 Feature Comparison'!F47:L47&lt;&gt;"N/A"))*100</f>
        <v>76.25</v>
      </c>
      <c r="F93" s="71" t="n">
        <f aca="false">SUMPRODUCT('04 API &amp; Integration'!$D$23:$L$23*(('04 API &amp; Integration'!D30:L30="Yes")*'10 Scoring &amp; Weights'!$C$7+('04 API &amp; Integration'!D30:L30="Conditional")*'10 Scoring &amp; Weights'!$C$8+('04 API &amp; Integration'!D30:L30="Unknown")*'10 Scoring &amp; Weights'!$C$9+('04 API &amp; Integration'!D30:L30="No")*'10 Scoring &amp; Weights'!$C$10))/SUMPRODUCT('04 API &amp; Integration'!$D$23:$L$23*('04 API &amp; Integration'!D30:L30&lt;&gt;"N/A"))*100</f>
        <v>32.5</v>
      </c>
      <c r="G93" s="13" t="n">
        <f aca="false">'07 Commercial'!J30</f>
        <v>34.5620549563956</v>
      </c>
      <c r="H93" s="13" t="n">
        <f aca="false">'09 Regulatory &amp; Security'!Q12</f>
        <v>42.5</v>
      </c>
      <c r="I93" s="110" t="n">
        <f aca="false">(D93*$C$23+E93*$C$24+F93*$C$25+G93*$C$26+H93*$C$27)/$C$28</f>
        <v>55.8880392437771</v>
      </c>
      <c r="J93" s="13" t="n">
        <f aca="false">'06 Needs-Feature Map'!O119</f>
        <v>70.3416938754833</v>
      </c>
      <c r="K93" s="13" t="n">
        <f aca="false">'06 Needs-Feature Map'!P119</f>
        <v>96.3032726628954</v>
      </c>
      <c r="L93" s="68" t="n">
        <f aca="false">1-(COUNTIF('03 Feature Comparison'!F12:AA12,"Unknown")-IF('03 Feature Comparison'!X12="Unknown",1,0)+COUNTIF('03 Feature Comparison'!F47:L47,"Unknown")+COUNTIF('04 API &amp; Integration'!D30:L30,"Unknown"))/(21+7-COUNTIF('03 Feature Comparison'!F47:L47,"N/A")+9)</f>
        <v>0.513513513513514</v>
      </c>
      <c r="M93" s="68" t="n">
        <f aca="false">IFERROR((COUNTIF('03 Feature Comparison'!F29:AA29,"A")*$F$7+COUNTIF('03 Feature Comparison'!F29:AA29,"B")*$F$8+COUNTIF('03 Feature Comparison'!F29:AA29,"C")*$F$9+COUNTIF('03 Feature Comparison'!F29:AA29,"D")*$F$10+COUNTIF('03 Feature Comparison'!F29:AA29,"X")*$F$11)/(COUNTIF('03 Feature Comparison'!F29:AA29,"A")+COUNTIF('03 Feature Comparison'!F29:AA29,"B")+COUNTIF('03 Feature Comparison'!F29:AA29,"C")+COUNTIF('03 Feature Comparison'!F29:AA29,"D")+COUNTIF('03 Feature Comparison'!F29:AA29,"X")),0)</f>
        <v>0.696428571428571</v>
      </c>
      <c r="N93" s="68" t="n">
        <f aca="false">IFERROR(COUNTIF('03 Feature Comparison'!F29:AA29,"A")/(COUNTIF('03 Feature Comparison'!F29:AA29,"A")+COUNTIF('03 Feature Comparison'!F29:AA29,"B")+COUNTIF('03 Feature Comparison'!F29:AA29,"C")+COUNTIF('03 Feature Comparison'!F29:AA29,"D")+COUNTIF('03 Feature Comparison'!F29:AA29,"X")),0)</f>
        <v>0</v>
      </c>
      <c r="O93" s="12" t="str">
        <f aca="false">IF(AND(L93&gt;=$H$24,M93&gt;=$H$26,N93&gt;=$H$27),"High",IF(AND(L93&gt;=$H$23,M93&gt;=$H$25),"Medium","Low"))</f>
        <v>Low</v>
      </c>
      <c r="P93" s="12" t="str">
        <f aca="false">IF('04 API &amp; Integration'!K12="Verified feasible","Pass",IF('04 API &amp; Integration'!K12="Conditional","Conditional",IF('04 API &amp; Integration'!K12="Not feasible","Fail","Pending")))</f>
        <v>Pending</v>
      </c>
      <c r="Q93" s="15" t="str">
        <f aca="false">'07 Commercial'!Y12</f>
        <v>Conditional</v>
      </c>
      <c r="R93" s="15" t="str">
        <f aca="false">'09 Regulatory &amp; Security'!O12</f>
        <v>Conditional</v>
      </c>
      <c r="S93" s="22" t="str">
        <f aca="false">IF(OR(P93="Fail",Q93="Fail",R93="Fail"),"Ineligible",IF(AND(P93="Pass",Q93="Pass",R93="Pass"),"Eligible",IF(OR(P93="Pending",Q93="Pending",R93="Pending"),"Pending verification","Conditionally eligible")))</f>
        <v>Pending verification</v>
      </c>
      <c r="T93" s="15" t="str">
        <f aca="false">'04 API &amp; Integration'!K12</f>
        <v>Not verified</v>
      </c>
    </row>
    <row r="94" customFormat="false" ht="15" hidden="false" customHeight="false" outlineLevel="0" collapsed="false">
      <c r="B94" s="42" t="s">
        <v>98</v>
      </c>
      <c r="C94" s="46" t="s">
        <v>99</v>
      </c>
      <c r="D94" s="13" t="n">
        <f aca="false">'06 Needs-Feature Map'!M120</f>
        <v>41.8334967332486</v>
      </c>
      <c r="E94" s="71" t="n">
        <f aca="false">SUMPRODUCT('03 Feature Comparison'!$F$40:$L$40*(('03 Feature Comparison'!F48:L48="Yes")*'10 Scoring &amp; Weights'!$C$7+('03 Feature Comparison'!F48:L48="Conditional")*'10 Scoring &amp; Weights'!$C$8+('03 Feature Comparison'!F48:L48="Unknown")*'10 Scoring &amp; Weights'!$C$9+('03 Feature Comparison'!F48:L48="No")*'10 Scoring &amp; Weights'!$C$10))/SUMPRODUCT('03 Feature Comparison'!$F$40:$L$40*('03 Feature Comparison'!F48:L48&lt;&gt;"N/A"))*100</f>
        <v>29.1666666666667</v>
      </c>
      <c r="F94" s="71" t="n">
        <f aca="false">SUMPRODUCT('04 API &amp; Integration'!$D$23:$L$23*(('04 API &amp; Integration'!D31:L31="Yes")*'10 Scoring &amp; Weights'!$C$7+('04 API &amp; Integration'!D31:L31="Conditional")*'10 Scoring &amp; Weights'!$C$8+('04 API &amp; Integration'!D31:L31="Unknown")*'10 Scoring &amp; Weights'!$C$9+('04 API &amp; Integration'!D31:L31="No")*'10 Scoring &amp; Weights'!$C$10))/SUMPRODUCT('04 API &amp; Integration'!$D$23:$L$23*('04 API &amp; Integration'!D31:L31&lt;&gt;"N/A"))*100</f>
        <v>22.5</v>
      </c>
      <c r="G94" s="13" t="n">
        <f aca="false">'07 Commercial'!J31</f>
        <v>56.5</v>
      </c>
      <c r="H94" s="13" t="n">
        <f aca="false">'09 Regulatory &amp; Security'!Q13</f>
        <v>42.5</v>
      </c>
      <c r="I94" s="110" t="n">
        <f aca="false">(D94*$C$23+E94*$C$24+F94*$C$25+G94*$C$26+H94*$C$27)/$C$28</f>
        <v>37.366723856637</v>
      </c>
      <c r="J94" s="13" t="n">
        <f aca="false">'06 Needs-Feature Map'!O120</f>
        <v>24.5670618230757</v>
      </c>
      <c r="K94" s="13" t="n">
        <f aca="false">'06 Needs-Feature Map'!P120</f>
        <v>93.6328014637672</v>
      </c>
      <c r="L94" s="68" t="n">
        <f aca="false">1-(COUNTIF('03 Feature Comparison'!F13:AA13,"Unknown")-IF('03 Feature Comparison'!X13="Unknown",1,0)+COUNTIF('03 Feature Comparison'!F48:L48,"Unknown")+COUNTIF('04 API &amp; Integration'!D31:L31,"Unknown"))/(21+7-COUNTIF('03 Feature Comparison'!F48:L48,"N/A")+9)</f>
        <v>0.333333333333333</v>
      </c>
      <c r="M94" s="68" t="n">
        <f aca="false">IFERROR((COUNTIF('03 Feature Comparison'!F30:AA30,"A")*$F$7+COUNTIF('03 Feature Comparison'!F30:AA30,"B")*$F$8+COUNTIF('03 Feature Comparison'!F30:AA30,"C")*$F$9+COUNTIF('03 Feature Comparison'!F30:AA30,"D")*$F$10+COUNTIF('03 Feature Comparison'!F30:AA30,"X")*$F$11)/(COUNTIF('03 Feature Comparison'!F30:AA30,"A")+COUNTIF('03 Feature Comparison'!F30:AA30,"B")+COUNTIF('03 Feature Comparison'!F30:AA30,"C")+COUNTIF('03 Feature Comparison'!F30:AA30,"D")+COUNTIF('03 Feature Comparison'!F30:AA30,"X")),0)</f>
        <v>0.65</v>
      </c>
      <c r="N94" s="68" t="n">
        <f aca="false">IFERROR(COUNTIF('03 Feature Comparison'!F30:AA30,"A")/(COUNTIF('03 Feature Comparison'!F30:AA30,"A")+COUNTIF('03 Feature Comparison'!F30:AA30,"B")+COUNTIF('03 Feature Comparison'!F30:AA30,"C")+COUNTIF('03 Feature Comparison'!F30:AA30,"D")+COUNTIF('03 Feature Comparison'!F30:AA30,"X")),0)</f>
        <v>0</v>
      </c>
      <c r="O94" s="12" t="str">
        <f aca="false">IF(AND(L94&gt;=$H$24,M94&gt;=$H$26,N94&gt;=$H$27),"High",IF(AND(L94&gt;=$H$23,M94&gt;=$H$25),"Medium","Low"))</f>
        <v>Low</v>
      </c>
      <c r="P94" s="12" t="str">
        <f aca="false">IF('04 API &amp; Integration'!K13="Verified feasible","Pass",IF('04 API &amp; Integration'!K13="Conditional","Conditional",IF('04 API &amp; Integration'!K13="Not feasible","Fail","Pending")))</f>
        <v>Pending</v>
      </c>
      <c r="Q94" s="15" t="str">
        <f aca="false">'07 Commercial'!Y13</f>
        <v>Conditional</v>
      </c>
      <c r="R94" s="15" t="str">
        <f aca="false">'09 Regulatory &amp; Security'!O13</f>
        <v>Conditional</v>
      </c>
      <c r="S94" s="22" t="str">
        <f aca="false">IF(OR(P94="Fail",Q94="Fail",R94="Fail"),"Ineligible",IF(AND(P94="Pass",Q94="Pass",R94="Pass"),"Eligible",IF(OR(P94="Pending",Q94="Pending",R94="Pending"),"Pending verification","Conditionally eligible")))</f>
        <v>Pending verification</v>
      </c>
      <c r="T94" s="15" t="str">
        <f aca="false">'04 API &amp; Integration'!K13</f>
        <v>Not verified</v>
      </c>
    </row>
    <row r="95" customFormat="false" ht="15" hidden="false" customHeight="false" outlineLevel="0" collapsed="false">
      <c r="B95" s="42" t="s">
        <v>106</v>
      </c>
      <c r="C95" s="46" t="s">
        <v>107</v>
      </c>
      <c r="D95" s="13" t="n">
        <f aca="false">'06 Needs-Feature Map'!M121</f>
        <v>62.302921261792</v>
      </c>
      <c r="E95" s="71" t="n">
        <f aca="false">SUMPRODUCT('03 Feature Comparison'!$F$40:$L$40*(('03 Feature Comparison'!F49:L49="Yes")*'10 Scoring &amp; Weights'!$C$7+('03 Feature Comparison'!F49:L49="Conditional")*'10 Scoring &amp; Weights'!$C$8+('03 Feature Comparison'!F49:L49="Unknown")*'10 Scoring &amp; Weights'!$C$9+('03 Feature Comparison'!F49:L49="No")*'10 Scoring &amp; Weights'!$C$10))/SUMPRODUCT('03 Feature Comparison'!$F$40:$L$40*('03 Feature Comparison'!F49:L49&lt;&gt;"N/A"))*100</f>
        <v>45</v>
      </c>
      <c r="F95" s="71" t="n">
        <f aca="false">SUMPRODUCT('04 API &amp; Integration'!$D$23:$L$23*(('04 API &amp; Integration'!D32:L32="Yes")*'10 Scoring &amp; Weights'!$C$7+('04 API &amp; Integration'!D32:L32="Conditional")*'10 Scoring &amp; Weights'!$C$8+('04 API &amp; Integration'!D32:L32="Unknown")*'10 Scoring &amp; Weights'!$C$9+('04 API &amp; Integration'!D32:L32="No")*'10 Scoring &amp; Weights'!$C$10))/SUMPRODUCT('04 API &amp; Integration'!$D$23:$L$23*('04 API &amp; Integration'!D32:L32&lt;&gt;"N/A"))*100</f>
        <v>32.5</v>
      </c>
      <c r="G95" s="13" t="n">
        <f aca="false">'07 Commercial'!J32</f>
        <v>30.5620549563956</v>
      </c>
      <c r="H95" s="13" t="n">
        <f aca="false">'09 Regulatory &amp; Security'!Q14</f>
        <v>42.5</v>
      </c>
      <c r="I95" s="110" t="n">
        <f aca="false">(D95*$C$23+E95*$C$24+F95*$C$25+G95*$C$26+H95*$C$27)/$C$28</f>
        <v>45.5153306850866</v>
      </c>
      <c r="J95" s="13" t="n">
        <f aca="false">'06 Needs-Feature Map'!O121</f>
        <v>51.5609471686943</v>
      </c>
      <c r="K95" s="13" t="n">
        <f aca="false">'06 Needs-Feature Map'!P121</f>
        <v>94.5288435410851</v>
      </c>
      <c r="L95" s="68" t="n">
        <f aca="false">1-(COUNTIF('03 Feature Comparison'!F14:AA14,"Unknown")-IF('03 Feature Comparison'!X14="Unknown",1,0)+COUNTIF('03 Feature Comparison'!F49:L49,"Unknown")+COUNTIF('04 API &amp; Integration'!D32:L32,"Unknown"))/(21+7-COUNTIF('03 Feature Comparison'!F49:L49,"N/A")+9)</f>
        <v>0.405405405405405</v>
      </c>
      <c r="M95" s="68" t="n">
        <f aca="false">IFERROR((COUNTIF('03 Feature Comparison'!F31:AA31,"A")*$F$7+COUNTIF('03 Feature Comparison'!F31:AA31,"B")*$F$8+COUNTIF('03 Feature Comparison'!F31:AA31,"C")*$F$9+COUNTIF('03 Feature Comparison'!F31:AA31,"D")*$F$10+COUNTIF('03 Feature Comparison'!F31:AA31,"X")*$F$11)/(COUNTIF('03 Feature Comparison'!F31:AA31,"A")+COUNTIF('03 Feature Comparison'!F31:AA31,"B")+COUNTIF('03 Feature Comparison'!F31:AA31,"C")+COUNTIF('03 Feature Comparison'!F31:AA31,"D")+COUNTIF('03 Feature Comparison'!F31:AA31,"X")),0)</f>
        <v>0.636363636363636</v>
      </c>
      <c r="N95" s="68" t="n">
        <f aca="false">IFERROR(COUNTIF('03 Feature Comparison'!F31:AA31,"A")/(COUNTIF('03 Feature Comparison'!F31:AA31,"A")+COUNTIF('03 Feature Comparison'!F31:AA31,"B")+COUNTIF('03 Feature Comparison'!F31:AA31,"C")+COUNTIF('03 Feature Comparison'!F31:AA31,"D")+COUNTIF('03 Feature Comparison'!F31:AA31,"X")),0)</f>
        <v>0</v>
      </c>
      <c r="O95" s="12" t="str">
        <f aca="false">IF(AND(L95&gt;=$H$24,M95&gt;=$H$26,N95&gt;=$H$27),"High",IF(AND(L95&gt;=$H$23,M95&gt;=$H$25),"Medium","Low"))</f>
        <v>Low</v>
      </c>
      <c r="P95" s="12" t="str">
        <f aca="false">IF('04 API &amp; Integration'!K14="Verified feasible","Pass",IF('04 API &amp; Integration'!K14="Conditional","Conditional",IF('04 API &amp; Integration'!K14="Not feasible","Fail","Pending")))</f>
        <v>Pending</v>
      </c>
      <c r="Q95" s="15" t="str">
        <f aca="false">'07 Commercial'!Y14</f>
        <v>Conditional</v>
      </c>
      <c r="R95" s="15" t="str">
        <f aca="false">'09 Regulatory &amp; Security'!O14</f>
        <v>Conditional</v>
      </c>
      <c r="S95" s="22" t="str">
        <f aca="false">IF(OR(P95="Fail",Q95="Fail",R95="Fail"),"Ineligible",IF(AND(P95="Pass",Q95="Pass",R95="Pass"),"Eligible",IF(OR(P95="Pending",Q95="Pending",R95="Pending"),"Pending verification","Conditionally eligible")))</f>
        <v>Pending verification</v>
      </c>
      <c r="T95" s="15" t="str">
        <f aca="false">'04 API &amp; Integration'!K14</f>
        <v>Not verified</v>
      </c>
    </row>
    <row r="96" customFormat="false" ht="15" hidden="false" customHeight="false" outlineLevel="0" collapsed="false">
      <c r="B96" s="42" t="s">
        <v>112</v>
      </c>
      <c r="C96" s="46" t="s">
        <v>113</v>
      </c>
      <c r="D96" s="13" t="n">
        <f aca="false">'06 Needs-Feature Map'!M122</f>
        <v>66.6304159134011</v>
      </c>
      <c r="E96" s="71" t="n">
        <f aca="false">SUMPRODUCT('03 Feature Comparison'!$F$40:$L$40*(('03 Feature Comparison'!F50:L50="Yes")*'10 Scoring &amp; Weights'!$C$7+('03 Feature Comparison'!F50:L50="Conditional")*'10 Scoring &amp; Weights'!$C$8+('03 Feature Comparison'!F50:L50="Unknown")*'10 Scoring &amp; Weights'!$C$9+('03 Feature Comparison'!F50:L50="No")*'10 Scoring &amp; Weights'!$C$10))/SUMPRODUCT('03 Feature Comparison'!$F$40:$L$40*('03 Feature Comparison'!F50:L50&lt;&gt;"N/A"))*100</f>
        <v>57.5</v>
      </c>
      <c r="F96" s="71" t="n">
        <f aca="false">SUMPRODUCT('04 API &amp; Integration'!$D$23:$L$23*(('04 API &amp; Integration'!D33:L33="Yes")*'10 Scoring &amp; Weights'!$C$7+('04 API &amp; Integration'!D33:L33="Conditional")*'10 Scoring &amp; Weights'!$C$8+('04 API &amp; Integration'!D33:L33="Unknown")*'10 Scoring &amp; Weights'!$C$9+('04 API &amp; Integration'!D33:L33="No")*'10 Scoring &amp; Weights'!$C$10))/SUMPRODUCT('04 API &amp; Integration'!$D$23:$L$23*('04 API &amp; Integration'!D33:L33&lt;&gt;"N/A"))*100</f>
        <v>53.75</v>
      </c>
      <c r="G96" s="13" t="n">
        <f aca="false">'07 Commercial'!J33</f>
        <v>30.5620549563956</v>
      </c>
      <c r="H96" s="13" t="n">
        <f aca="false">'09 Regulatory &amp; Security'!Q15</f>
        <v>58</v>
      </c>
      <c r="I96" s="110" t="n">
        <f aca="false">(D96*$C$23+E96*$C$24+F96*$C$25+G96*$C$26+H96*$C$27)/$C$28</f>
        <v>55.7674538131497</v>
      </c>
      <c r="J96" s="13" t="n">
        <f aca="false">'06 Needs-Feature Map'!O122</f>
        <v>57.3447210039675</v>
      </c>
      <c r="K96" s="13" t="n">
        <f aca="false">'06 Needs-Feature Map'!P122</f>
        <v>94.4875006417019</v>
      </c>
      <c r="L96" s="68" t="n">
        <f aca="false">1-(COUNTIF('03 Feature Comparison'!F15:AA15,"Unknown")-IF('03 Feature Comparison'!X15="Unknown",1,0)+COUNTIF('03 Feature Comparison'!F50:L50,"Unknown")+COUNTIF('04 API &amp; Integration'!D33:L33,"Unknown"))/(21+7-COUNTIF('03 Feature Comparison'!F50:L50,"N/A")+9)</f>
        <v>0.648648648648649</v>
      </c>
      <c r="M96" s="68" t="n">
        <f aca="false">IFERROR((COUNTIF('03 Feature Comparison'!F32:AA32,"A")*$F$7+COUNTIF('03 Feature Comparison'!F32:AA32,"B")*$F$8+COUNTIF('03 Feature Comparison'!F32:AA32,"C")*$F$9+COUNTIF('03 Feature Comparison'!F32:AA32,"D")*$F$10+COUNTIF('03 Feature Comparison'!F32:AA32,"X")*$F$11)/(COUNTIF('03 Feature Comparison'!F32:AA32,"A")+COUNTIF('03 Feature Comparison'!F32:AA32,"B")+COUNTIF('03 Feature Comparison'!F32:AA32,"C")+COUNTIF('03 Feature Comparison'!F32:AA32,"D")+COUNTIF('03 Feature Comparison'!F32:AA32,"X")),0)</f>
        <v>0.732142857142857</v>
      </c>
      <c r="N96" s="68" t="n">
        <f aca="false">IFERROR(COUNTIF('03 Feature Comparison'!F32:AA32,"A")/(COUNTIF('03 Feature Comparison'!F32:AA32,"A")+COUNTIF('03 Feature Comparison'!F32:AA32,"B")+COUNTIF('03 Feature Comparison'!F32:AA32,"C")+COUNTIF('03 Feature Comparison'!F32:AA32,"D")+COUNTIF('03 Feature Comparison'!F32:AA32,"X")),0)</f>
        <v>0</v>
      </c>
      <c r="O96" s="12" t="str">
        <f aca="false">IF(AND(L96&gt;=$H$24,M96&gt;=$H$26,N96&gt;=$H$27),"High",IF(AND(L96&gt;=$H$23,M96&gt;=$H$25),"Medium","Low"))</f>
        <v>Medium</v>
      </c>
      <c r="P96" s="12" t="str">
        <f aca="false">IF('04 API &amp; Integration'!K15="Verified feasible","Pass",IF('04 API &amp; Integration'!K15="Conditional","Conditional",IF('04 API &amp; Integration'!K15="Not feasible","Fail","Pending")))</f>
        <v>Conditional</v>
      </c>
      <c r="Q96" s="15" t="str">
        <f aca="false">'07 Commercial'!Y15</f>
        <v>Conditional</v>
      </c>
      <c r="R96" s="15" t="str">
        <f aca="false">'09 Regulatory &amp; Security'!O15</f>
        <v>Conditional</v>
      </c>
      <c r="S96" s="22" t="str">
        <f aca="false">IF(OR(P96="Fail",Q96="Fail",R96="Fail"),"Ineligible",IF(AND(P96="Pass",Q96="Pass",R96="Pass"),"Eligible",IF(OR(P96="Pending",Q96="Pending",R96="Pending"),"Pending verification","Conditionally eligible")))</f>
        <v>Conditionally eligible</v>
      </c>
      <c r="T96" s="15" t="str">
        <f aca="false">'04 API &amp; Integration'!K15</f>
        <v>Conditional</v>
      </c>
    </row>
    <row r="97" customFormat="false" ht="15" hidden="false" customHeight="false" outlineLevel="0" collapsed="false">
      <c r="B97" s="42" t="s">
        <v>117</v>
      </c>
      <c r="C97" s="46" t="s">
        <v>118</v>
      </c>
      <c r="D97" s="13" t="n">
        <f aca="false">'06 Needs-Feature Map'!M123</f>
        <v>61.7891137842321</v>
      </c>
      <c r="E97" s="71" t="n">
        <f aca="false">SUMPRODUCT('03 Feature Comparison'!$F$40:$L$40*(('03 Feature Comparison'!F51:L51="Yes")*'10 Scoring &amp; Weights'!$C$7+('03 Feature Comparison'!F51:L51="Conditional")*'10 Scoring &amp; Weights'!$C$8+('03 Feature Comparison'!F51:L51="Unknown")*'10 Scoring &amp; Weights'!$C$9+('03 Feature Comparison'!F51:L51="No")*'10 Scoring &amp; Weights'!$C$10))/SUMPRODUCT('03 Feature Comparison'!$F$40:$L$40*('03 Feature Comparison'!F51:L51&lt;&gt;"N/A"))*100</f>
        <v>53.75</v>
      </c>
      <c r="F97" s="71" t="n">
        <f aca="false">SUMPRODUCT('04 API &amp; Integration'!$D$23:$L$23*(('04 API &amp; Integration'!D34:L34="Yes")*'10 Scoring &amp; Weights'!$C$7+('04 API &amp; Integration'!D34:L34="Conditional")*'10 Scoring &amp; Weights'!$C$8+('04 API &amp; Integration'!D34:L34="Unknown")*'10 Scoring &amp; Weights'!$C$9+('04 API &amp; Integration'!D34:L34="No")*'10 Scoring &amp; Weights'!$C$10))/SUMPRODUCT('04 API &amp; Integration'!$D$23:$L$23*('04 API &amp; Integration'!D34:L34&lt;&gt;"N/A"))*100</f>
        <v>32.5</v>
      </c>
      <c r="G97" s="13" t="n">
        <f aca="false">'07 Commercial'!J34</f>
        <v>35.5381094145368</v>
      </c>
      <c r="H97" s="13" t="n">
        <f aca="false">'09 Regulatory &amp; Security'!Q16</f>
        <v>65</v>
      </c>
      <c r="I97" s="110" t="n">
        <f aca="false">(D97*$C$23+E97*$C$24+F97*$C$25+G97*$C$26+H97*$C$27)/$C$28</f>
        <v>49.6444062366618</v>
      </c>
      <c r="J97" s="13" t="n">
        <f aca="false">'06 Needs-Feature Map'!O123</f>
        <v>50.2843941580111</v>
      </c>
      <c r="K97" s="13" t="n">
        <f aca="false">'06 Needs-Feature Map'!P123</f>
        <v>96.3032726628954</v>
      </c>
      <c r="L97" s="68" t="n">
        <f aca="false">1-(COUNTIF('03 Feature Comparison'!F16:AA16,"Unknown")-IF('03 Feature Comparison'!X16="Unknown",1,0)+COUNTIF('03 Feature Comparison'!F51:L51,"Unknown")+COUNTIF('04 API &amp; Integration'!D34:L34,"Unknown"))/(21+7-COUNTIF('03 Feature Comparison'!F51:L51,"N/A")+9)</f>
        <v>0.432432432432432</v>
      </c>
      <c r="M97" s="68" t="n">
        <f aca="false">IFERROR((COUNTIF('03 Feature Comparison'!F33:AA33,"A")*$F$7+COUNTIF('03 Feature Comparison'!F33:AA33,"B")*$F$8+COUNTIF('03 Feature Comparison'!F33:AA33,"C")*$F$9+COUNTIF('03 Feature Comparison'!F33:AA33,"D")*$F$10+COUNTIF('03 Feature Comparison'!F33:AA33,"X")*$F$11)/(COUNTIF('03 Feature Comparison'!F33:AA33,"A")+COUNTIF('03 Feature Comparison'!F33:AA33,"B")+COUNTIF('03 Feature Comparison'!F33:AA33,"C")+COUNTIF('03 Feature Comparison'!F33:AA33,"D")+COUNTIF('03 Feature Comparison'!F33:AA33,"X")),0)</f>
        <v>0.666666666666667</v>
      </c>
      <c r="N97" s="68" t="n">
        <f aca="false">IFERROR(COUNTIF('03 Feature Comparison'!F33:AA33,"A")/(COUNTIF('03 Feature Comparison'!F33:AA33,"A")+COUNTIF('03 Feature Comparison'!F33:AA33,"B")+COUNTIF('03 Feature Comparison'!F33:AA33,"C")+COUNTIF('03 Feature Comparison'!F33:AA33,"D")+COUNTIF('03 Feature Comparison'!F33:AA33,"X")),0)</f>
        <v>0</v>
      </c>
      <c r="O97" s="12" t="str">
        <f aca="false">IF(AND(L97&gt;=$H$24,M97&gt;=$H$26,N97&gt;=$H$27),"High",IF(AND(L97&gt;=$H$23,M97&gt;=$H$25),"Medium","Low"))</f>
        <v>Low</v>
      </c>
      <c r="P97" s="12" t="str">
        <f aca="false">IF('04 API &amp; Integration'!K16="Verified feasible","Pass",IF('04 API &amp; Integration'!K16="Conditional","Conditional",IF('04 API &amp; Integration'!K16="Not feasible","Fail","Pending")))</f>
        <v>Pending</v>
      </c>
      <c r="Q97" s="15" t="str">
        <f aca="false">'07 Commercial'!Y16</f>
        <v>Conditional</v>
      </c>
      <c r="R97" s="15" t="str">
        <f aca="false">'09 Regulatory &amp; Security'!O16</f>
        <v>Conditional</v>
      </c>
      <c r="S97" s="22" t="str">
        <f aca="false">IF(OR(P97="Fail",Q97="Fail",R97="Fail"),"Ineligible",IF(AND(P97="Pass",Q97="Pass",R97="Pass"),"Eligible",IF(OR(P97="Pending",Q97="Pending",R97="Pending"),"Pending verification","Conditionally eligible")))</f>
        <v>Pending verification</v>
      </c>
      <c r="T97" s="15" t="str">
        <f aca="false">'04 API &amp; Integration'!K16</f>
        <v>Not verified</v>
      </c>
    </row>
    <row r="98" customFormat="false" ht="15" hidden="false" customHeight="false" outlineLevel="0" collapsed="false">
      <c r="B98" s="42" t="s">
        <v>122</v>
      </c>
      <c r="C98" s="46" t="s">
        <v>123</v>
      </c>
      <c r="D98" s="13" t="n">
        <f aca="false">'06 Needs-Feature Map'!M124</f>
        <v>58.2877363431534</v>
      </c>
      <c r="E98" s="71" t="n">
        <f aca="false">SUMPRODUCT('03 Feature Comparison'!$F$40:$L$40*(('03 Feature Comparison'!F52:L52="Yes")*'10 Scoring &amp; Weights'!$C$7+('03 Feature Comparison'!F52:L52="Conditional")*'10 Scoring &amp; Weights'!$C$8+('03 Feature Comparison'!F52:L52="Unknown")*'10 Scoring &amp; Weights'!$C$9+('03 Feature Comparison'!F52:L52="No")*'10 Scoring &amp; Weights'!$C$10))/SUMPRODUCT('03 Feature Comparison'!$F$40:$L$40*('03 Feature Comparison'!F52:L52&lt;&gt;"N/A"))*100</f>
        <v>38.75</v>
      </c>
      <c r="F98" s="71" t="n">
        <f aca="false">SUMPRODUCT('04 API &amp; Integration'!$D$23:$L$23*(('04 API &amp; Integration'!D35:L35="Yes")*'10 Scoring &amp; Weights'!$C$7+('04 API &amp; Integration'!D35:L35="Conditional")*'10 Scoring &amp; Weights'!$C$8+('04 API &amp; Integration'!D35:L35="Unknown")*'10 Scoring &amp; Weights'!$C$9+('04 API &amp; Integration'!D35:L35="No")*'10 Scoring &amp; Weights'!$C$10))/SUMPRODUCT('04 API &amp; Integration'!$D$23:$L$23*('04 API &amp; Integration'!D35:L35&lt;&gt;"N/A"))*100</f>
        <v>32.5</v>
      </c>
      <c r="G98" s="13" t="n">
        <f aca="false">'07 Commercial'!J35</f>
        <v>35.951091838044</v>
      </c>
      <c r="H98" s="13" t="n">
        <f aca="false">'09 Regulatory &amp; Security'!Q17</f>
        <v>65</v>
      </c>
      <c r="I98" s="110" t="n">
        <f aca="false">(D98*$C$23+E98*$C$24+F98*$C$25+G98*$C$26+H98*$C$27)/$C$28</f>
        <v>46.2308714958103</v>
      </c>
      <c r="J98" s="13" t="n">
        <f aca="false">'06 Needs-Feature Map'!O124</f>
        <v>44.9889057979357</v>
      </c>
      <c r="K98" s="13" t="n">
        <f aca="false">'06 Needs-Feature Map'!P124</f>
        <v>98.1842279788065</v>
      </c>
      <c r="L98" s="68" t="n">
        <f aca="false">1-(COUNTIF('03 Feature Comparison'!F17:AA17,"Unknown")-IF('03 Feature Comparison'!X17="Unknown",1,0)+COUNTIF('03 Feature Comparison'!F52:L52,"Unknown")+COUNTIF('04 API &amp; Integration'!D35:L35,"Unknown"))/(21+7-COUNTIF('03 Feature Comparison'!F52:L52,"N/A")+9)</f>
        <v>0.324324324324324</v>
      </c>
      <c r="M98" s="68" t="n">
        <f aca="false">IFERROR((COUNTIF('03 Feature Comparison'!F34:AA34,"A")*$F$7+COUNTIF('03 Feature Comparison'!F34:AA34,"B")*$F$8+COUNTIF('03 Feature Comparison'!F34:AA34,"C")*$F$9+COUNTIF('03 Feature Comparison'!F34:AA34,"D")*$F$10+COUNTIF('03 Feature Comparison'!F34:AA34,"X")*$F$11)/(COUNTIF('03 Feature Comparison'!F34:AA34,"A")+COUNTIF('03 Feature Comparison'!F34:AA34,"B")+COUNTIF('03 Feature Comparison'!F34:AA34,"C")+COUNTIF('03 Feature Comparison'!F34:AA34,"D")+COUNTIF('03 Feature Comparison'!F34:AA34,"X")),0)</f>
        <v>0.722222222222222</v>
      </c>
      <c r="N98" s="68" t="n">
        <f aca="false">IFERROR(COUNTIF('03 Feature Comparison'!F34:AA34,"A")/(COUNTIF('03 Feature Comparison'!F34:AA34,"A")+COUNTIF('03 Feature Comparison'!F34:AA34,"B")+COUNTIF('03 Feature Comparison'!F34:AA34,"C")+COUNTIF('03 Feature Comparison'!F34:AA34,"D")+COUNTIF('03 Feature Comparison'!F34:AA34,"X")),0)</f>
        <v>0</v>
      </c>
      <c r="O98" s="12" t="str">
        <f aca="false">IF(AND(L98&gt;=$H$24,M98&gt;=$H$26,N98&gt;=$H$27),"High",IF(AND(L98&gt;=$H$23,M98&gt;=$H$25),"Medium","Low"))</f>
        <v>Low</v>
      </c>
      <c r="P98" s="12" t="str">
        <f aca="false">IF('04 API &amp; Integration'!K17="Verified feasible","Pass",IF('04 API &amp; Integration'!K17="Conditional","Conditional",IF('04 API &amp; Integration'!K17="Not feasible","Fail","Pending")))</f>
        <v>Pending</v>
      </c>
      <c r="Q98" s="15" t="str">
        <f aca="false">'07 Commercial'!Y17</f>
        <v>Conditional</v>
      </c>
      <c r="R98" s="15" t="str">
        <f aca="false">'09 Regulatory &amp; Security'!O17</f>
        <v>Conditional</v>
      </c>
      <c r="S98" s="22" t="str">
        <f aca="false">IF(OR(P98="Fail",Q98="Fail",R98="Fail"),"Ineligible",IF(AND(P98="Pass",Q98="Pass",R98="Pass"),"Eligible",IF(OR(P98="Pending",Q98="Pending",R98="Pending"),"Pending verification","Conditionally eligible")))</f>
        <v>Pending verification</v>
      </c>
      <c r="T98" s="15" t="str">
        <f aca="false">'04 API &amp; Integration'!K17</f>
        <v>Not verified</v>
      </c>
    </row>
    <row r="99" customFormat="false" ht="15" hidden="false" customHeight="false" outlineLevel="0" collapsed="false">
      <c r="B99" s="42" t="s">
        <v>127</v>
      </c>
      <c r="C99" s="46" t="s">
        <v>128</v>
      </c>
      <c r="D99" s="13" t="n">
        <f aca="false">'06 Needs-Feature Map'!M125</f>
        <v>58.3446503094967</v>
      </c>
      <c r="E99" s="71" t="n">
        <f aca="false">SUMPRODUCT('03 Feature Comparison'!$F$40:$L$40*(('03 Feature Comparison'!F53:L53="Yes")*'10 Scoring &amp; Weights'!$C$7+('03 Feature Comparison'!F53:L53="Conditional")*'10 Scoring &amp; Weights'!$C$8+('03 Feature Comparison'!F53:L53="Unknown")*'10 Scoring &amp; Weights'!$C$9+('03 Feature Comparison'!F53:L53="No")*'10 Scoring &amp; Weights'!$C$10))/SUMPRODUCT('03 Feature Comparison'!$F$40:$L$40*('03 Feature Comparison'!F53:L53&lt;&gt;"N/A"))*100</f>
        <v>45</v>
      </c>
      <c r="F99" s="71" t="n">
        <f aca="false">SUMPRODUCT('04 API &amp; Integration'!$D$23:$L$23*(('04 API &amp; Integration'!D36:L36="Yes")*'10 Scoring &amp; Weights'!$C$7+('04 API &amp; Integration'!D36:L36="Conditional")*'10 Scoring &amp; Weights'!$C$8+('04 API &amp; Integration'!D36:L36="Unknown")*'10 Scoring &amp; Weights'!$C$9+('04 API &amp; Integration'!D36:L36="No")*'10 Scoring &amp; Weights'!$C$10))/SUMPRODUCT('04 API &amp; Integration'!$D$23:$L$23*('04 API &amp; Integration'!D36:L36&lt;&gt;"N/A"))*100</f>
        <v>32.5</v>
      </c>
      <c r="G99" s="13" t="n">
        <f aca="false">'07 Commercial'!J36</f>
        <v>55.201091838044</v>
      </c>
      <c r="H99" s="13" t="n">
        <f aca="false">'09 Regulatory &amp; Security'!Q18</f>
        <v>65</v>
      </c>
      <c r="I99" s="110" t="n">
        <f aca="false">(D99*$C$23+E99*$C$24+F99*$C$25+G99*$C$26+H99*$C$27)/$C$28</f>
        <v>50.0757913840304</v>
      </c>
      <c r="J99" s="13" t="n">
        <f aca="false">'06 Needs-Feature Map'!O125</f>
        <v>45.3605292733618</v>
      </c>
      <c r="K99" s="13" t="n">
        <f aca="false">'06 Needs-Feature Map'!P125</f>
        <v>97.2970134179014</v>
      </c>
      <c r="L99" s="68" t="n">
        <f aca="false">1-(COUNTIF('03 Feature Comparison'!F18:AA18,"Unknown")-IF('03 Feature Comparison'!X18="Unknown",1,0)+COUNTIF('03 Feature Comparison'!F53:L53,"Unknown")+COUNTIF('04 API &amp; Integration'!D36:L36,"Unknown"))/(21+7-COUNTIF('03 Feature Comparison'!F53:L53,"N/A")+9)</f>
        <v>0.432432432432432</v>
      </c>
      <c r="M99" s="68" t="n">
        <f aca="false">IFERROR((COUNTIF('03 Feature Comparison'!F35:AA35,"A")*$F$7+COUNTIF('03 Feature Comparison'!F35:AA35,"B")*$F$8+COUNTIF('03 Feature Comparison'!F35:AA35,"C")*$F$9+COUNTIF('03 Feature Comparison'!F35:AA35,"D")*$F$10+COUNTIF('03 Feature Comparison'!F35:AA35,"X")*$F$11)/(COUNTIF('03 Feature Comparison'!F35:AA35,"A")+COUNTIF('03 Feature Comparison'!F35:AA35,"B")+COUNTIF('03 Feature Comparison'!F35:AA35,"C")+COUNTIF('03 Feature Comparison'!F35:AA35,"D")+COUNTIF('03 Feature Comparison'!F35:AA35,"X")),0)</f>
        <v>0.729166666666667</v>
      </c>
      <c r="N99" s="68" t="n">
        <f aca="false">IFERROR(COUNTIF('03 Feature Comparison'!F35:AA35,"A")/(COUNTIF('03 Feature Comparison'!F35:AA35,"A")+COUNTIF('03 Feature Comparison'!F35:AA35,"B")+COUNTIF('03 Feature Comparison'!F35:AA35,"C")+COUNTIF('03 Feature Comparison'!F35:AA35,"D")+COUNTIF('03 Feature Comparison'!F35:AA35,"X")),0)</f>
        <v>0</v>
      </c>
      <c r="O99" s="12" t="str">
        <f aca="false">IF(AND(L99&gt;=$H$24,M99&gt;=$H$26,N99&gt;=$H$27),"High",IF(AND(L99&gt;=$H$23,M99&gt;=$H$25),"Medium","Low"))</f>
        <v>Low</v>
      </c>
      <c r="P99" s="12" t="str">
        <f aca="false">IF('04 API &amp; Integration'!K18="Verified feasible","Pass",IF('04 API &amp; Integration'!K18="Conditional","Conditional",IF('04 API &amp; Integration'!K18="Not feasible","Fail","Pending")))</f>
        <v>Pending</v>
      </c>
      <c r="Q99" s="15" t="str">
        <f aca="false">'07 Commercial'!Y18</f>
        <v>Conditional</v>
      </c>
      <c r="R99" s="15" t="str">
        <f aca="false">'09 Regulatory &amp; Security'!O18</f>
        <v>Conditional</v>
      </c>
      <c r="S99" s="22" t="str">
        <f aca="false">IF(OR(P99="Fail",Q99="Fail",R99="Fail"),"Ineligible",IF(AND(P99="Pass",Q99="Pass",R99="Pass"),"Eligible",IF(OR(P99="Pending",Q99="Pending",R99="Pending"),"Pending verification","Conditionally eligible")))</f>
        <v>Pending verification</v>
      </c>
      <c r="T99" s="15" t="str">
        <f aca="false">'04 API &amp; Integration'!K18</f>
        <v>Not verified</v>
      </c>
    </row>
  </sheetData>
  <mergeCells count="34">
    <mergeCell ref="K7:Q11"/>
    <mergeCell ref="D23:F23"/>
    <mergeCell ref="D24:F24"/>
    <mergeCell ref="D25:F25"/>
    <mergeCell ref="D26:F26"/>
    <mergeCell ref="D27:F27"/>
    <mergeCell ref="E32:H32"/>
    <mergeCell ref="E33:H33"/>
    <mergeCell ref="E34:H34"/>
    <mergeCell ref="E35:H35"/>
    <mergeCell ref="E36:H36"/>
    <mergeCell ref="E37:H37"/>
    <mergeCell ref="E38:H38"/>
    <mergeCell ref="E43:H43"/>
    <mergeCell ref="E44:H44"/>
    <mergeCell ref="E45:H45"/>
    <mergeCell ref="E46:H46"/>
    <mergeCell ref="E47:H47"/>
    <mergeCell ref="E48:H48"/>
    <mergeCell ref="E49:H49"/>
    <mergeCell ref="E50:H50"/>
    <mergeCell ref="E51:H51"/>
    <mergeCell ref="E56:H56"/>
    <mergeCell ref="E57:H57"/>
    <mergeCell ref="E58:H58"/>
    <mergeCell ref="E59:H59"/>
    <mergeCell ref="E60:H60"/>
    <mergeCell ref="E61:H61"/>
    <mergeCell ref="E66:H66"/>
    <mergeCell ref="E67:H67"/>
    <mergeCell ref="E68:H68"/>
    <mergeCell ref="E69:H69"/>
    <mergeCell ref="E70:H70"/>
    <mergeCell ref="B85:T85"/>
  </mergeCells>
  <conditionalFormatting sqref="P87:T99">
    <cfRule type="cellIs" priority="2" operator="equal" aboveAverage="0" equalAverage="0" bottom="0" percent="0" rank="0" text="" dxfId="1">
      <formula>"Pass"</formula>
    </cfRule>
    <cfRule type="cellIs" priority="3" operator="equal" aboveAverage="0" equalAverage="0" bottom="0" percent="0" rank="0" text="" dxfId="1">
      <formula>"Eligible"</formula>
    </cfRule>
    <cfRule type="cellIs" priority="4" operator="equal" aboveAverage="0" equalAverage="0" bottom="0" percent="0" rank="0" text="" dxfId="1">
      <formula>"Verified feasible"</formula>
    </cfRule>
    <cfRule type="cellIs" priority="5" operator="equal" aboveAverage="0" equalAverage="0" bottom="0" percent="0" rank="0" text="" dxfId="2">
      <formula>"Conditional"</formula>
    </cfRule>
    <cfRule type="cellIs" priority="6" operator="equal" aboveAverage="0" equalAverage="0" bottom="0" percent="0" rank="0" text="" dxfId="2">
      <formula>"Conditionally eligible"</formula>
    </cfRule>
    <cfRule type="cellIs" priority="7" operator="equal" aboveAverage="0" equalAverage="0" bottom="0" percent="0" rank="0" text="" dxfId="2">
      <formula>"Pending"</formula>
    </cfRule>
    <cfRule type="cellIs" priority="8" operator="equal" aboveAverage="0" equalAverage="0" bottom="0" percent="0" rank="0" text="" dxfId="2">
      <formula>"Pending verification"</formula>
    </cfRule>
    <cfRule type="cellIs" priority="9" operator="equal" aboveAverage="0" equalAverage="0" bottom="0" percent="0" rank="0" text="" dxfId="2">
      <formula>"Not verified"</formula>
    </cfRule>
    <cfRule type="cellIs" priority="10" operator="equal" aboveAverage="0" equalAverage="0" bottom="0" percent="0" rank="0" text="" dxfId="0">
      <formula>"Fail"</formula>
    </cfRule>
    <cfRule type="cellIs" priority="11" operator="equal" aboveAverage="0" equalAverage="0" bottom="0" percent="0" rank="0" text="" dxfId="0">
      <formula>"Ineligible"</formula>
    </cfRule>
    <cfRule type="cellIs" priority="12" operator="equal" aboveAverage="0" equalAverage="0" bottom="0" percent="0" rank="0" text="" dxfId="0">
      <formula>"Not feasible"</formula>
    </cfRule>
  </conditionalFormatting>
  <conditionalFormatting sqref="O87:O99">
    <cfRule type="cellIs" priority="13" operator="equal" aboveAverage="0" equalAverage="0" bottom="0" percent="0" rank="0" text="" dxfId="1">
      <formula>"High"</formula>
    </cfRule>
    <cfRule type="cellIs" priority="14" operator="equal" aboveAverage="0" equalAverage="0" bottom="0" percent="0" rank="0" text="" dxfId="2">
      <formula>"Medium"</formula>
    </cfRule>
    <cfRule type="cellIs" priority="15" operator="equal" aboveAverage="0" equalAverage="0" bottom="0" percent="0" rank="0" text="" dxfId="0">
      <formula>"Low"</formula>
    </cfRule>
  </conditionalFormatting>
  <conditionalFormatting sqref="C28">
    <cfRule type="cellIs" priority="16" operator="notEqual" aboveAverage="0" equalAverage="0" bottom="0" percent="0" rank="0" text="" dxfId="0">
      <formula>100</formula>
    </cfRule>
  </conditionalFormatting>
  <conditionalFormatting sqref="D39">
    <cfRule type="cellIs" priority="17" operator="notEqual" aboveAverage="0" equalAverage="0" bottom="0" percent="0" rank="0" text="" dxfId="0">
      <formula>100</formula>
    </cfRule>
  </conditionalFormatting>
  <conditionalFormatting sqref="D52">
    <cfRule type="cellIs" priority="18" operator="notEqual" aboveAverage="0" equalAverage="0" bottom="0" percent="0" rank="0" text="" dxfId="0">
      <formula>100</formula>
    </cfRule>
  </conditionalFormatting>
  <conditionalFormatting sqref="D62">
    <cfRule type="cellIs" priority="19" operator="notEqual" aboveAverage="0" equalAverage="0" bottom="0" percent="0" rank="0" text="" dxfId="0">
      <formula>100</formula>
    </cfRule>
  </conditionalFormatting>
  <conditionalFormatting sqref="D71">
    <cfRule type="cellIs" priority="20" operator="notEqual" aboveAverage="0" equalAverage="0" bottom="0" percent="0" rank="0" text="" dxfId="0">
      <formula>100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V9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3"/>
    <col collapsed="false" customWidth="true" hidden="false" outlineLevel="0" max="8" min="4" style="0" width="10"/>
    <col collapsed="false" customWidth="true" hidden="false" outlineLevel="0" max="9" min="9" style="0" width="12"/>
    <col collapsed="false" customWidth="true" hidden="false" outlineLevel="0" max="10" min="10" style="0" width="13"/>
    <col collapsed="false" customWidth="true" hidden="false" outlineLevel="0" max="11" min="11" style="0" width="12"/>
    <col collapsed="false" customWidth="true" hidden="false" outlineLevel="0" max="13" min="12" style="0" width="13"/>
    <col collapsed="false" customWidth="true" hidden="false" outlineLevel="0" max="14" min="14" style="0" width="9"/>
    <col collapsed="false" customWidth="true" hidden="false" outlineLevel="0" max="16" min="15" style="0" width="8"/>
    <col collapsed="false" customWidth="true" hidden="false" outlineLevel="0" max="17" min="17" style="0" width="7"/>
    <col collapsed="false" customWidth="true" hidden="false" outlineLevel="0" max="19" min="18" style="0" width="8"/>
    <col collapsed="false" customWidth="true" hidden="false" outlineLevel="0" max="20" min="20" style="0" width="9"/>
  </cols>
  <sheetData>
    <row r="1" customFormat="false" ht="17.35" hidden="false" customHeight="false" outlineLevel="0" collapsed="false">
      <c r="A1" s="28" t="s">
        <v>1366</v>
      </c>
    </row>
    <row r="2" customFormat="false" ht="15" hidden="false" customHeight="false" outlineLevel="0" collapsed="false">
      <c r="A2" s="2" t="s">
        <v>1367</v>
      </c>
    </row>
    <row r="4" customFormat="false" ht="15" hidden="false" customHeight="false" outlineLevel="0" collapsed="false">
      <c r="B4" s="111" t="s">
        <v>1368</v>
      </c>
      <c r="J4" s="112" t="n">
        <v>0</v>
      </c>
    </row>
    <row r="5" customFormat="false" ht="15" hidden="false" customHeight="false" outlineLevel="0" collapsed="false">
      <c r="B5" s="7" t="s">
        <v>1369</v>
      </c>
      <c r="C5" s="7"/>
      <c r="D5" s="7"/>
      <c r="E5" s="7"/>
      <c r="F5" s="7"/>
      <c r="G5" s="7"/>
      <c r="H5" s="7"/>
      <c r="I5" s="7"/>
      <c r="J5" s="7"/>
      <c r="K5" s="7"/>
      <c r="L5" s="7"/>
      <c r="M5" s="7"/>
      <c r="N5" s="7"/>
      <c r="O5" s="7"/>
      <c r="P5" s="7"/>
      <c r="Q5" s="7"/>
      <c r="R5" s="7"/>
      <c r="S5" s="7"/>
      <c r="T5" s="7"/>
      <c r="U5" s="7"/>
      <c r="V5" s="7"/>
    </row>
    <row r="6" customFormat="false" ht="51.75" hidden="false" customHeight="true" outlineLevel="0" collapsed="false">
      <c r="B6" s="8" t="s">
        <v>36</v>
      </c>
      <c r="C6" s="8" t="s">
        <v>12</v>
      </c>
      <c r="D6" s="8" t="s">
        <v>1282</v>
      </c>
      <c r="E6" s="8" t="s">
        <v>1354</v>
      </c>
      <c r="F6" s="8" t="s">
        <v>1355</v>
      </c>
      <c r="G6" s="8" t="s">
        <v>1356</v>
      </c>
      <c r="H6" s="8" t="s">
        <v>1370</v>
      </c>
      <c r="I6" s="8" t="s">
        <v>13</v>
      </c>
      <c r="J6" s="8" t="s">
        <v>1371</v>
      </c>
      <c r="K6" s="8" t="s">
        <v>19</v>
      </c>
      <c r="L6" s="8" t="s">
        <v>20</v>
      </c>
      <c r="M6" s="8" t="s">
        <v>18</v>
      </c>
      <c r="N6" s="8" t="s">
        <v>1372</v>
      </c>
      <c r="O6" s="8" t="s">
        <v>1373</v>
      </c>
      <c r="P6" s="8" t="s">
        <v>1374</v>
      </c>
      <c r="Q6" s="8" t="s">
        <v>1375</v>
      </c>
      <c r="R6" s="8" t="s">
        <v>1376</v>
      </c>
      <c r="S6" s="8" t="s">
        <v>1377</v>
      </c>
      <c r="T6" s="8" t="s">
        <v>1378</v>
      </c>
      <c r="U6" s="8" t="s">
        <v>1379</v>
      </c>
      <c r="V6" s="8" t="s">
        <v>1380</v>
      </c>
    </row>
    <row r="7" customFormat="false" ht="15" hidden="false" customHeight="false" outlineLevel="0" collapsed="false">
      <c r="B7" s="42" t="s">
        <v>48</v>
      </c>
      <c r="C7" s="46" t="s">
        <v>50</v>
      </c>
      <c r="D7" s="13" t="n">
        <f aca="false">'10 Scoring &amp; Weights'!D87</f>
        <v>62.2558861827256</v>
      </c>
      <c r="E7" s="13" t="n">
        <f aca="false">'10 Scoring &amp; Weights'!E87</f>
        <v>50</v>
      </c>
      <c r="F7" s="13" t="n">
        <f aca="false">'10 Scoring &amp; Weights'!F87</f>
        <v>40</v>
      </c>
      <c r="G7" s="13" t="n">
        <f aca="false">'10 Scoring &amp; Weights'!G87</f>
        <v>61.1171189531267</v>
      </c>
      <c r="H7" s="13" t="n">
        <f aca="false">'10 Scoring &amp; Weights'!H87</f>
        <v>47.5</v>
      </c>
      <c r="I7" s="18" t="n">
        <f aca="false">'10 Scoring &amp; Weights'!I87</f>
        <v>53.207128006923</v>
      </c>
      <c r="J7" s="14" t="n">
        <f aca="false">'08 TCO Model'!Y32</f>
        <v>93.23</v>
      </c>
      <c r="K7" s="15" t="str">
        <f aca="false">'10 Scoring &amp; Weights'!S87</f>
        <v>Conditionally eligible</v>
      </c>
      <c r="L7" s="15" t="str">
        <f aca="false">'10 Scoring &amp; Weights'!O87</f>
        <v>Medium</v>
      </c>
      <c r="M7" s="15" t="str">
        <f aca="false">'10 Scoring &amp; Weights'!T87</f>
        <v>Conditional</v>
      </c>
      <c r="N7" s="113" t="n">
        <f aca="false">I7-ROW()/1000000</f>
        <v>53.207121006923</v>
      </c>
      <c r="O7" s="58" t="n">
        <f aca="false">IF(K7="Eligible",1,0)</f>
        <v>0</v>
      </c>
      <c r="P7" s="58" t="n">
        <f aca="false">IF(OR(K7="Conditionally eligible",AND(K7="Pending verification",$J$4=1)),1,0)</f>
        <v>1</v>
      </c>
      <c r="Q7" s="58" t="n">
        <f aca="false">SUMPRODUCT(--($N$7:$N$19&gt;N7))+1</f>
        <v>4</v>
      </c>
      <c r="R7" s="58" t="str">
        <f aca="false">IF(O7=1,SUMPRODUCT(($O$7:$O$19=1)*($N$7:$N$19&gt;N7))+1,"")</f>
        <v/>
      </c>
      <c r="S7" s="58" t="n">
        <f aca="false">IF(P7=1,SUMPRODUCT(($P$7:$P$19=1)*($N$7:$N$19&gt;N7))+1,"")</f>
        <v>3</v>
      </c>
      <c r="T7" s="79" t="n">
        <f aca="false">IF(AND(OR(O7=1,P7=1),ISNUMBER(J7)),I7/J7*100,"")</f>
        <v>57.0708227039826</v>
      </c>
      <c r="U7" s="58" t="n">
        <f aca="false">IF(AND(K7="Pending verification",P7=0),1,0)</f>
        <v>0</v>
      </c>
      <c r="V7" s="58" t="str">
        <f aca="false">IF(U7=1,SUMPRODUCT(($U$7:$U$19=1)*($N$7:$N$19&gt;N7))+1,"")</f>
        <v/>
      </c>
    </row>
    <row r="8" customFormat="false" ht="15" hidden="false" customHeight="false" outlineLevel="0" collapsed="false">
      <c r="B8" s="42" t="s">
        <v>59</v>
      </c>
      <c r="C8" s="46" t="s">
        <v>60</v>
      </c>
      <c r="D8" s="13" t="n">
        <f aca="false">'10 Scoring &amp; Weights'!D88</f>
        <v>38.8102758012462</v>
      </c>
      <c r="E8" s="13" t="n">
        <f aca="false">'10 Scoring &amp; Weights'!E88</f>
        <v>31.25</v>
      </c>
      <c r="F8" s="13" t="n">
        <f aca="false">'10 Scoring &amp; Weights'!F88</f>
        <v>27.5</v>
      </c>
      <c r="G8" s="13" t="n">
        <f aca="false">'10 Scoring &amp; Weights'!G88</f>
        <v>35.5381094145368</v>
      </c>
      <c r="H8" s="13" t="n">
        <f aca="false">'10 Scoring &amp; Weights'!H88</f>
        <v>28.75</v>
      </c>
      <c r="I8" s="18" t="n">
        <f aca="false">'10 Scoring &amp; Weights'!I88</f>
        <v>33.3518129426167</v>
      </c>
      <c r="J8" s="14" t="n">
        <f aca="false">'08 TCO Model'!Y33</f>
        <v>140.1386</v>
      </c>
      <c r="K8" s="15" t="str">
        <f aca="false">'10 Scoring &amp; Weights'!S88</f>
        <v>Pending verification</v>
      </c>
      <c r="L8" s="15" t="str">
        <f aca="false">'10 Scoring &amp; Weights'!O88</f>
        <v>Low</v>
      </c>
      <c r="M8" s="15" t="str">
        <f aca="false">'10 Scoring &amp; Weights'!T88</f>
        <v>Not verified</v>
      </c>
      <c r="N8" s="113" t="n">
        <f aca="false">I8-ROW()/1000000</f>
        <v>33.3518049426167</v>
      </c>
      <c r="O8" s="58" t="n">
        <f aca="false">IF(K8="Eligible",1,0)</f>
        <v>0</v>
      </c>
      <c r="P8" s="58" t="n">
        <f aca="false">IF(OR(K8="Conditionally eligible",AND(K8="Pending verification",$J$4=1)),1,0)</f>
        <v>0</v>
      </c>
      <c r="Q8" s="58" t="n">
        <f aca="false">SUMPRODUCT(--($N$7:$N$19&gt;N8))+1</f>
        <v>13</v>
      </c>
      <c r="R8" s="58" t="str">
        <f aca="false">IF(O8=1,SUMPRODUCT(($O$7:$O$19=1)*($N$7:$N$19&gt;N8))+1,"")</f>
        <v/>
      </c>
      <c r="S8" s="58" t="str">
        <f aca="false">IF(P8=1,SUMPRODUCT(($P$7:$P$19=1)*($N$7:$N$19&gt;N8))+1,"")</f>
        <v/>
      </c>
      <c r="T8" s="79" t="str">
        <f aca="false">IF(AND(OR(O8=1,P8=1),ISNUMBER(J8)),I8/J8*100,"")</f>
        <v/>
      </c>
      <c r="U8" s="58" t="n">
        <f aca="false">IF(AND(K8="Pending verification",P8=0),1,0)</f>
        <v>1</v>
      </c>
      <c r="V8" s="58" t="n">
        <f aca="false">IF(U8=1,SUMPRODUCT(($U$7:$U$19=1)*($N$7:$N$19&gt;N8))+1,"")</f>
        <v>10</v>
      </c>
    </row>
    <row r="9" customFormat="false" ht="15" hidden="false" customHeight="false" outlineLevel="0" collapsed="false">
      <c r="B9" s="42" t="s">
        <v>65</v>
      </c>
      <c r="C9" s="46" t="s">
        <v>66</v>
      </c>
      <c r="D9" s="13" t="n">
        <f aca="false">'10 Scoring &amp; Weights'!D89</f>
        <v>61.4383792012179</v>
      </c>
      <c r="E9" s="13" t="n">
        <f aca="false">'10 Scoring &amp; Weights'!E89</f>
        <v>50</v>
      </c>
      <c r="F9" s="13" t="n">
        <f aca="false">'10 Scoring &amp; Weights'!F89</f>
        <v>50</v>
      </c>
      <c r="G9" s="13" t="n">
        <f aca="false">'10 Scoring &amp; Weights'!G89</f>
        <v>43.5381094145368</v>
      </c>
      <c r="H9" s="13" t="n">
        <f aca="false">'10 Scoring &amp; Weights'!H89</f>
        <v>70</v>
      </c>
      <c r="I9" s="18" t="n">
        <f aca="false">'10 Scoring &amp; Weights'!I89</f>
        <v>55.0341491326068</v>
      </c>
      <c r="J9" s="14" t="n">
        <f aca="false">'08 TCO Model'!Y34</f>
        <v>140.1386</v>
      </c>
      <c r="K9" s="15" t="str">
        <f aca="false">'10 Scoring &amp; Weights'!S89</f>
        <v>Conditionally eligible</v>
      </c>
      <c r="L9" s="15" t="str">
        <f aca="false">'10 Scoring &amp; Weights'!O89</f>
        <v>Low</v>
      </c>
      <c r="M9" s="15" t="str">
        <f aca="false">'10 Scoring &amp; Weights'!T89</f>
        <v>Conditional</v>
      </c>
      <c r="N9" s="113" t="n">
        <f aca="false">I9-ROW()/1000000</f>
        <v>55.0341401326068</v>
      </c>
      <c r="O9" s="58" t="n">
        <f aca="false">IF(K9="Eligible",1,0)</f>
        <v>0</v>
      </c>
      <c r="P9" s="58" t="n">
        <f aca="false">IF(OR(K9="Conditionally eligible",AND(K9="Pending verification",$J$4=1)),1,0)</f>
        <v>1</v>
      </c>
      <c r="Q9" s="58" t="n">
        <f aca="false">SUMPRODUCT(--($N$7:$N$19&gt;N9))+1</f>
        <v>3</v>
      </c>
      <c r="R9" s="58" t="str">
        <f aca="false">IF(O9=1,SUMPRODUCT(($O$7:$O$19=1)*($N$7:$N$19&gt;N9))+1,"")</f>
        <v/>
      </c>
      <c r="S9" s="58" t="n">
        <f aca="false">IF(P9=1,SUMPRODUCT(($P$7:$P$19=1)*($N$7:$N$19&gt;N9))+1,"")</f>
        <v>2</v>
      </c>
      <c r="T9" s="79" t="n">
        <f aca="false">IF(AND(OR(O9=1,P9=1),ISNUMBER(J9)),I9/J9*100,"")</f>
        <v>39.2712280075631</v>
      </c>
      <c r="U9" s="58" t="n">
        <f aca="false">IF(AND(K9="Pending verification",P9=0),1,0)</f>
        <v>0</v>
      </c>
      <c r="V9" s="58" t="str">
        <f aca="false">IF(U9=1,SUMPRODUCT(($U$7:$U$19=1)*($N$7:$N$19&gt;N9))+1,"")</f>
        <v/>
      </c>
    </row>
    <row r="10" customFormat="false" ht="15" hidden="false" customHeight="false" outlineLevel="0" collapsed="false">
      <c r="B10" s="42" t="s">
        <v>71</v>
      </c>
      <c r="C10" s="46" t="s">
        <v>72</v>
      </c>
      <c r="D10" s="13" t="n">
        <f aca="false">'10 Scoring &amp; Weights'!D90</f>
        <v>70.3709894004925</v>
      </c>
      <c r="E10" s="13" t="n">
        <f aca="false">'10 Scoring &amp; Weights'!E90</f>
        <v>52.7777777777778</v>
      </c>
      <c r="F10" s="13" t="n">
        <f aca="false">'10 Scoring &amp; Weights'!F90</f>
        <v>22.5</v>
      </c>
      <c r="G10" s="13" t="n">
        <f aca="false">'10 Scoring &amp; Weights'!G90</f>
        <v>56.5</v>
      </c>
      <c r="H10" s="13" t="n">
        <f aca="false">'10 Scoring &amp; Weights'!H90</f>
        <v>42.5</v>
      </c>
      <c r="I10" s="18" t="n">
        <f aca="false">'10 Scoring &amp; Weights'!I90</f>
        <v>50.8965129568391</v>
      </c>
      <c r="J10" s="14" t="n">
        <f aca="false">'08 TCO Model'!Y35</f>
        <v>66.69935</v>
      </c>
      <c r="K10" s="15" t="str">
        <f aca="false">'10 Scoring &amp; Weights'!S90</f>
        <v>Pending verification</v>
      </c>
      <c r="L10" s="15" t="str">
        <f aca="false">'10 Scoring &amp; Weights'!O90</f>
        <v>Medium</v>
      </c>
      <c r="M10" s="15" t="str">
        <f aca="false">'10 Scoring &amp; Weights'!T90</f>
        <v>Not verified</v>
      </c>
      <c r="N10" s="113" t="n">
        <f aca="false">I10-ROW()/1000000</f>
        <v>50.8965029568391</v>
      </c>
      <c r="O10" s="58" t="n">
        <f aca="false">IF(K10="Eligible",1,0)</f>
        <v>0</v>
      </c>
      <c r="P10" s="58" t="n">
        <f aca="false">IF(OR(K10="Conditionally eligible",AND(K10="Pending verification",$J$4=1)),1,0)</f>
        <v>0</v>
      </c>
      <c r="Q10" s="58" t="n">
        <f aca="false">SUMPRODUCT(--($N$7:$N$19&gt;N10))+1</f>
        <v>5</v>
      </c>
      <c r="R10" s="58" t="str">
        <f aca="false">IF(O10=1,SUMPRODUCT(($O$7:$O$19=1)*($N$7:$N$19&gt;N10))+1,"")</f>
        <v/>
      </c>
      <c r="S10" s="58" t="str">
        <f aca="false">IF(P10=1,SUMPRODUCT(($P$7:$P$19=1)*($N$7:$N$19&gt;N10))+1,"")</f>
        <v/>
      </c>
      <c r="T10" s="79" t="str">
        <f aca="false">IF(AND(OR(O10=1,P10=1),ISNUMBER(J10)),I10/J10*100,"")</f>
        <v/>
      </c>
      <c r="U10" s="58" t="n">
        <f aca="false">IF(AND(K10="Pending verification",P10=0),1,0)</f>
        <v>1</v>
      </c>
      <c r="V10" s="58" t="n">
        <f aca="false">IF(U10=1,SUMPRODUCT(($U$7:$U$19=1)*($N$7:$N$19&gt;N10))+1,"")</f>
        <v>2</v>
      </c>
    </row>
    <row r="11" customFormat="false" ht="15" hidden="false" customHeight="false" outlineLevel="0" collapsed="false">
      <c r="B11" s="42" t="s">
        <v>80</v>
      </c>
      <c r="C11" s="46" t="s">
        <v>81</v>
      </c>
      <c r="D11" s="13" t="n">
        <f aca="false">'10 Scoring &amp; Weights'!D91</f>
        <v>69.8653677709651</v>
      </c>
      <c r="E11" s="13" t="n">
        <f aca="false">'10 Scoring &amp; Weights'!E91</f>
        <v>44.4444444444444</v>
      </c>
      <c r="F11" s="13" t="n">
        <f aca="false">'10 Scoring &amp; Weights'!F91</f>
        <v>22.5</v>
      </c>
      <c r="G11" s="13" t="n">
        <f aca="false">'10 Scoring &amp; Weights'!G91</f>
        <v>60.5</v>
      </c>
      <c r="H11" s="13" t="n">
        <f aca="false">'10 Scoring &amp; Weights'!H91</f>
        <v>35</v>
      </c>
      <c r="I11" s="18" t="n">
        <f aca="false">'10 Scoring &amp; Weights'!I91</f>
        <v>49.3195453865045</v>
      </c>
      <c r="J11" s="14" t="n">
        <f aca="false">'08 TCO Model'!Y36</f>
        <v>66.69935</v>
      </c>
      <c r="K11" s="15" t="str">
        <f aca="false">'10 Scoring &amp; Weights'!S91</f>
        <v>Pending verification</v>
      </c>
      <c r="L11" s="15" t="str">
        <f aca="false">'10 Scoring &amp; Weights'!O91</f>
        <v>Low</v>
      </c>
      <c r="M11" s="15" t="str">
        <f aca="false">'10 Scoring &amp; Weights'!T91</f>
        <v>Not verified</v>
      </c>
      <c r="N11" s="113" t="n">
        <f aca="false">I11-ROW()/1000000</f>
        <v>49.3195343865045</v>
      </c>
      <c r="O11" s="58" t="n">
        <f aca="false">IF(K11="Eligible",1,0)</f>
        <v>0</v>
      </c>
      <c r="P11" s="58" t="n">
        <f aca="false">IF(OR(K11="Conditionally eligible",AND(K11="Pending verification",$J$4=1)),1,0)</f>
        <v>0</v>
      </c>
      <c r="Q11" s="58" t="n">
        <f aca="false">SUMPRODUCT(--($N$7:$N$19&gt;N11))+1</f>
        <v>8</v>
      </c>
      <c r="R11" s="58" t="str">
        <f aca="false">IF(O11=1,SUMPRODUCT(($O$7:$O$19=1)*($N$7:$N$19&gt;N11))+1,"")</f>
        <v/>
      </c>
      <c r="S11" s="58" t="str">
        <f aca="false">IF(P11=1,SUMPRODUCT(($P$7:$P$19=1)*($N$7:$N$19&gt;N11))+1,"")</f>
        <v/>
      </c>
      <c r="T11" s="79" t="str">
        <f aca="false">IF(AND(OR(O11=1,P11=1),ISNUMBER(J11)),I11/J11*100,"")</f>
        <v/>
      </c>
      <c r="U11" s="58" t="n">
        <f aca="false">IF(AND(K11="Pending verification",P11=0),1,0)</f>
        <v>1</v>
      </c>
      <c r="V11" s="58" t="n">
        <f aca="false">IF(U11=1,SUMPRODUCT(($U$7:$U$19=1)*($N$7:$N$19&gt;N11))+1,"")</f>
        <v>5</v>
      </c>
    </row>
    <row r="12" customFormat="false" ht="15" hidden="false" customHeight="false" outlineLevel="0" collapsed="false">
      <c r="B12" s="42" t="s">
        <v>86</v>
      </c>
      <c r="C12" s="46" t="s">
        <v>87</v>
      </c>
      <c r="D12" s="13" t="n">
        <f aca="false">'10 Scoring &amp; Weights'!D92</f>
        <v>55.2533665959546</v>
      </c>
      <c r="E12" s="13" t="n">
        <f aca="false">'10 Scoring &amp; Weights'!E92</f>
        <v>58.3333333333333</v>
      </c>
      <c r="F12" s="13" t="n">
        <f aca="false">'10 Scoring &amp; Weights'!F92</f>
        <v>22.5</v>
      </c>
      <c r="G12" s="13" t="n">
        <f aca="false">'10 Scoring &amp; Weights'!G92</f>
        <v>47.2844483155266</v>
      </c>
      <c r="H12" s="13" t="n">
        <f aca="false">'10 Scoring &amp; Weights'!H92</f>
        <v>35</v>
      </c>
      <c r="I12" s="18" t="n">
        <f aca="false">'10 Scoring &amp; Weights'!I92</f>
        <v>44.3063455559131</v>
      </c>
      <c r="J12" s="14" t="n">
        <f aca="false">'08 TCO Model'!Y37</f>
        <v>114.5818</v>
      </c>
      <c r="K12" s="15" t="str">
        <f aca="false">'10 Scoring &amp; Weights'!S92</f>
        <v>Pending verification</v>
      </c>
      <c r="L12" s="15" t="str">
        <f aca="false">'10 Scoring &amp; Weights'!O92</f>
        <v>Low</v>
      </c>
      <c r="M12" s="15" t="str">
        <f aca="false">'10 Scoring &amp; Weights'!T92</f>
        <v>Not verified</v>
      </c>
      <c r="N12" s="113" t="n">
        <f aca="false">I12-ROW()/1000000</f>
        <v>44.3063335559131</v>
      </c>
      <c r="O12" s="58" t="n">
        <f aca="false">IF(K12="Eligible",1,0)</f>
        <v>0</v>
      </c>
      <c r="P12" s="58" t="n">
        <f aca="false">IF(OR(K12="Conditionally eligible",AND(K12="Pending verification",$J$4=1)),1,0)</f>
        <v>0</v>
      </c>
      <c r="Q12" s="58" t="n">
        <f aca="false">SUMPRODUCT(--($N$7:$N$19&gt;N12))+1</f>
        <v>11</v>
      </c>
      <c r="R12" s="58" t="str">
        <f aca="false">IF(O12=1,SUMPRODUCT(($O$7:$O$19=1)*($N$7:$N$19&gt;N12))+1,"")</f>
        <v/>
      </c>
      <c r="S12" s="58" t="str">
        <f aca="false">IF(P12=1,SUMPRODUCT(($P$7:$P$19=1)*($N$7:$N$19&gt;N12))+1,"")</f>
        <v/>
      </c>
      <c r="T12" s="79" t="str">
        <f aca="false">IF(AND(OR(O12=1,P12=1),ISNUMBER(J12)),I12/J12*100,"")</f>
        <v/>
      </c>
      <c r="U12" s="58" t="n">
        <f aca="false">IF(AND(K12="Pending verification",P12=0),1,0)</f>
        <v>1</v>
      </c>
      <c r="V12" s="58" t="n">
        <f aca="false">IF(U12=1,SUMPRODUCT(($U$7:$U$19=1)*($N$7:$N$19&gt;N12))+1,"")</f>
        <v>8</v>
      </c>
    </row>
    <row r="13" customFormat="false" ht="15" hidden="false" customHeight="false" outlineLevel="0" collapsed="false">
      <c r="B13" s="42" t="s">
        <v>93</v>
      </c>
      <c r="C13" s="46" t="s">
        <v>94</v>
      </c>
      <c r="D13" s="13" t="n">
        <f aca="false">'10 Scoring &amp; Weights'!D93</f>
        <v>76.8320885723364</v>
      </c>
      <c r="E13" s="13" t="n">
        <f aca="false">'10 Scoring &amp; Weights'!E93</f>
        <v>76.25</v>
      </c>
      <c r="F13" s="13" t="n">
        <f aca="false">'10 Scoring &amp; Weights'!F93</f>
        <v>32.5</v>
      </c>
      <c r="G13" s="13" t="n">
        <f aca="false">'10 Scoring &amp; Weights'!G93</f>
        <v>34.5620549563956</v>
      </c>
      <c r="H13" s="13" t="n">
        <f aca="false">'10 Scoring &amp; Weights'!H93</f>
        <v>42.5</v>
      </c>
      <c r="I13" s="18" t="n">
        <f aca="false">'10 Scoring &amp; Weights'!I93</f>
        <v>55.8880392437771</v>
      </c>
      <c r="J13" s="14" t="n">
        <f aca="false">'08 TCO Model'!Y38</f>
        <v>189.7286</v>
      </c>
      <c r="K13" s="15" t="str">
        <f aca="false">'10 Scoring &amp; Weights'!S93</f>
        <v>Pending verification</v>
      </c>
      <c r="L13" s="15" t="str">
        <f aca="false">'10 Scoring &amp; Weights'!O93</f>
        <v>Low</v>
      </c>
      <c r="M13" s="15" t="str">
        <f aca="false">'10 Scoring &amp; Weights'!T93</f>
        <v>Not verified</v>
      </c>
      <c r="N13" s="113" t="n">
        <f aca="false">I13-ROW()/1000000</f>
        <v>55.8880262437771</v>
      </c>
      <c r="O13" s="58" t="n">
        <f aca="false">IF(K13="Eligible",1,0)</f>
        <v>0</v>
      </c>
      <c r="P13" s="58" t="n">
        <f aca="false">IF(OR(K13="Conditionally eligible",AND(K13="Pending verification",$J$4=1)),1,0)</f>
        <v>0</v>
      </c>
      <c r="Q13" s="58" t="n">
        <f aca="false">SUMPRODUCT(--($N$7:$N$19&gt;N13))+1</f>
        <v>1</v>
      </c>
      <c r="R13" s="58" t="str">
        <f aca="false">IF(O13=1,SUMPRODUCT(($O$7:$O$19=1)*($N$7:$N$19&gt;N13))+1,"")</f>
        <v/>
      </c>
      <c r="S13" s="58" t="str">
        <f aca="false">IF(P13=1,SUMPRODUCT(($P$7:$P$19=1)*($N$7:$N$19&gt;N13))+1,"")</f>
        <v/>
      </c>
      <c r="T13" s="79" t="str">
        <f aca="false">IF(AND(OR(O13=1,P13=1),ISNUMBER(J13)),I13/J13*100,"")</f>
        <v/>
      </c>
      <c r="U13" s="58" t="n">
        <f aca="false">IF(AND(K13="Pending verification",P13=0),1,0)</f>
        <v>1</v>
      </c>
      <c r="V13" s="58" t="n">
        <f aca="false">IF(U13=1,SUMPRODUCT(($U$7:$U$19=1)*($N$7:$N$19&gt;N13))+1,"")</f>
        <v>1</v>
      </c>
    </row>
    <row r="14" customFormat="false" ht="15" hidden="false" customHeight="false" outlineLevel="0" collapsed="false">
      <c r="B14" s="42" t="s">
        <v>98</v>
      </c>
      <c r="C14" s="46" t="s">
        <v>99</v>
      </c>
      <c r="D14" s="13" t="n">
        <f aca="false">'10 Scoring &amp; Weights'!D94</f>
        <v>41.8334967332486</v>
      </c>
      <c r="E14" s="13" t="n">
        <f aca="false">'10 Scoring &amp; Weights'!E94</f>
        <v>29.1666666666667</v>
      </c>
      <c r="F14" s="13" t="n">
        <f aca="false">'10 Scoring &amp; Weights'!F94</f>
        <v>22.5</v>
      </c>
      <c r="G14" s="13" t="n">
        <f aca="false">'10 Scoring &amp; Weights'!G94</f>
        <v>56.5</v>
      </c>
      <c r="H14" s="13" t="n">
        <f aca="false">'10 Scoring &amp; Weights'!H94</f>
        <v>42.5</v>
      </c>
      <c r="I14" s="18" t="n">
        <f aca="false">'10 Scoring &amp; Weights'!I94</f>
        <v>37.366723856637</v>
      </c>
      <c r="J14" s="14" t="n">
        <f aca="false">'08 TCO Model'!Y39</f>
        <v>66.69935</v>
      </c>
      <c r="K14" s="15" t="str">
        <f aca="false">'10 Scoring &amp; Weights'!S94</f>
        <v>Pending verification</v>
      </c>
      <c r="L14" s="15" t="str">
        <f aca="false">'10 Scoring &amp; Weights'!O94</f>
        <v>Low</v>
      </c>
      <c r="M14" s="15" t="str">
        <f aca="false">'10 Scoring &amp; Weights'!T94</f>
        <v>Not verified</v>
      </c>
      <c r="N14" s="113" t="n">
        <f aca="false">I14-ROW()/1000000</f>
        <v>37.366709856637</v>
      </c>
      <c r="O14" s="58" t="n">
        <f aca="false">IF(K14="Eligible",1,0)</f>
        <v>0</v>
      </c>
      <c r="P14" s="58" t="n">
        <f aca="false">IF(OR(K14="Conditionally eligible",AND(K14="Pending verification",$J$4=1)),1,0)</f>
        <v>0</v>
      </c>
      <c r="Q14" s="58" t="n">
        <f aca="false">SUMPRODUCT(--($N$7:$N$19&gt;N14))+1</f>
        <v>12</v>
      </c>
      <c r="R14" s="58" t="str">
        <f aca="false">IF(O14=1,SUMPRODUCT(($O$7:$O$19=1)*($N$7:$N$19&gt;N14))+1,"")</f>
        <v/>
      </c>
      <c r="S14" s="58" t="str">
        <f aca="false">IF(P14=1,SUMPRODUCT(($P$7:$P$19=1)*($N$7:$N$19&gt;N14))+1,"")</f>
        <v/>
      </c>
      <c r="T14" s="79" t="str">
        <f aca="false">IF(AND(OR(O14=1,P14=1),ISNUMBER(J14)),I14/J14*100,"")</f>
        <v/>
      </c>
      <c r="U14" s="58" t="n">
        <f aca="false">IF(AND(K14="Pending verification",P14=0),1,0)</f>
        <v>1</v>
      </c>
      <c r="V14" s="58" t="n">
        <f aca="false">IF(U14=1,SUMPRODUCT(($U$7:$U$19=1)*($N$7:$N$19&gt;N14))+1,"")</f>
        <v>9</v>
      </c>
    </row>
    <row r="15" customFormat="false" ht="15" hidden="false" customHeight="false" outlineLevel="0" collapsed="false">
      <c r="B15" s="42" t="s">
        <v>106</v>
      </c>
      <c r="C15" s="46" t="s">
        <v>107</v>
      </c>
      <c r="D15" s="13" t="n">
        <f aca="false">'10 Scoring &amp; Weights'!D95</f>
        <v>62.302921261792</v>
      </c>
      <c r="E15" s="13" t="n">
        <f aca="false">'10 Scoring &amp; Weights'!E95</f>
        <v>45</v>
      </c>
      <c r="F15" s="13" t="n">
        <f aca="false">'10 Scoring &amp; Weights'!F95</f>
        <v>32.5</v>
      </c>
      <c r="G15" s="13" t="n">
        <f aca="false">'10 Scoring &amp; Weights'!G95</f>
        <v>30.5620549563956</v>
      </c>
      <c r="H15" s="13" t="n">
        <f aca="false">'10 Scoring &amp; Weights'!H95</f>
        <v>42.5</v>
      </c>
      <c r="I15" s="18" t="n">
        <f aca="false">'10 Scoring &amp; Weights'!I95</f>
        <v>45.5153306850866</v>
      </c>
      <c r="J15" s="14" t="n">
        <f aca="false">'08 TCO Model'!Y40</f>
        <v>189.7286</v>
      </c>
      <c r="K15" s="15" t="str">
        <f aca="false">'10 Scoring &amp; Weights'!S95</f>
        <v>Pending verification</v>
      </c>
      <c r="L15" s="15" t="str">
        <f aca="false">'10 Scoring &amp; Weights'!O95</f>
        <v>Low</v>
      </c>
      <c r="M15" s="15" t="str">
        <f aca="false">'10 Scoring &amp; Weights'!T95</f>
        <v>Not verified</v>
      </c>
      <c r="N15" s="113" t="n">
        <f aca="false">I15-ROW()/1000000</f>
        <v>45.5153156850866</v>
      </c>
      <c r="O15" s="58" t="n">
        <f aca="false">IF(K15="Eligible",1,0)</f>
        <v>0</v>
      </c>
      <c r="P15" s="58" t="n">
        <f aca="false">IF(OR(K15="Conditionally eligible",AND(K15="Pending verification",$J$4=1)),1,0)</f>
        <v>0</v>
      </c>
      <c r="Q15" s="58" t="n">
        <f aca="false">SUMPRODUCT(--($N$7:$N$19&gt;N15))+1</f>
        <v>10</v>
      </c>
      <c r="R15" s="58" t="str">
        <f aca="false">IF(O15=1,SUMPRODUCT(($O$7:$O$19=1)*($N$7:$N$19&gt;N15))+1,"")</f>
        <v/>
      </c>
      <c r="S15" s="58" t="str">
        <f aca="false">IF(P15=1,SUMPRODUCT(($P$7:$P$19=1)*($N$7:$N$19&gt;N15))+1,"")</f>
        <v/>
      </c>
      <c r="T15" s="79" t="str">
        <f aca="false">IF(AND(OR(O15=1,P15=1),ISNUMBER(J15)),I15/J15*100,"")</f>
        <v/>
      </c>
      <c r="U15" s="58" t="n">
        <f aca="false">IF(AND(K15="Pending verification",P15=0),1,0)</f>
        <v>1</v>
      </c>
      <c r="V15" s="58" t="n">
        <f aca="false">IF(U15=1,SUMPRODUCT(($U$7:$U$19=1)*($N$7:$N$19&gt;N15))+1,"")</f>
        <v>7</v>
      </c>
    </row>
    <row r="16" customFormat="false" ht="15" hidden="false" customHeight="false" outlineLevel="0" collapsed="false">
      <c r="B16" s="42" t="s">
        <v>112</v>
      </c>
      <c r="C16" s="46" t="s">
        <v>113</v>
      </c>
      <c r="D16" s="13" t="n">
        <f aca="false">'10 Scoring &amp; Weights'!D96</f>
        <v>66.6304159134011</v>
      </c>
      <c r="E16" s="13" t="n">
        <f aca="false">'10 Scoring &amp; Weights'!E96</f>
        <v>57.5</v>
      </c>
      <c r="F16" s="13" t="n">
        <f aca="false">'10 Scoring &amp; Weights'!F96</f>
        <v>53.75</v>
      </c>
      <c r="G16" s="13" t="n">
        <f aca="false">'10 Scoring &amp; Weights'!G96</f>
        <v>30.5620549563956</v>
      </c>
      <c r="H16" s="13" t="n">
        <f aca="false">'10 Scoring &amp; Weights'!H96</f>
        <v>58</v>
      </c>
      <c r="I16" s="18" t="n">
        <f aca="false">'10 Scoring &amp; Weights'!I96</f>
        <v>55.7674538131497</v>
      </c>
      <c r="J16" s="14" t="n">
        <f aca="false">'08 TCO Model'!Y41</f>
        <v>189.7286</v>
      </c>
      <c r="K16" s="15" t="str">
        <f aca="false">'10 Scoring &amp; Weights'!S96</f>
        <v>Conditionally eligible</v>
      </c>
      <c r="L16" s="15" t="str">
        <f aca="false">'10 Scoring &amp; Weights'!O96</f>
        <v>Medium</v>
      </c>
      <c r="M16" s="15" t="str">
        <f aca="false">'10 Scoring &amp; Weights'!T96</f>
        <v>Conditional</v>
      </c>
      <c r="N16" s="113" t="n">
        <f aca="false">I16-ROW()/1000000</f>
        <v>55.7674378131497</v>
      </c>
      <c r="O16" s="58" t="n">
        <f aca="false">IF(K16="Eligible",1,0)</f>
        <v>0</v>
      </c>
      <c r="P16" s="58" t="n">
        <f aca="false">IF(OR(K16="Conditionally eligible",AND(K16="Pending verification",$J$4=1)),1,0)</f>
        <v>1</v>
      </c>
      <c r="Q16" s="58" t="n">
        <f aca="false">SUMPRODUCT(--($N$7:$N$19&gt;N16))+1</f>
        <v>2</v>
      </c>
      <c r="R16" s="58" t="str">
        <f aca="false">IF(O16=1,SUMPRODUCT(($O$7:$O$19=1)*($N$7:$N$19&gt;N16))+1,"")</f>
        <v/>
      </c>
      <c r="S16" s="58" t="n">
        <f aca="false">IF(P16=1,SUMPRODUCT(($P$7:$P$19=1)*($N$7:$N$19&gt;N16))+1,"")</f>
        <v>1</v>
      </c>
      <c r="T16" s="79" t="n">
        <f aca="false">IF(AND(OR(O16=1,P16=1),ISNUMBER(J16)),I16/J16*100,"")</f>
        <v>29.3932774569305</v>
      </c>
      <c r="U16" s="58" t="n">
        <f aca="false">IF(AND(K16="Pending verification",P16=0),1,0)</f>
        <v>0</v>
      </c>
      <c r="V16" s="58" t="str">
        <f aca="false">IF(U16=1,SUMPRODUCT(($U$7:$U$19=1)*($N$7:$N$19&gt;N16))+1,"")</f>
        <v/>
      </c>
    </row>
    <row r="17" customFormat="false" ht="15" hidden="false" customHeight="false" outlineLevel="0" collapsed="false">
      <c r="B17" s="42" t="s">
        <v>117</v>
      </c>
      <c r="C17" s="46" t="s">
        <v>118</v>
      </c>
      <c r="D17" s="13" t="n">
        <f aca="false">'10 Scoring &amp; Weights'!D97</f>
        <v>61.7891137842321</v>
      </c>
      <c r="E17" s="13" t="n">
        <f aca="false">'10 Scoring &amp; Weights'!E97</f>
        <v>53.75</v>
      </c>
      <c r="F17" s="13" t="n">
        <f aca="false">'10 Scoring &amp; Weights'!F97</f>
        <v>32.5</v>
      </c>
      <c r="G17" s="13" t="n">
        <f aca="false">'10 Scoring &amp; Weights'!G97</f>
        <v>35.5381094145368</v>
      </c>
      <c r="H17" s="13" t="n">
        <f aca="false">'10 Scoring &amp; Weights'!H97</f>
        <v>65</v>
      </c>
      <c r="I17" s="18" t="n">
        <f aca="false">'10 Scoring &amp; Weights'!I97</f>
        <v>49.6444062366618</v>
      </c>
      <c r="J17" s="14" t="n">
        <f aca="false">'08 TCO Model'!Y42</f>
        <v>140.1386</v>
      </c>
      <c r="K17" s="15" t="str">
        <f aca="false">'10 Scoring &amp; Weights'!S97</f>
        <v>Pending verification</v>
      </c>
      <c r="L17" s="15" t="str">
        <f aca="false">'10 Scoring &amp; Weights'!O97</f>
        <v>Low</v>
      </c>
      <c r="M17" s="15" t="str">
        <f aca="false">'10 Scoring &amp; Weights'!T97</f>
        <v>Not verified</v>
      </c>
      <c r="N17" s="113" t="n">
        <f aca="false">I17-ROW()/1000000</f>
        <v>49.6443892366618</v>
      </c>
      <c r="O17" s="58" t="n">
        <f aca="false">IF(K17="Eligible",1,0)</f>
        <v>0</v>
      </c>
      <c r="P17" s="58" t="n">
        <f aca="false">IF(OR(K17="Conditionally eligible",AND(K17="Pending verification",$J$4=1)),1,0)</f>
        <v>0</v>
      </c>
      <c r="Q17" s="58" t="n">
        <f aca="false">SUMPRODUCT(--($N$7:$N$19&gt;N17))+1</f>
        <v>7</v>
      </c>
      <c r="R17" s="58" t="str">
        <f aca="false">IF(O17=1,SUMPRODUCT(($O$7:$O$19=1)*($N$7:$N$19&gt;N17))+1,"")</f>
        <v/>
      </c>
      <c r="S17" s="58" t="str">
        <f aca="false">IF(P17=1,SUMPRODUCT(($P$7:$P$19=1)*($N$7:$N$19&gt;N17))+1,"")</f>
        <v/>
      </c>
      <c r="T17" s="79" t="str">
        <f aca="false">IF(AND(OR(O17=1,P17=1),ISNUMBER(J17)),I17/J17*100,"")</f>
        <v/>
      </c>
      <c r="U17" s="58" t="n">
        <f aca="false">IF(AND(K17="Pending verification",P17=0),1,0)</f>
        <v>1</v>
      </c>
      <c r="V17" s="58" t="n">
        <f aca="false">IF(U17=1,SUMPRODUCT(($U$7:$U$19=1)*($N$7:$N$19&gt;N17))+1,"")</f>
        <v>4</v>
      </c>
    </row>
    <row r="18" customFormat="false" ht="15" hidden="false" customHeight="false" outlineLevel="0" collapsed="false">
      <c r="B18" s="42" t="s">
        <v>122</v>
      </c>
      <c r="C18" s="46" t="s">
        <v>123</v>
      </c>
      <c r="D18" s="13" t="n">
        <f aca="false">'10 Scoring &amp; Weights'!D98</f>
        <v>58.2877363431534</v>
      </c>
      <c r="E18" s="13" t="n">
        <f aca="false">'10 Scoring &amp; Weights'!E98</f>
        <v>38.75</v>
      </c>
      <c r="F18" s="13" t="n">
        <f aca="false">'10 Scoring &amp; Weights'!F98</f>
        <v>32.5</v>
      </c>
      <c r="G18" s="13" t="n">
        <f aca="false">'10 Scoring &amp; Weights'!G98</f>
        <v>35.951091838044</v>
      </c>
      <c r="H18" s="13" t="n">
        <f aca="false">'10 Scoring &amp; Weights'!H98</f>
        <v>65</v>
      </c>
      <c r="I18" s="18" t="n">
        <f aca="false">'10 Scoring &amp; Weights'!I98</f>
        <v>46.2308714958103</v>
      </c>
      <c r="J18" s="14" t="n">
        <f aca="false">'08 TCO Model'!Y43</f>
        <v>137.1632</v>
      </c>
      <c r="K18" s="15" t="str">
        <f aca="false">'10 Scoring &amp; Weights'!S98</f>
        <v>Pending verification</v>
      </c>
      <c r="L18" s="15" t="str">
        <f aca="false">'10 Scoring &amp; Weights'!O98</f>
        <v>Low</v>
      </c>
      <c r="M18" s="15" t="str">
        <f aca="false">'10 Scoring &amp; Weights'!T98</f>
        <v>Not verified</v>
      </c>
      <c r="N18" s="113" t="n">
        <f aca="false">I18-ROW()/1000000</f>
        <v>46.2308534958103</v>
      </c>
      <c r="O18" s="58" t="n">
        <f aca="false">IF(K18="Eligible",1,0)</f>
        <v>0</v>
      </c>
      <c r="P18" s="58" t="n">
        <f aca="false">IF(OR(K18="Conditionally eligible",AND(K18="Pending verification",$J$4=1)),1,0)</f>
        <v>0</v>
      </c>
      <c r="Q18" s="58" t="n">
        <f aca="false">SUMPRODUCT(--($N$7:$N$19&gt;N18))+1</f>
        <v>9</v>
      </c>
      <c r="R18" s="58" t="str">
        <f aca="false">IF(O18=1,SUMPRODUCT(($O$7:$O$19=1)*($N$7:$N$19&gt;N18))+1,"")</f>
        <v/>
      </c>
      <c r="S18" s="58" t="str">
        <f aca="false">IF(P18=1,SUMPRODUCT(($P$7:$P$19=1)*($N$7:$N$19&gt;N18))+1,"")</f>
        <v/>
      </c>
      <c r="T18" s="79" t="str">
        <f aca="false">IF(AND(OR(O18=1,P18=1),ISNUMBER(J18)),I18/J18*100,"")</f>
        <v/>
      </c>
      <c r="U18" s="58" t="n">
        <f aca="false">IF(AND(K18="Pending verification",P18=0),1,0)</f>
        <v>1</v>
      </c>
      <c r="V18" s="58" t="n">
        <f aca="false">IF(U18=1,SUMPRODUCT(($U$7:$U$19=1)*($N$7:$N$19&gt;N18))+1,"")</f>
        <v>6</v>
      </c>
    </row>
    <row r="19" customFormat="false" ht="15" hidden="false" customHeight="false" outlineLevel="0" collapsed="false">
      <c r="B19" s="42" t="s">
        <v>127</v>
      </c>
      <c r="C19" s="46" t="s">
        <v>128</v>
      </c>
      <c r="D19" s="13" t="n">
        <f aca="false">'10 Scoring &amp; Weights'!D99</f>
        <v>58.3446503094967</v>
      </c>
      <c r="E19" s="13" t="n">
        <f aca="false">'10 Scoring &amp; Weights'!E99</f>
        <v>45</v>
      </c>
      <c r="F19" s="13" t="n">
        <f aca="false">'10 Scoring &amp; Weights'!F99</f>
        <v>32.5</v>
      </c>
      <c r="G19" s="13" t="n">
        <f aca="false">'10 Scoring &amp; Weights'!G99</f>
        <v>55.201091838044</v>
      </c>
      <c r="H19" s="13" t="n">
        <f aca="false">'10 Scoring &amp; Weights'!H99</f>
        <v>65</v>
      </c>
      <c r="I19" s="18" t="n">
        <f aca="false">'10 Scoring &amp; Weights'!I99</f>
        <v>50.0757913840304</v>
      </c>
      <c r="J19" s="14" t="n">
        <f aca="false">'08 TCO Model'!Y44</f>
        <v>137.1632</v>
      </c>
      <c r="K19" s="15" t="str">
        <f aca="false">'10 Scoring &amp; Weights'!S99</f>
        <v>Pending verification</v>
      </c>
      <c r="L19" s="15" t="str">
        <f aca="false">'10 Scoring &amp; Weights'!O99</f>
        <v>Low</v>
      </c>
      <c r="M19" s="15" t="str">
        <f aca="false">'10 Scoring &amp; Weights'!T99</f>
        <v>Not verified</v>
      </c>
      <c r="N19" s="113" t="n">
        <f aca="false">I19-ROW()/1000000</f>
        <v>50.0757723840304</v>
      </c>
      <c r="O19" s="58" t="n">
        <f aca="false">IF(K19="Eligible",1,0)</f>
        <v>0</v>
      </c>
      <c r="P19" s="58" t="n">
        <f aca="false">IF(OR(K19="Conditionally eligible",AND(K19="Pending verification",$J$4=1)),1,0)</f>
        <v>0</v>
      </c>
      <c r="Q19" s="58" t="n">
        <f aca="false">SUMPRODUCT(--($N$7:$N$19&gt;N19))+1</f>
        <v>6</v>
      </c>
      <c r="R19" s="58" t="str">
        <f aca="false">IF(O19=1,SUMPRODUCT(($O$7:$O$19=1)*($N$7:$N$19&gt;N19))+1,"")</f>
        <v/>
      </c>
      <c r="S19" s="58" t="str">
        <f aca="false">IF(P19=1,SUMPRODUCT(($P$7:$P$19=1)*($N$7:$N$19&gt;N19))+1,"")</f>
        <v/>
      </c>
      <c r="T19" s="79" t="str">
        <f aca="false">IF(AND(OR(O19=1,P19=1),ISNUMBER(J19)),I19/J19*100,"")</f>
        <v/>
      </c>
      <c r="U19" s="58" t="n">
        <f aca="false">IF(AND(K19="Pending verification",P19=0),1,0)</f>
        <v>1</v>
      </c>
      <c r="V19" s="58" t="n">
        <f aca="false">IF(U19=1,SUMPRODUCT(($U$7:$U$19=1)*($N$7:$N$19&gt;N19))+1,"")</f>
        <v>3</v>
      </c>
    </row>
    <row r="21" customFormat="false" ht="15" hidden="false" customHeight="false" outlineLevel="0" collapsed="false">
      <c r="B21" s="7" t="s">
        <v>1381</v>
      </c>
      <c r="C21" s="7"/>
      <c r="D21" s="7"/>
      <c r="E21" s="7"/>
      <c r="F21" s="7"/>
      <c r="G21" s="7"/>
      <c r="H21" s="7"/>
      <c r="I21" s="7"/>
      <c r="J21" s="7"/>
      <c r="K21" s="7"/>
    </row>
    <row r="22" customFormat="false" ht="15" hidden="false" customHeight="false" outlineLevel="0" collapsed="false">
      <c r="B22" s="114" t="str">
        <f aca="false">IF(COUNTIF($O$7:$O$19,1)=0,"No model currently passes all three mandatory gates — no confirmed ranking can be issued. See the provisional ranking.","")</f>
        <v>No model currently passes all three mandatory gates — no confirmed ranking can be issued. See the provisional ranking.</v>
      </c>
    </row>
    <row r="23" customFormat="false" ht="22.35" hidden="false" customHeight="false" outlineLevel="0" collapsed="false">
      <c r="B23" s="8" t="s">
        <v>11</v>
      </c>
      <c r="C23" s="8" t="s">
        <v>12</v>
      </c>
      <c r="D23" s="8" t="s">
        <v>13</v>
      </c>
      <c r="E23" s="8" t="s">
        <v>23</v>
      </c>
      <c r="F23" s="8" t="s">
        <v>15</v>
      </c>
      <c r="G23" s="8" t="s">
        <v>16</v>
      </c>
      <c r="H23" s="8" t="s">
        <v>1382</v>
      </c>
      <c r="I23" s="8" t="s">
        <v>19</v>
      </c>
      <c r="J23" s="8" t="s">
        <v>20</v>
      </c>
      <c r="K23" s="8" t="s">
        <v>18</v>
      </c>
    </row>
    <row r="24" customFormat="false" ht="15" hidden="false" customHeight="false" outlineLevel="0" collapsed="false">
      <c r="B24" s="16" t="n">
        <v>1</v>
      </c>
      <c r="C24" s="115" t="str">
        <f aca="false">IFERROR(INDEX($C$7:$C$19,MATCH($B24,$R$7:$R$19,0)),"")</f>
        <v/>
      </c>
      <c r="D24" s="116" t="str">
        <f aca="false">IFERROR(INDEX($I$7:$I$19,MATCH($B24,$R$7:$R$19,0)),"")</f>
        <v/>
      </c>
      <c r="E24" s="71" t="str">
        <f aca="false">IFERROR(INDEX($D$7:$D$19,MATCH($B24,$R$7:$R$19,0)),"")</f>
        <v/>
      </c>
      <c r="F24" s="71" t="str">
        <f aca="false">IFERROR(INDEX($F$7:$F$19,MATCH($B24,$R$7:$R$19,0)),"")</f>
        <v/>
      </c>
      <c r="G24" s="71" t="str">
        <f aca="false">IFERROR(INDEX($G$7:$G$19,MATCH($B24,$R$7:$R$19,0)),"")</f>
        <v/>
      </c>
      <c r="H24" s="117" t="str">
        <f aca="false">IFERROR(INDEX($J$7:$J$19,MATCH($B24,$R$7:$R$19,0)),"")</f>
        <v/>
      </c>
      <c r="I24" s="12" t="str">
        <f aca="false">IFERROR(INDEX($K$7:$K$19,MATCH($B24,$R$7:$R$19,0)),"")</f>
        <v/>
      </c>
      <c r="J24" s="12" t="str">
        <f aca="false">IFERROR(INDEX($L$7:$L$19,MATCH($B24,$R$7:$R$19,0)),"")</f>
        <v/>
      </c>
      <c r="K24" s="12" t="str">
        <f aca="false">IFERROR(INDEX($M$7:$M$19,MATCH($B24,$R$7:$R$19,0)),"")</f>
        <v/>
      </c>
    </row>
    <row r="25" customFormat="false" ht="15" hidden="false" customHeight="false" outlineLevel="0" collapsed="false">
      <c r="B25" s="16" t="n">
        <v>2</v>
      </c>
      <c r="C25" s="115" t="str">
        <f aca="false">IFERROR(INDEX($C$7:$C$19,MATCH($B25,$R$7:$R$19,0)),"")</f>
        <v/>
      </c>
      <c r="D25" s="116" t="str">
        <f aca="false">IFERROR(INDEX($I$7:$I$19,MATCH($B25,$R$7:$R$19,0)),"")</f>
        <v/>
      </c>
      <c r="E25" s="71" t="str">
        <f aca="false">IFERROR(INDEX($D$7:$D$19,MATCH($B25,$R$7:$R$19,0)),"")</f>
        <v/>
      </c>
      <c r="F25" s="71" t="str">
        <f aca="false">IFERROR(INDEX($F$7:$F$19,MATCH($B25,$R$7:$R$19,0)),"")</f>
        <v/>
      </c>
      <c r="G25" s="71" t="str">
        <f aca="false">IFERROR(INDEX($G$7:$G$19,MATCH($B25,$R$7:$R$19,0)),"")</f>
        <v/>
      </c>
      <c r="H25" s="117" t="str">
        <f aca="false">IFERROR(INDEX($J$7:$J$19,MATCH($B25,$R$7:$R$19,0)),"")</f>
        <v/>
      </c>
      <c r="I25" s="12" t="str">
        <f aca="false">IFERROR(INDEX($K$7:$K$19,MATCH($B25,$R$7:$R$19,0)),"")</f>
        <v/>
      </c>
      <c r="J25" s="12" t="str">
        <f aca="false">IFERROR(INDEX($L$7:$L$19,MATCH($B25,$R$7:$R$19,0)),"")</f>
        <v/>
      </c>
      <c r="K25" s="12" t="str">
        <f aca="false">IFERROR(INDEX($M$7:$M$19,MATCH($B25,$R$7:$R$19,0)),"")</f>
        <v/>
      </c>
    </row>
    <row r="26" customFormat="false" ht="15" hidden="false" customHeight="false" outlineLevel="0" collapsed="false">
      <c r="B26" s="16" t="n">
        <v>3</v>
      </c>
      <c r="C26" s="115" t="str">
        <f aca="false">IFERROR(INDEX($C$7:$C$19,MATCH($B26,$R$7:$R$19,0)),"")</f>
        <v/>
      </c>
      <c r="D26" s="116" t="str">
        <f aca="false">IFERROR(INDEX($I$7:$I$19,MATCH($B26,$R$7:$R$19,0)),"")</f>
        <v/>
      </c>
      <c r="E26" s="71" t="str">
        <f aca="false">IFERROR(INDEX($D$7:$D$19,MATCH($B26,$R$7:$R$19,0)),"")</f>
        <v/>
      </c>
      <c r="F26" s="71" t="str">
        <f aca="false">IFERROR(INDEX($F$7:$F$19,MATCH($B26,$R$7:$R$19,0)),"")</f>
        <v/>
      </c>
      <c r="G26" s="71" t="str">
        <f aca="false">IFERROR(INDEX($G$7:$G$19,MATCH($B26,$R$7:$R$19,0)),"")</f>
        <v/>
      </c>
      <c r="H26" s="117" t="str">
        <f aca="false">IFERROR(INDEX($J$7:$J$19,MATCH($B26,$R$7:$R$19,0)),"")</f>
        <v/>
      </c>
      <c r="I26" s="12" t="str">
        <f aca="false">IFERROR(INDEX($K$7:$K$19,MATCH($B26,$R$7:$R$19,0)),"")</f>
        <v/>
      </c>
      <c r="J26" s="12" t="str">
        <f aca="false">IFERROR(INDEX($L$7:$L$19,MATCH($B26,$R$7:$R$19,0)),"")</f>
        <v/>
      </c>
      <c r="K26" s="12" t="str">
        <f aca="false">IFERROR(INDEX($M$7:$M$19,MATCH($B26,$R$7:$R$19,0)),"")</f>
        <v/>
      </c>
    </row>
    <row r="27" customFormat="false" ht="15" hidden="false" customHeight="false" outlineLevel="0" collapsed="false">
      <c r="B27" s="16" t="n">
        <v>4</v>
      </c>
      <c r="C27" s="115" t="str">
        <f aca="false">IFERROR(INDEX($C$7:$C$19,MATCH($B27,$R$7:$R$19,0)),"")</f>
        <v/>
      </c>
      <c r="D27" s="116" t="str">
        <f aca="false">IFERROR(INDEX($I$7:$I$19,MATCH($B27,$R$7:$R$19,0)),"")</f>
        <v/>
      </c>
      <c r="E27" s="71" t="str">
        <f aca="false">IFERROR(INDEX($D$7:$D$19,MATCH($B27,$R$7:$R$19,0)),"")</f>
        <v/>
      </c>
      <c r="F27" s="71" t="str">
        <f aca="false">IFERROR(INDEX($F$7:$F$19,MATCH($B27,$R$7:$R$19,0)),"")</f>
        <v/>
      </c>
      <c r="G27" s="71" t="str">
        <f aca="false">IFERROR(INDEX($G$7:$G$19,MATCH($B27,$R$7:$R$19,0)),"")</f>
        <v/>
      </c>
      <c r="H27" s="117" t="str">
        <f aca="false">IFERROR(INDEX($J$7:$J$19,MATCH($B27,$R$7:$R$19,0)),"")</f>
        <v/>
      </c>
      <c r="I27" s="12" t="str">
        <f aca="false">IFERROR(INDEX($K$7:$K$19,MATCH($B27,$R$7:$R$19,0)),"")</f>
        <v/>
      </c>
      <c r="J27" s="12" t="str">
        <f aca="false">IFERROR(INDEX($L$7:$L$19,MATCH($B27,$R$7:$R$19,0)),"")</f>
        <v/>
      </c>
      <c r="K27" s="12" t="str">
        <f aca="false">IFERROR(INDEX($M$7:$M$19,MATCH($B27,$R$7:$R$19,0)),"")</f>
        <v/>
      </c>
    </row>
    <row r="28" customFormat="false" ht="15" hidden="false" customHeight="false" outlineLevel="0" collapsed="false">
      <c r="B28" s="16" t="n">
        <v>5</v>
      </c>
      <c r="C28" s="115" t="str">
        <f aca="false">IFERROR(INDEX($C$7:$C$19,MATCH($B28,$R$7:$R$19,0)),"")</f>
        <v/>
      </c>
      <c r="D28" s="116" t="str">
        <f aca="false">IFERROR(INDEX($I$7:$I$19,MATCH($B28,$R$7:$R$19,0)),"")</f>
        <v/>
      </c>
      <c r="E28" s="71" t="str">
        <f aca="false">IFERROR(INDEX($D$7:$D$19,MATCH($B28,$R$7:$R$19,0)),"")</f>
        <v/>
      </c>
      <c r="F28" s="71" t="str">
        <f aca="false">IFERROR(INDEX($F$7:$F$19,MATCH($B28,$R$7:$R$19,0)),"")</f>
        <v/>
      </c>
      <c r="G28" s="71" t="str">
        <f aca="false">IFERROR(INDEX($G$7:$G$19,MATCH($B28,$R$7:$R$19,0)),"")</f>
        <v/>
      </c>
      <c r="H28" s="117" t="str">
        <f aca="false">IFERROR(INDEX($J$7:$J$19,MATCH($B28,$R$7:$R$19,0)),"")</f>
        <v/>
      </c>
      <c r="I28" s="12" t="str">
        <f aca="false">IFERROR(INDEX($K$7:$K$19,MATCH($B28,$R$7:$R$19,0)),"")</f>
        <v/>
      </c>
      <c r="J28" s="12" t="str">
        <f aca="false">IFERROR(INDEX($L$7:$L$19,MATCH($B28,$R$7:$R$19,0)),"")</f>
        <v/>
      </c>
      <c r="K28" s="12" t="str">
        <f aca="false">IFERROR(INDEX($M$7:$M$19,MATCH($B28,$R$7:$R$19,0)),"")</f>
        <v/>
      </c>
    </row>
    <row r="29" customFormat="false" ht="15" hidden="false" customHeight="false" outlineLevel="0" collapsed="false">
      <c r="B29" s="16" t="n">
        <v>6</v>
      </c>
      <c r="C29" s="115" t="str">
        <f aca="false">IFERROR(INDEX($C$7:$C$19,MATCH($B29,$R$7:$R$19,0)),"")</f>
        <v/>
      </c>
      <c r="D29" s="116" t="str">
        <f aca="false">IFERROR(INDEX($I$7:$I$19,MATCH($B29,$R$7:$R$19,0)),"")</f>
        <v/>
      </c>
      <c r="E29" s="71" t="str">
        <f aca="false">IFERROR(INDEX($D$7:$D$19,MATCH($B29,$R$7:$R$19,0)),"")</f>
        <v/>
      </c>
      <c r="F29" s="71" t="str">
        <f aca="false">IFERROR(INDEX($F$7:$F$19,MATCH($B29,$R$7:$R$19,0)),"")</f>
        <v/>
      </c>
      <c r="G29" s="71" t="str">
        <f aca="false">IFERROR(INDEX($G$7:$G$19,MATCH($B29,$R$7:$R$19,0)),"")</f>
        <v/>
      </c>
      <c r="H29" s="117" t="str">
        <f aca="false">IFERROR(INDEX($J$7:$J$19,MATCH($B29,$R$7:$R$19,0)),"")</f>
        <v/>
      </c>
      <c r="I29" s="12" t="str">
        <f aca="false">IFERROR(INDEX($K$7:$K$19,MATCH($B29,$R$7:$R$19,0)),"")</f>
        <v/>
      </c>
      <c r="J29" s="12" t="str">
        <f aca="false">IFERROR(INDEX($L$7:$L$19,MATCH($B29,$R$7:$R$19,0)),"")</f>
        <v/>
      </c>
      <c r="K29" s="12" t="str">
        <f aca="false">IFERROR(INDEX($M$7:$M$19,MATCH($B29,$R$7:$R$19,0)),"")</f>
        <v/>
      </c>
    </row>
    <row r="30" customFormat="false" ht="15" hidden="false" customHeight="false" outlineLevel="0" collapsed="false">
      <c r="B30" s="16" t="n">
        <v>7</v>
      </c>
      <c r="C30" s="115" t="str">
        <f aca="false">IFERROR(INDEX($C$7:$C$19,MATCH($B30,$R$7:$R$19,0)),"")</f>
        <v/>
      </c>
      <c r="D30" s="116" t="str">
        <f aca="false">IFERROR(INDEX($I$7:$I$19,MATCH($B30,$R$7:$R$19,0)),"")</f>
        <v/>
      </c>
      <c r="E30" s="71" t="str">
        <f aca="false">IFERROR(INDEX($D$7:$D$19,MATCH($B30,$R$7:$R$19,0)),"")</f>
        <v/>
      </c>
      <c r="F30" s="71" t="str">
        <f aca="false">IFERROR(INDEX($F$7:$F$19,MATCH($B30,$R$7:$R$19,0)),"")</f>
        <v/>
      </c>
      <c r="G30" s="71" t="str">
        <f aca="false">IFERROR(INDEX($G$7:$G$19,MATCH($B30,$R$7:$R$19,0)),"")</f>
        <v/>
      </c>
      <c r="H30" s="117" t="str">
        <f aca="false">IFERROR(INDEX($J$7:$J$19,MATCH($B30,$R$7:$R$19,0)),"")</f>
        <v/>
      </c>
      <c r="I30" s="12" t="str">
        <f aca="false">IFERROR(INDEX($K$7:$K$19,MATCH($B30,$R$7:$R$19,0)),"")</f>
        <v/>
      </c>
      <c r="J30" s="12" t="str">
        <f aca="false">IFERROR(INDEX($L$7:$L$19,MATCH($B30,$R$7:$R$19,0)),"")</f>
        <v/>
      </c>
      <c r="K30" s="12" t="str">
        <f aca="false">IFERROR(INDEX($M$7:$M$19,MATCH($B30,$R$7:$R$19,0)),"")</f>
        <v/>
      </c>
    </row>
    <row r="31" customFormat="false" ht="15" hidden="false" customHeight="false" outlineLevel="0" collapsed="false">
      <c r="B31" s="16" t="n">
        <v>8</v>
      </c>
      <c r="C31" s="115" t="str">
        <f aca="false">IFERROR(INDEX($C$7:$C$19,MATCH($B31,$R$7:$R$19,0)),"")</f>
        <v/>
      </c>
      <c r="D31" s="116" t="str">
        <f aca="false">IFERROR(INDEX($I$7:$I$19,MATCH($B31,$R$7:$R$19,0)),"")</f>
        <v/>
      </c>
      <c r="E31" s="71" t="str">
        <f aca="false">IFERROR(INDEX($D$7:$D$19,MATCH($B31,$R$7:$R$19,0)),"")</f>
        <v/>
      </c>
      <c r="F31" s="71" t="str">
        <f aca="false">IFERROR(INDEX($F$7:$F$19,MATCH($B31,$R$7:$R$19,0)),"")</f>
        <v/>
      </c>
      <c r="G31" s="71" t="str">
        <f aca="false">IFERROR(INDEX($G$7:$G$19,MATCH($B31,$R$7:$R$19,0)),"")</f>
        <v/>
      </c>
      <c r="H31" s="117" t="str">
        <f aca="false">IFERROR(INDEX($J$7:$J$19,MATCH($B31,$R$7:$R$19,0)),"")</f>
        <v/>
      </c>
      <c r="I31" s="12" t="str">
        <f aca="false">IFERROR(INDEX($K$7:$K$19,MATCH($B31,$R$7:$R$19,0)),"")</f>
        <v/>
      </c>
      <c r="J31" s="12" t="str">
        <f aca="false">IFERROR(INDEX($L$7:$L$19,MATCH($B31,$R$7:$R$19,0)),"")</f>
        <v/>
      </c>
      <c r="K31" s="12" t="str">
        <f aca="false">IFERROR(INDEX($M$7:$M$19,MATCH($B31,$R$7:$R$19,0)),"")</f>
        <v/>
      </c>
    </row>
    <row r="32" customFormat="false" ht="15" hidden="false" customHeight="false" outlineLevel="0" collapsed="false">
      <c r="B32" s="16" t="n">
        <v>9</v>
      </c>
      <c r="C32" s="115" t="str">
        <f aca="false">IFERROR(INDEX($C$7:$C$19,MATCH($B32,$R$7:$R$19,0)),"")</f>
        <v/>
      </c>
      <c r="D32" s="116" t="str">
        <f aca="false">IFERROR(INDEX($I$7:$I$19,MATCH($B32,$R$7:$R$19,0)),"")</f>
        <v/>
      </c>
      <c r="E32" s="71" t="str">
        <f aca="false">IFERROR(INDEX($D$7:$D$19,MATCH($B32,$R$7:$R$19,0)),"")</f>
        <v/>
      </c>
      <c r="F32" s="71" t="str">
        <f aca="false">IFERROR(INDEX($F$7:$F$19,MATCH($B32,$R$7:$R$19,0)),"")</f>
        <v/>
      </c>
      <c r="G32" s="71" t="str">
        <f aca="false">IFERROR(INDEX($G$7:$G$19,MATCH($B32,$R$7:$R$19,0)),"")</f>
        <v/>
      </c>
      <c r="H32" s="117" t="str">
        <f aca="false">IFERROR(INDEX($J$7:$J$19,MATCH($B32,$R$7:$R$19,0)),"")</f>
        <v/>
      </c>
      <c r="I32" s="12" t="str">
        <f aca="false">IFERROR(INDEX($K$7:$K$19,MATCH($B32,$R$7:$R$19,0)),"")</f>
        <v/>
      </c>
      <c r="J32" s="12" t="str">
        <f aca="false">IFERROR(INDEX($L$7:$L$19,MATCH($B32,$R$7:$R$19,0)),"")</f>
        <v/>
      </c>
      <c r="K32" s="12" t="str">
        <f aca="false">IFERROR(INDEX($M$7:$M$19,MATCH($B32,$R$7:$R$19,0)),"")</f>
        <v/>
      </c>
    </row>
    <row r="33" customFormat="false" ht="15" hidden="false" customHeight="false" outlineLevel="0" collapsed="false">
      <c r="B33" s="16" t="n">
        <v>10</v>
      </c>
      <c r="C33" s="115" t="str">
        <f aca="false">IFERROR(INDEX($C$7:$C$19,MATCH($B33,$R$7:$R$19,0)),"")</f>
        <v/>
      </c>
      <c r="D33" s="116" t="str">
        <f aca="false">IFERROR(INDEX($I$7:$I$19,MATCH($B33,$R$7:$R$19,0)),"")</f>
        <v/>
      </c>
      <c r="E33" s="71" t="str">
        <f aca="false">IFERROR(INDEX($D$7:$D$19,MATCH($B33,$R$7:$R$19,0)),"")</f>
        <v/>
      </c>
      <c r="F33" s="71" t="str">
        <f aca="false">IFERROR(INDEX($F$7:$F$19,MATCH($B33,$R$7:$R$19,0)),"")</f>
        <v/>
      </c>
      <c r="G33" s="71" t="str">
        <f aca="false">IFERROR(INDEX($G$7:$G$19,MATCH($B33,$R$7:$R$19,0)),"")</f>
        <v/>
      </c>
      <c r="H33" s="117" t="str">
        <f aca="false">IFERROR(INDEX($J$7:$J$19,MATCH($B33,$R$7:$R$19,0)),"")</f>
        <v/>
      </c>
      <c r="I33" s="12" t="str">
        <f aca="false">IFERROR(INDEX($K$7:$K$19,MATCH($B33,$R$7:$R$19,0)),"")</f>
        <v/>
      </c>
      <c r="J33" s="12" t="str">
        <f aca="false">IFERROR(INDEX($L$7:$L$19,MATCH($B33,$R$7:$R$19,0)),"")</f>
        <v/>
      </c>
      <c r="K33" s="12" t="str">
        <f aca="false">IFERROR(INDEX($M$7:$M$19,MATCH($B33,$R$7:$R$19,0)),"")</f>
        <v/>
      </c>
    </row>
    <row r="34" customFormat="false" ht="15" hidden="false" customHeight="false" outlineLevel="0" collapsed="false">
      <c r="B34" s="16" t="n">
        <v>11</v>
      </c>
      <c r="C34" s="115" t="str">
        <f aca="false">IFERROR(INDEX($C$7:$C$19,MATCH($B34,$R$7:$R$19,0)),"")</f>
        <v/>
      </c>
      <c r="D34" s="116" t="str">
        <f aca="false">IFERROR(INDEX($I$7:$I$19,MATCH($B34,$R$7:$R$19,0)),"")</f>
        <v/>
      </c>
      <c r="E34" s="71" t="str">
        <f aca="false">IFERROR(INDEX($D$7:$D$19,MATCH($B34,$R$7:$R$19,0)),"")</f>
        <v/>
      </c>
      <c r="F34" s="71" t="str">
        <f aca="false">IFERROR(INDEX($F$7:$F$19,MATCH($B34,$R$7:$R$19,0)),"")</f>
        <v/>
      </c>
      <c r="G34" s="71" t="str">
        <f aca="false">IFERROR(INDEX($G$7:$G$19,MATCH($B34,$R$7:$R$19,0)),"")</f>
        <v/>
      </c>
      <c r="H34" s="117" t="str">
        <f aca="false">IFERROR(INDEX($J$7:$J$19,MATCH($B34,$R$7:$R$19,0)),"")</f>
        <v/>
      </c>
      <c r="I34" s="12" t="str">
        <f aca="false">IFERROR(INDEX($K$7:$K$19,MATCH($B34,$R$7:$R$19,0)),"")</f>
        <v/>
      </c>
      <c r="J34" s="12" t="str">
        <f aca="false">IFERROR(INDEX($L$7:$L$19,MATCH($B34,$R$7:$R$19,0)),"")</f>
        <v/>
      </c>
      <c r="K34" s="12" t="str">
        <f aca="false">IFERROR(INDEX($M$7:$M$19,MATCH($B34,$R$7:$R$19,0)),"")</f>
        <v/>
      </c>
    </row>
    <row r="35" customFormat="false" ht="15" hidden="false" customHeight="false" outlineLevel="0" collapsed="false">
      <c r="B35" s="16" t="n">
        <v>12</v>
      </c>
      <c r="C35" s="115" t="str">
        <f aca="false">IFERROR(INDEX($C$7:$C$19,MATCH($B35,$R$7:$R$19,0)),"")</f>
        <v/>
      </c>
      <c r="D35" s="116" t="str">
        <f aca="false">IFERROR(INDEX($I$7:$I$19,MATCH($B35,$R$7:$R$19,0)),"")</f>
        <v/>
      </c>
      <c r="E35" s="71" t="str">
        <f aca="false">IFERROR(INDEX($D$7:$D$19,MATCH($B35,$R$7:$R$19,0)),"")</f>
        <v/>
      </c>
      <c r="F35" s="71" t="str">
        <f aca="false">IFERROR(INDEX($F$7:$F$19,MATCH($B35,$R$7:$R$19,0)),"")</f>
        <v/>
      </c>
      <c r="G35" s="71" t="str">
        <f aca="false">IFERROR(INDEX($G$7:$G$19,MATCH($B35,$R$7:$R$19,0)),"")</f>
        <v/>
      </c>
      <c r="H35" s="117" t="str">
        <f aca="false">IFERROR(INDEX($J$7:$J$19,MATCH($B35,$R$7:$R$19,0)),"")</f>
        <v/>
      </c>
      <c r="I35" s="12" t="str">
        <f aca="false">IFERROR(INDEX($K$7:$K$19,MATCH($B35,$R$7:$R$19,0)),"")</f>
        <v/>
      </c>
      <c r="J35" s="12" t="str">
        <f aca="false">IFERROR(INDEX($L$7:$L$19,MATCH($B35,$R$7:$R$19,0)),"")</f>
        <v/>
      </c>
      <c r="K35" s="12" t="str">
        <f aca="false">IFERROR(INDEX($M$7:$M$19,MATCH($B35,$R$7:$R$19,0)),"")</f>
        <v/>
      </c>
    </row>
    <row r="36" customFormat="false" ht="15" hidden="false" customHeight="false" outlineLevel="0" collapsed="false">
      <c r="B36" s="16" t="n">
        <v>13</v>
      </c>
      <c r="C36" s="115" t="str">
        <f aca="false">IFERROR(INDEX($C$7:$C$19,MATCH($B36,$R$7:$R$19,0)),"")</f>
        <v/>
      </c>
      <c r="D36" s="116" t="str">
        <f aca="false">IFERROR(INDEX($I$7:$I$19,MATCH($B36,$R$7:$R$19,0)),"")</f>
        <v/>
      </c>
      <c r="E36" s="71" t="str">
        <f aca="false">IFERROR(INDEX($D$7:$D$19,MATCH($B36,$R$7:$R$19,0)),"")</f>
        <v/>
      </c>
      <c r="F36" s="71" t="str">
        <f aca="false">IFERROR(INDEX($F$7:$F$19,MATCH($B36,$R$7:$R$19,0)),"")</f>
        <v/>
      </c>
      <c r="G36" s="71" t="str">
        <f aca="false">IFERROR(INDEX($G$7:$G$19,MATCH($B36,$R$7:$R$19,0)),"")</f>
        <v/>
      </c>
      <c r="H36" s="117" t="str">
        <f aca="false">IFERROR(INDEX($J$7:$J$19,MATCH($B36,$R$7:$R$19,0)),"")</f>
        <v/>
      </c>
      <c r="I36" s="12" t="str">
        <f aca="false">IFERROR(INDEX($K$7:$K$19,MATCH($B36,$R$7:$R$19,0)),"")</f>
        <v/>
      </c>
      <c r="J36" s="12" t="str">
        <f aca="false">IFERROR(INDEX($L$7:$L$19,MATCH($B36,$R$7:$R$19,0)),"")</f>
        <v/>
      </c>
      <c r="K36" s="12" t="str">
        <f aca="false">IFERROR(INDEX($M$7:$M$19,MATCH($B36,$R$7:$R$19,0)),"")</f>
        <v/>
      </c>
    </row>
    <row r="38" customFormat="false" ht="15" hidden="false" customHeight="false" outlineLevel="0" collapsed="false">
      <c r="B38" s="7" t="s">
        <v>1383</v>
      </c>
      <c r="C38" s="7"/>
      <c r="D38" s="7"/>
      <c r="E38" s="7"/>
      <c r="F38" s="7"/>
      <c r="G38" s="7"/>
      <c r="H38" s="7"/>
      <c r="I38" s="7"/>
      <c r="J38" s="7"/>
      <c r="K38" s="7"/>
    </row>
    <row r="39" customFormat="false" ht="15" hidden="false" customHeight="false" outlineLevel="0" collapsed="false">
      <c r="B39" s="114" t="str">
        <f aca="false">IF(COUNTIF($P$7:$P$19,1)=0,"No model is in the provisional pool.","")</f>
        <v/>
      </c>
    </row>
    <row r="40" customFormat="false" ht="22.35" hidden="false" customHeight="false" outlineLevel="0" collapsed="false">
      <c r="B40" s="8" t="s">
        <v>11</v>
      </c>
      <c r="C40" s="8" t="s">
        <v>12</v>
      </c>
      <c r="D40" s="8" t="s">
        <v>13</v>
      </c>
      <c r="E40" s="8" t="s">
        <v>23</v>
      </c>
      <c r="F40" s="8" t="s">
        <v>15</v>
      </c>
      <c r="G40" s="8" t="s">
        <v>16</v>
      </c>
      <c r="H40" s="8" t="s">
        <v>1382</v>
      </c>
      <c r="I40" s="8" t="s">
        <v>19</v>
      </c>
      <c r="J40" s="8" t="s">
        <v>20</v>
      </c>
      <c r="K40" s="8" t="s">
        <v>18</v>
      </c>
    </row>
    <row r="41" customFormat="false" ht="15" hidden="false" customHeight="false" outlineLevel="0" collapsed="false">
      <c r="B41" s="16" t="n">
        <v>1</v>
      </c>
      <c r="C41" s="115" t="str">
        <f aca="false">IFERROR(INDEX($C$7:$C$19,MATCH($B41,$S$7:$S$19,0)),"")</f>
        <v>HW19</v>
      </c>
      <c r="D41" s="116" t="n">
        <f aca="false">IFERROR(INDEX($I$7:$I$19,MATCH($B41,$S$7:$S$19,0)),"")</f>
        <v>55.7674538131497</v>
      </c>
      <c r="E41" s="71" t="n">
        <f aca="false">IFERROR(INDEX($D$7:$D$19,MATCH($B41,$S$7:$S$19,0)),"")</f>
        <v>66.6304159134011</v>
      </c>
      <c r="F41" s="71" t="n">
        <f aca="false">IFERROR(INDEX($F$7:$F$19,MATCH($B41,$S$7:$S$19,0)),"")</f>
        <v>53.75</v>
      </c>
      <c r="G41" s="71" t="n">
        <f aca="false">IFERROR(INDEX($G$7:$G$19,MATCH($B41,$S$7:$S$19,0)),"")</f>
        <v>30.5620549563956</v>
      </c>
      <c r="H41" s="117" t="n">
        <f aca="false">IFERROR(INDEX($J$7:$J$19,MATCH($B41,$S$7:$S$19,0)),"")</f>
        <v>189.7286</v>
      </c>
      <c r="I41" s="12" t="str">
        <f aca="false">IFERROR(INDEX($K$7:$K$19,MATCH($B41,$S$7:$S$19,0)),"")</f>
        <v>Conditionally eligible</v>
      </c>
      <c r="J41" s="12" t="str">
        <f aca="false">IFERROR(INDEX($L$7:$L$19,MATCH($B41,$S$7:$S$19,0)),"")</f>
        <v>Medium</v>
      </c>
      <c r="K41" s="12" t="str">
        <f aca="false">IFERROR(INDEX($M$7:$M$19,MATCH($B41,$S$7:$S$19,0)),"")</f>
        <v>Conditional</v>
      </c>
    </row>
    <row r="42" customFormat="false" ht="15" hidden="false" customHeight="false" outlineLevel="0" collapsed="false">
      <c r="B42" s="16" t="n">
        <v>2</v>
      </c>
      <c r="C42" s="115" t="str">
        <f aca="false">IFERROR(INDEX($C$7:$C$19,MATCH($B42,$S$7:$S$19,0)),"")</f>
        <v>CT34</v>
      </c>
      <c r="D42" s="116" t="n">
        <f aca="false">IFERROR(INDEX($I$7:$I$19,MATCH($B42,$S$7:$S$19,0)),"")</f>
        <v>55.0341491326068</v>
      </c>
      <c r="E42" s="71" t="n">
        <f aca="false">IFERROR(INDEX($D$7:$D$19,MATCH($B42,$S$7:$S$19,0)),"")</f>
        <v>61.4383792012179</v>
      </c>
      <c r="F42" s="71" t="n">
        <f aca="false">IFERROR(INDEX($F$7:$F$19,MATCH($B42,$S$7:$S$19,0)),"")</f>
        <v>50</v>
      </c>
      <c r="G42" s="71" t="n">
        <f aca="false">IFERROR(INDEX($G$7:$G$19,MATCH($B42,$S$7:$S$19,0)),"")</f>
        <v>43.5381094145368</v>
      </c>
      <c r="H42" s="117" t="n">
        <f aca="false">IFERROR(INDEX($J$7:$J$19,MATCH($B42,$S$7:$S$19,0)),"")</f>
        <v>140.1386</v>
      </c>
      <c r="I42" s="12" t="str">
        <f aca="false">IFERROR(INDEX($K$7:$K$19,MATCH($B42,$S$7:$S$19,0)),"")</f>
        <v>Conditionally eligible</v>
      </c>
      <c r="J42" s="12" t="str">
        <f aca="false">IFERROR(INDEX($L$7:$L$19,MATCH($B42,$S$7:$S$19,0)),"")</f>
        <v>Low</v>
      </c>
      <c r="K42" s="12" t="str">
        <f aca="false">IFERROR(INDEX($M$7:$M$19,MATCH($B42,$S$7:$S$19,0)),"")</f>
        <v>Conditional</v>
      </c>
    </row>
    <row r="43" customFormat="false" ht="15" hidden="false" customHeight="false" outlineLevel="0" collapsed="false">
      <c r="B43" s="16" t="n">
        <v>3</v>
      </c>
      <c r="C43" s="115" t="str">
        <f aca="false">IFERROR(INDEX($C$7:$C$19,MATCH($B43,$S$7:$S$19,0)),"")</f>
        <v>VB10</v>
      </c>
      <c r="D43" s="116" t="n">
        <f aca="false">IFERROR(INDEX($I$7:$I$19,MATCH($B43,$S$7:$S$19,0)),"")</f>
        <v>53.207128006923</v>
      </c>
      <c r="E43" s="71" t="n">
        <f aca="false">IFERROR(INDEX($D$7:$D$19,MATCH($B43,$S$7:$S$19,0)),"")</f>
        <v>62.2558861827256</v>
      </c>
      <c r="F43" s="71" t="n">
        <f aca="false">IFERROR(INDEX($F$7:$F$19,MATCH($B43,$S$7:$S$19,0)),"")</f>
        <v>40</v>
      </c>
      <c r="G43" s="71" t="n">
        <f aca="false">IFERROR(INDEX($G$7:$G$19,MATCH($B43,$S$7:$S$19,0)),"")</f>
        <v>61.1171189531267</v>
      </c>
      <c r="H43" s="117" t="n">
        <f aca="false">IFERROR(INDEX($J$7:$J$19,MATCH($B43,$S$7:$S$19,0)),"")</f>
        <v>93.23</v>
      </c>
      <c r="I43" s="12" t="str">
        <f aca="false">IFERROR(INDEX($K$7:$K$19,MATCH($B43,$S$7:$S$19,0)),"")</f>
        <v>Conditionally eligible</v>
      </c>
      <c r="J43" s="12" t="str">
        <f aca="false">IFERROR(INDEX($L$7:$L$19,MATCH($B43,$S$7:$S$19,0)),"")</f>
        <v>Medium</v>
      </c>
      <c r="K43" s="12" t="str">
        <f aca="false">IFERROR(INDEX($M$7:$M$19,MATCH($B43,$S$7:$S$19,0)),"")</f>
        <v>Conditional</v>
      </c>
    </row>
    <row r="44" customFormat="false" ht="15" hidden="false" customHeight="false" outlineLevel="0" collapsed="false">
      <c r="B44" s="16" t="n">
        <v>4</v>
      </c>
      <c r="C44" s="115" t="str">
        <f aca="false">IFERROR(INDEX($C$7:$C$19,MATCH($B44,$S$7:$S$19,0)),"")</f>
        <v/>
      </c>
      <c r="D44" s="116" t="str">
        <f aca="false">IFERROR(INDEX($I$7:$I$19,MATCH($B44,$S$7:$S$19,0)),"")</f>
        <v/>
      </c>
      <c r="E44" s="71" t="str">
        <f aca="false">IFERROR(INDEX($D$7:$D$19,MATCH($B44,$S$7:$S$19,0)),"")</f>
        <v/>
      </c>
      <c r="F44" s="71" t="str">
        <f aca="false">IFERROR(INDEX($F$7:$F$19,MATCH($B44,$S$7:$S$19,0)),"")</f>
        <v/>
      </c>
      <c r="G44" s="71" t="str">
        <f aca="false">IFERROR(INDEX($G$7:$G$19,MATCH($B44,$S$7:$S$19,0)),"")</f>
        <v/>
      </c>
      <c r="H44" s="117" t="str">
        <f aca="false">IFERROR(INDEX($J$7:$J$19,MATCH($B44,$S$7:$S$19,0)),"")</f>
        <v/>
      </c>
      <c r="I44" s="12" t="str">
        <f aca="false">IFERROR(INDEX($K$7:$K$19,MATCH($B44,$S$7:$S$19,0)),"")</f>
        <v/>
      </c>
      <c r="J44" s="12" t="str">
        <f aca="false">IFERROR(INDEX($L$7:$L$19,MATCH($B44,$S$7:$S$19,0)),"")</f>
        <v/>
      </c>
      <c r="K44" s="12" t="str">
        <f aca="false">IFERROR(INDEX($M$7:$M$19,MATCH($B44,$S$7:$S$19,0)),"")</f>
        <v/>
      </c>
    </row>
    <row r="45" customFormat="false" ht="15" hidden="false" customHeight="false" outlineLevel="0" collapsed="false">
      <c r="B45" s="16" t="n">
        <v>5</v>
      </c>
      <c r="C45" s="115" t="str">
        <f aca="false">IFERROR(INDEX($C$7:$C$19,MATCH($B45,$S$7:$S$19,0)),"")</f>
        <v/>
      </c>
      <c r="D45" s="116" t="str">
        <f aca="false">IFERROR(INDEX($I$7:$I$19,MATCH($B45,$S$7:$S$19,0)),"")</f>
        <v/>
      </c>
      <c r="E45" s="71" t="str">
        <f aca="false">IFERROR(INDEX($D$7:$D$19,MATCH($B45,$S$7:$S$19,0)),"")</f>
        <v/>
      </c>
      <c r="F45" s="71" t="str">
        <f aca="false">IFERROR(INDEX($F$7:$F$19,MATCH($B45,$S$7:$S$19,0)),"")</f>
        <v/>
      </c>
      <c r="G45" s="71" t="str">
        <f aca="false">IFERROR(INDEX($G$7:$G$19,MATCH($B45,$S$7:$S$19,0)),"")</f>
        <v/>
      </c>
      <c r="H45" s="117" t="str">
        <f aca="false">IFERROR(INDEX($J$7:$J$19,MATCH($B45,$S$7:$S$19,0)),"")</f>
        <v/>
      </c>
      <c r="I45" s="12" t="str">
        <f aca="false">IFERROR(INDEX($K$7:$K$19,MATCH($B45,$S$7:$S$19,0)),"")</f>
        <v/>
      </c>
      <c r="J45" s="12" t="str">
        <f aca="false">IFERROR(INDEX($L$7:$L$19,MATCH($B45,$S$7:$S$19,0)),"")</f>
        <v/>
      </c>
      <c r="K45" s="12" t="str">
        <f aca="false">IFERROR(INDEX($M$7:$M$19,MATCH($B45,$S$7:$S$19,0)),"")</f>
        <v/>
      </c>
    </row>
    <row r="46" customFormat="false" ht="15" hidden="false" customHeight="false" outlineLevel="0" collapsed="false">
      <c r="B46" s="16" t="n">
        <v>6</v>
      </c>
      <c r="C46" s="115" t="str">
        <f aca="false">IFERROR(INDEX($C$7:$C$19,MATCH($B46,$S$7:$S$19,0)),"")</f>
        <v/>
      </c>
      <c r="D46" s="116" t="str">
        <f aca="false">IFERROR(INDEX($I$7:$I$19,MATCH($B46,$S$7:$S$19,0)),"")</f>
        <v/>
      </c>
      <c r="E46" s="71" t="str">
        <f aca="false">IFERROR(INDEX($D$7:$D$19,MATCH($B46,$S$7:$S$19,0)),"")</f>
        <v/>
      </c>
      <c r="F46" s="71" t="str">
        <f aca="false">IFERROR(INDEX($F$7:$F$19,MATCH($B46,$S$7:$S$19,0)),"")</f>
        <v/>
      </c>
      <c r="G46" s="71" t="str">
        <f aca="false">IFERROR(INDEX($G$7:$G$19,MATCH($B46,$S$7:$S$19,0)),"")</f>
        <v/>
      </c>
      <c r="H46" s="117" t="str">
        <f aca="false">IFERROR(INDEX($J$7:$J$19,MATCH($B46,$S$7:$S$19,0)),"")</f>
        <v/>
      </c>
      <c r="I46" s="12" t="str">
        <f aca="false">IFERROR(INDEX($K$7:$K$19,MATCH($B46,$S$7:$S$19,0)),"")</f>
        <v/>
      </c>
      <c r="J46" s="12" t="str">
        <f aca="false">IFERROR(INDEX($L$7:$L$19,MATCH($B46,$S$7:$S$19,0)),"")</f>
        <v/>
      </c>
      <c r="K46" s="12" t="str">
        <f aca="false">IFERROR(INDEX($M$7:$M$19,MATCH($B46,$S$7:$S$19,0)),"")</f>
        <v/>
      </c>
    </row>
    <row r="47" customFormat="false" ht="15" hidden="false" customHeight="false" outlineLevel="0" collapsed="false">
      <c r="B47" s="16" t="n">
        <v>7</v>
      </c>
      <c r="C47" s="115" t="str">
        <f aca="false">IFERROR(INDEX($C$7:$C$19,MATCH($B47,$S$7:$S$19,0)),"")</f>
        <v/>
      </c>
      <c r="D47" s="116" t="str">
        <f aca="false">IFERROR(INDEX($I$7:$I$19,MATCH($B47,$S$7:$S$19,0)),"")</f>
        <v/>
      </c>
      <c r="E47" s="71" t="str">
        <f aca="false">IFERROR(INDEX($D$7:$D$19,MATCH($B47,$S$7:$S$19,0)),"")</f>
        <v/>
      </c>
      <c r="F47" s="71" t="str">
        <f aca="false">IFERROR(INDEX($F$7:$F$19,MATCH($B47,$S$7:$S$19,0)),"")</f>
        <v/>
      </c>
      <c r="G47" s="71" t="str">
        <f aca="false">IFERROR(INDEX($G$7:$G$19,MATCH($B47,$S$7:$S$19,0)),"")</f>
        <v/>
      </c>
      <c r="H47" s="117" t="str">
        <f aca="false">IFERROR(INDEX($J$7:$J$19,MATCH($B47,$S$7:$S$19,0)),"")</f>
        <v/>
      </c>
      <c r="I47" s="12" t="str">
        <f aca="false">IFERROR(INDEX($K$7:$K$19,MATCH($B47,$S$7:$S$19,0)),"")</f>
        <v/>
      </c>
      <c r="J47" s="12" t="str">
        <f aca="false">IFERROR(INDEX($L$7:$L$19,MATCH($B47,$S$7:$S$19,0)),"")</f>
        <v/>
      </c>
      <c r="K47" s="12" t="str">
        <f aca="false">IFERROR(INDEX($M$7:$M$19,MATCH($B47,$S$7:$S$19,0)),"")</f>
        <v/>
      </c>
    </row>
    <row r="48" customFormat="false" ht="15" hidden="false" customHeight="false" outlineLevel="0" collapsed="false">
      <c r="B48" s="16" t="n">
        <v>8</v>
      </c>
      <c r="C48" s="115" t="str">
        <f aca="false">IFERROR(INDEX($C$7:$C$19,MATCH($B48,$S$7:$S$19,0)),"")</f>
        <v/>
      </c>
      <c r="D48" s="116" t="str">
        <f aca="false">IFERROR(INDEX($I$7:$I$19,MATCH($B48,$S$7:$S$19,0)),"")</f>
        <v/>
      </c>
      <c r="E48" s="71" t="str">
        <f aca="false">IFERROR(INDEX($D$7:$D$19,MATCH($B48,$S$7:$S$19,0)),"")</f>
        <v/>
      </c>
      <c r="F48" s="71" t="str">
        <f aca="false">IFERROR(INDEX($F$7:$F$19,MATCH($B48,$S$7:$S$19,0)),"")</f>
        <v/>
      </c>
      <c r="G48" s="71" t="str">
        <f aca="false">IFERROR(INDEX($G$7:$G$19,MATCH($B48,$S$7:$S$19,0)),"")</f>
        <v/>
      </c>
      <c r="H48" s="117" t="str">
        <f aca="false">IFERROR(INDEX($J$7:$J$19,MATCH($B48,$S$7:$S$19,0)),"")</f>
        <v/>
      </c>
      <c r="I48" s="12" t="str">
        <f aca="false">IFERROR(INDEX($K$7:$K$19,MATCH($B48,$S$7:$S$19,0)),"")</f>
        <v/>
      </c>
      <c r="J48" s="12" t="str">
        <f aca="false">IFERROR(INDEX($L$7:$L$19,MATCH($B48,$S$7:$S$19,0)),"")</f>
        <v/>
      </c>
      <c r="K48" s="12" t="str">
        <f aca="false">IFERROR(INDEX($M$7:$M$19,MATCH($B48,$S$7:$S$19,0)),"")</f>
        <v/>
      </c>
    </row>
    <row r="49" customFormat="false" ht="15" hidden="false" customHeight="false" outlineLevel="0" collapsed="false">
      <c r="B49" s="16" t="n">
        <v>9</v>
      </c>
      <c r="C49" s="115" t="str">
        <f aca="false">IFERROR(INDEX($C$7:$C$19,MATCH($B49,$S$7:$S$19,0)),"")</f>
        <v/>
      </c>
      <c r="D49" s="116" t="str">
        <f aca="false">IFERROR(INDEX($I$7:$I$19,MATCH($B49,$S$7:$S$19,0)),"")</f>
        <v/>
      </c>
      <c r="E49" s="71" t="str">
        <f aca="false">IFERROR(INDEX($D$7:$D$19,MATCH($B49,$S$7:$S$19,0)),"")</f>
        <v/>
      </c>
      <c r="F49" s="71" t="str">
        <f aca="false">IFERROR(INDEX($F$7:$F$19,MATCH($B49,$S$7:$S$19,0)),"")</f>
        <v/>
      </c>
      <c r="G49" s="71" t="str">
        <f aca="false">IFERROR(INDEX($G$7:$G$19,MATCH($B49,$S$7:$S$19,0)),"")</f>
        <v/>
      </c>
      <c r="H49" s="117" t="str">
        <f aca="false">IFERROR(INDEX($J$7:$J$19,MATCH($B49,$S$7:$S$19,0)),"")</f>
        <v/>
      </c>
      <c r="I49" s="12" t="str">
        <f aca="false">IFERROR(INDEX($K$7:$K$19,MATCH($B49,$S$7:$S$19,0)),"")</f>
        <v/>
      </c>
      <c r="J49" s="12" t="str">
        <f aca="false">IFERROR(INDEX($L$7:$L$19,MATCH($B49,$S$7:$S$19,0)),"")</f>
        <v/>
      </c>
      <c r="K49" s="12" t="str">
        <f aca="false">IFERROR(INDEX($M$7:$M$19,MATCH($B49,$S$7:$S$19,0)),"")</f>
        <v/>
      </c>
    </row>
    <row r="50" customFormat="false" ht="15" hidden="false" customHeight="false" outlineLevel="0" collapsed="false">
      <c r="B50" s="16" t="n">
        <v>10</v>
      </c>
      <c r="C50" s="115" t="str">
        <f aca="false">IFERROR(INDEX($C$7:$C$19,MATCH($B50,$S$7:$S$19,0)),"")</f>
        <v/>
      </c>
      <c r="D50" s="116" t="str">
        <f aca="false">IFERROR(INDEX($I$7:$I$19,MATCH($B50,$S$7:$S$19,0)),"")</f>
        <v/>
      </c>
      <c r="E50" s="71" t="str">
        <f aca="false">IFERROR(INDEX($D$7:$D$19,MATCH($B50,$S$7:$S$19,0)),"")</f>
        <v/>
      </c>
      <c r="F50" s="71" t="str">
        <f aca="false">IFERROR(INDEX($F$7:$F$19,MATCH($B50,$S$7:$S$19,0)),"")</f>
        <v/>
      </c>
      <c r="G50" s="71" t="str">
        <f aca="false">IFERROR(INDEX($G$7:$G$19,MATCH($B50,$S$7:$S$19,0)),"")</f>
        <v/>
      </c>
      <c r="H50" s="117" t="str">
        <f aca="false">IFERROR(INDEX($J$7:$J$19,MATCH($B50,$S$7:$S$19,0)),"")</f>
        <v/>
      </c>
      <c r="I50" s="12" t="str">
        <f aca="false">IFERROR(INDEX($K$7:$K$19,MATCH($B50,$S$7:$S$19,0)),"")</f>
        <v/>
      </c>
      <c r="J50" s="12" t="str">
        <f aca="false">IFERROR(INDEX($L$7:$L$19,MATCH($B50,$S$7:$S$19,0)),"")</f>
        <v/>
      </c>
      <c r="K50" s="12" t="str">
        <f aca="false">IFERROR(INDEX($M$7:$M$19,MATCH($B50,$S$7:$S$19,0)),"")</f>
        <v/>
      </c>
    </row>
    <row r="51" customFormat="false" ht="15" hidden="false" customHeight="false" outlineLevel="0" collapsed="false">
      <c r="B51" s="16" t="n">
        <v>11</v>
      </c>
      <c r="C51" s="115" t="str">
        <f aca="false">IFERROR(INDEX($C$7:$C$19,MATCH($B51,$S$7:$S$19,0)),"")</f>
        <v/>
      </c>
      <c r="D51" s="116" t="str">
        <f aca="false">IFERROR(INDEX($I$7:$I$19,MATCH($B51,$S$7:$S$19,0)),"")</f>
        <v/>
      </c>
      <c r="E51" s="71" t="str">
        <f aca="false">IFERROR(INDEX($D$7:$D$19,MATCH($B51,$S$7:$S$19,0)),"")</f>
        <v/>
      </c>
      <c r="F51" s="71" t="str">
        <f aca="false">IFERROR(INDEX($F$7:$F$19,MATCH($B51,$S$7:$S$19,0)),"")</f>
        <v/>
      </c>
      <c r="G51" s="71" t="str">
        <f aca="false">IFERROR(INDEX($G$7:$G$19,MATCH($B51,$S$7:$S$19,0)),"")</f>
        <v/>
      </c>
      <c r="H51" s="117" t="str">
        <f aca="false">IFERROR(INDEX($J$7:$J$19,MATCH($B51,$S$7:$S$19,0)),"")</f>
        <v/>
      </c>
      <c r="I51" s="12" t="str">
        <f aca="false">IFERROR(INDEX($K$7:$K$19,MATCH($B51,$S$7:$S$19,0)),"")</f>
        <v/>
      </c>
      <c r="J51" s="12" t="str">
        <f aca="false">IFERROR(INDEX($L$7:$L$19,MATCH($B51,$S$7:$S$19,0)),"")</f>
        <v/>
      </c>
      <c r="K51" s="12" t="str">
        <f aca="false">IFERROR(INDEX($M$7:$M$19,MATCH($B51,$S$7:$S$19,0)),"")</f>
        <v/>
      </c>
    </row>
    <row r="52" customFormat="false" ht="15" hidden="false" customHeight="false" outlineLevel="0" collapsed="false">
      <c r="B52" s="16" t="n">
        <v>12</v>
      </c>
      <c r="C52" s="115" t="str">
        <f aca="false">IFERROR(INDEX($C$7:$C$19,MATCH($B52,$S$7:$S$19,0)),"")</f>
        <v/>
      </c>
      <c r="D52" s="116" t="str">
        <f aca="false">IFERROR(INDEX($I$7:$I$19,MATCH($B52,$S$7:$S$19,0)),"")</f>
        <v/>
      </c>
      <c r="E52" s="71" t="str">
        <f aca="false">IFERROR(INDEX($D$7:$D$19,MATCH($B52,$S$7:$S$19,0)),"")</f>
        <v/>
      </c>
      <c r="F52" s="71" t="str">
        <f aca="false">IFERROR(INDEX($F$7:$F$19,MATCH($B52,$S$7:$S$19,0)),"")</f>
        <v/>
      </c>
      <c r="G52" s="71" t="str">
        <f aca="false">IFERROR(INDEX($G$7:$G$19,MATCH($B52,$S$7:$S$19,0)),"")</f>
        <v/>
      </c>
      <c r="H52" s="117" t="str">
        <f aca="false">IFERROR(INDEX($J$7:$J$19,MATCH($B52,$S$7:$S$19,0)),"")</f>
        <v/>
      </c>
      <c r="I52" s="12" t="str">
        <f aca="false">IFERROR(INDEX($K$7:$K$19,MATCH($B52,$S$7:$S$19,0)),"")</f>
        <v/>
      </c>
      <c r="J52" s="12" t="str">
        <f aca="false">IFERROR(INDEX($L$7:$L$19,MATCH($B52,$S$7:$S$19,0)),"")</f>
        <v/>
      </c>
      <c r="K52" s="12" t="str">
        <f aca="false">IFERROR(INDEX($M$7:$M$19,MATCH($B52,$S$7:$S$19,0)),"")</f>
        <v/>
      </c>
    </row>
    <row r="53" customFormat="false" ht="15" hidden="false" customHeight="false" outlineLevel="0" collapsed="false">
      <c r="B53" s="16" t="n">
        <v>13</v>
      </c>
      <c r="C53" s="115" t="str">
        <f aca="false">IFERROR(INDEX($C$7:$C$19,MATCH($B53,$S$7:$S$19,0)),"")</f>
        <v/>
      </c>
      <c r="D53" s="116" t="str">
        <f aca="false">IFERROR(INDEX($I$7:$I$19,MATCH($B53,$S$7:$S$19,0)),"")</f>
        <v/>
      </c>
      <c r="E53" s="71" t="str">
        <f aca="false">IFERROR(INDEX($D$7:$D$19,MATCH($B53,$S$7:$S$19,0)),"")</f>
        <v/>
      </c>
      <c r="F53" s="71" t="str">
        <f aca="false">IFERROR(INDEX($F$7:$F$19,MATCH($B53,$S$7:$S$19,0)),"")</f>
        <v/>
      </c>
      <c r="G53" s="71" t="str">
        <f aca="false">IFERROR(INDEX($G$7:$G$19,MATCH($B53,$S$7:$S$19,0)),"")</f>
        <v/>
      </c>
      <c r="H53" s="117" t="str">
        <f aca="false">IFERROR(INDEX($J$7:$J$19,MATCH($B53,$S$7:$S$19,0)),"")</f>
        <v/>
      </c>
      <c r="I53" s="12" t="str">
        <f aca="false">IFERROR(INDEX($K$7:$K$19,MATCH($B53,$S$7:$S$19,0)),"")</f>
        <v/>
      </c>
      <c r="J53" s="12" t="str">
        <f aca="false">IFERROR(INDEX($L$7:$L$19,MATCH($B53,$S$7:$S$19,0)),"")</f>
        <v/>
      </c>
      <c r="K53" s="12" t="str">
        <f aca="false">IFERROR(INDEX($M$7:$M$19,MATCH($B53,$S$7:$S$19,0)),"")</f>
        <v/>
      </c>
    </row>
    <row r="55" customFormat="false" ht="15" hidden="false" customHeight="false" outlineLevel="0" collapsed="false">
      <c r="B55" s="7" t="s">
        <v>1384</v>
      </c>
      <c r="C55" s="7"/>
      <c r="D55" s="7"/>
      <c r="E55" s="7"/>
      <c r="F55" s="7"/>
      <c r="G55" s="7"/>
      <c r="H55" s="7"/>
      <c r="I55" s="7"/>
      <c r="J55" s="7"/>
      <c r="K55" s="7"/>
    </row>
    <row r="56" customFormat="false" ht="15" hidden="false" customHeight="false" outlineLevel="0" collapsed="false">
      <c r="B56" s="114" t="str">
        <f aca="false">IF(COUNTIF($U$7:$U$19,1)=0,"No model is pending verification (or they are included in the provisional ranking via the switch in J4).","")</f>
        <v/>
      </c>
    </row>
    <row r="57" customFormat="false" ht="22.35" hidden="false" customHeight="false" outlineLevel="0" collapsed="false">
      <c r="B57" s="8" t="s">
        <v>11</v>
      </c>
      <c r="C57" s="8" t="s">
        <v>12</v>
      </c>
      <c r="D57" s="8" t="s">
        <v>13</v>
      </c>
      <c r="E57" s="8" t="s">
        <v>23</v>
      </c>
      <c r="F57" s="8" t="s">
        <v>15</v>
      </c>
      <c r="G57" s="8" t="s">
        <v>16</v>
      </c>
      <c r="H57" s="8" t="s">
        <v>1382</v>
      </c>
      <c r="I57" s="8" t="s">
        <v>19</v>
      </c>
      <c r="J57" s="8" t="s">
        <v>20</v>
      </c>
      <c r="K57" s="8" t="s">
        <v>18</v>
      </c>
    </row>
    <row r="58" customFormat="false" ht="15" hidden="false" customHeight="false" outlineLevel="0" collapsed="false">
      <c r="B58" s="16" t="n">
        <v>1</v>
      </c>
      <c r="C58" s="115" t="str">
        <f aca="false">IFERROR(INDEX($C$7:$C$19,MATCH($B58,$V$7:$V$19,0)),"")</f>
        <v>HW20</v>
      </c>
      <c r="D58" s="116" t="n">
        <f aca="false">IFERROR(INDEX($I$7:$I$19,MATCH($B58,$V$7:$V$19,0)),"")</f>
        <v>55.8880392437771</v>
      </c>
      <c r="E58" s="71" t="n">
        <f aca="false">IFERROR(INDEX($D$7:$D$19,MATCH($B58,$V$7:$V$19,0)),"")</f>
        <v>76.8320885723364</v>
      </c>
      <c r="F58" s="71" t="n">
        <f aca="false">IFERROR(INDEX($F$7:$F$19,MATCH($B58,$V$7:$V$19,0)),"")</f>
        <v>32.5</v>
      </c>
      <c r="G58" s="71" t="n">
        <f aca="false">IFERROR(INDEX($G$7:$G$19,MATCH($B58,$V$7:$V$19,0)),"")</f>
        <v>34.5620549563956</v>
      </c>
      <c r="H58" s="117" t="n">
        <f aca="false">IFERROR(INDEX($J$7:$J$19,MATCH($B58,$V$7:$V$19,0)),"")</f>
        <v>189.7286</v>
      </c>
      <c r="I58" s="12" t="str">
        <f aca="false">IFERROR(INDEX($K$7:$K$19,MATCH($B58,$V$7:$V$19,0)),"")</f>
        <v>Pending verification</v>
      </c>
      <c r="J58" s="12" t="str">
        <f aca="false">IFERROR(INDEX($L$7:$L$19,MATCH($B58,$V$7:$V$19,0)),"")</f>
        <v>Low</v>
      </c>
      <c r="K58" s="12" t="str">
        <f aca="false">IFERROR(INDEX($M$7:$M$19,MATCH($B58,$V$7:$V$19,0)),"")</f>
        <v>Not verified</v>
      </c>
    </row>
    <row r="59" customFormat="false" ht="15" hidden="false" customHeight="false" outlineLevel="0" collapsed="false">
      <c r="B59" s="16" t="n">
        <v>2</v>
      </c>
      <c r="C59" s="115" t="str">
        <f aca="false">IFERROR(INDEX($C$7:$C$19,MATCH($B59,$V$7:$V$19,0)),"")</f>
        <v>MF90</v>
      </c>
      <c r="D59" s="116" t="n">
        <f aca="false">IFERROR(INDEX($I$7:$I$19,MATCH($B59,$V$7:$V$19,0)),"")</f>
        <v>50.8965129568391</v>
      </c>
      <c r="E59" s="71" t="n">
        <f aca="false">IFERROR(INDEX($D$7:$D$19,MATCH($B59,$V$7:$V$19,0)),"")</f>
        <v>70.3709894004925</v>
      </c>
      <c r="F59" s="71" t="n">
        <f aca="false">IFERROR(INDEX($F$7:$F$19,MATCH($B59,$V$7:$V$19,0)),"")</f>
        <v>22.5</v>
      </c>
      <c r="G59" s="71" t="n">
        <f aca="false">IFERROR(INDEX($G$7:$G$19,MATCH($B59,$V$7:$V$19,0)),"")</f>
        <v>56.5</v>
      </c>
      <c r="H59" s="117" t="n">
        <f aca="false">IFERROR(INDEX($J$7:$J$19,MATCH($B59,$V$7:$V$19,0)),"")</f>
        <v>66.69935</v>
      </c>
      <c r="I59" s="12" t="str">
        <f aca="false">IFERROR(INDEX($K$7:$K$19,MATCH($B59,$V$7:$V$19,0)),"")</f>
        <v>Pending verification</v>
      </c>
      <c r="J59" s="12" t="str">
        <f aca="false">IFERROR(INDEX($L$7:$L$19,MATCH($B59,$V$7:$V$19,0)),"")</f>
        <v>Medium</v>
      </c>
      <c r="K59" s="12" t="str">
        <f aca="false">IFERROR(INDEX($M$7:$M$19,MATCH($B59,$V$7:$V$19,0)),"")</f>
        <v>Not verified</v>
      </c>
    </row>
    <row r="60" customFormat="false" ht="15" hidden="false" customHeight="false" outlineLevel="0" collapsed="false">
      <c r="B60" s="16" t="n">
        <v>3</v>
      </c>
      <c r="C60" s="115" t="str">
        <f aca="false">IFERROR(INDEX($C$7:$C$19,MATCH($B60,$V$7:$V$19,0)),"")</f>
        <v>CT31</v>
      </c>
      <c r="D60" s="116" t="n">
        <f aca="false">IFERROR(INDEX($I$7:$I$19,MATCH($B60,$V$7:$V$19,0)),"")</f>
        <v>50.0757913840304</v>
      </c>
      <c r="E60" s="71" t="n">
        <f aca="false">IFERROR(INDEX($D$7:$D$19,MATCH($B60,$V$7:$V$19,0)),"")</f>
        <v>58.3446503094967</v>
      </c>
      <c r="F60" s="71" t="n">
        <f aca="false">IFERROR(INDEX($F$7:$F$19,MATCH($B60,$V$7:$V$19,0)),"")</f>
        <v>32.5</v>
      </c>
      <c r="G60" s="71" t="n">
        <f aca="false">IFERROR(INDEX($G$7:$G$19,MATCH($B60,$V$7:$V$19,0)),"")</f>
        <v>55.201091838044</v>
      </c>
      <c r="H60" s="117" t="n">
        <f aca="false">IFERROR(INDEX($J$7:$J$19,MATCH($B60,$V$7:$V$19,0)),"")</f>
        <v>137.1632</v>
      </c>
      <c r="I60" s="12" t="str">
        <f aca="false">IFERROR(INDEX($K$7:$K$19,MATCH($B60,$V$7:$V$19,0)),"")</f>
        <v>Pending verification</v>
      </c>
      <c r="J60" s="12" t="str">
        <f aca="false">IFERROR(INDEX($L$7:$L$19,MATCH($B60,$V$7:$V$19,0)),"")</f>
        <v>Low</v>
      </c>
      <c r="K60" s="12" t="str">
        <f aca="false">IFERROR(INDEX($M$7:$M$19,MATCH($B60,$V$7:$V$19,0)),"")</f>
        <v>Not verified</v>
      </c>
    </row>
    <row r="61" customFormat="false" ht="15" hidden="false" customHeight="false" outlineLevel="0" collapsed="false">
      <c r="B61" s="16" t="n">
        <v>4</v>
      </c>
      <c r="C61" s="115" t="str">
        <f aca="false">IFERROR(INDEX($C$7:$C$19,MATCH($B61,$V$7:$V$19,0)),"")</f>
        <v>CT20S</v>
      </c>
      <c r="D61" s="116" t="n">
        <f aca="false">IFERROR(INDEX($I$7:$I$19,MATCH($B61,$V$7:$V$19,0)),"")</f>
        <v>49.6444062366618</v>
      </c>
      <c r="E61" s="71" t="n">
        <f aca="false">IFERROR(INDEX($D$7:$D$19,MATCH($B61,$V$7:$V$19,0)),"")</f>
        <v>61.7891137842321</v>
      </c>
      <c r="F61" s="71" t="n">
        <f aca="false">IFERROR(INDEX($F$7:$F$19,MATCH($B61,$V$7:$V$19,0)),"")</f>
        <v>32.5</v>
      </c>
      <c r="G61" s="71" t="n">
        <f aca="false">IFERROR(INDEX($G$7:$G$19,MATCH($B61,$V$7:$V$19,0)),"")</f>
        <v>35.5381094145368</v>
      </c>
      <c r="H61" s="117" t="n">
        <f aca="false">IFERROR(INDEX($J$7:$J$19,MATCH($B61,$V$7:$V$19,0)),"")</f>
        <v>140.1386</v>
      </c>
      <c r="I61" s="12" t="str">
        <f aca="false">IFERROR(INDEX($K$7:$K$19,MATCH($B61,$V$7:$V$19,0)),"")</f>
        <v>Pending verification</v>
      </c>
      <c r="J61" s="12" t="str">
        <f aca="false">IFERROR(INDEX($L$7:$L$19,MATCH($B61,$V$7:$V$19,0)),"")</f>
        <v>Low</v>
      </c>
      <c r="K61" s="12" t="str">
        <f aca="false">IFERROR(INDEX($M$7:$M$19,MATCH($B61,$V$7:$V$19,0)),"")</f>
        <v>Not verified</v>
      </c>
    </row>
    <row r="62" customFormat="false" ht="15" hidden="false" customHeight="false" outlineLevel="0" collapsed="false">
      <c r="B62" s="16" t="n">
        <v>5</v>
      </c>
      <c r="C62" s="115" t="str">
        <f aca="false">IFERROR(INDEX($C$7:$C$19,MATCH($B62,$V$7:$V$19,0)),"")</f>
        <v>MF91</v>
      </c>
      <c r="D62" s="116" t="n">
        <f aca="false">IFERROR(INDEX($I$7:$I$19,MATCH($B62,$V$7:$V$19,0)),"")</f>
        <v>49.3195453865045</v>
      </c>
      <c r="E62" s="71" t="n">
        <f aca="false">IFERROR(INDEX($D$7:$D$19,MATCH($B62,$V$7:$V$19,0)),"")</f>
        <v>69.8653677709651</v>
      </c>
      <c r="F62" s="71" t="n">
        <f aca="false">IFERROR(INDEX($F$7:$F$19,MATCH($B62,$V$7:$V$19,0)),"")</f>
        <v>22.5</v>
      </c>
      <c r="G62" s="71" t="n">
        <f aca="false">IFERROR(INDEX($G$7:$G$19,MATCH($B62,$V$7:$V$19,0)),"")</f>
        <v>60.5</v>
      </c>
      <c r="H62" s="117" t="n">
        <f aca="false">IFERROR(INDEX($J$7:$J$19,MATCH($B62,$V$7:$V$19,0)),"")</f>
        <v>66.69935</v>
      </c>
      <c r="I62" s="12" t="str">
        <f aca="false">IFERROR(INDEX($K$7:$K$19,MATCH($B62,$V$7:$V$19,0)),"")</f>
        <v>Pending verification</v>
      </c>
      <c r="J62" s="12" t="str">
        <f aca="false">IFERROR(INDEX($L$7:$L$19,MATCH($B62,$V$7:$V$19,0)),"")</f>
        <v>Low</v>
      </c>
      <c r="K62" s="12" t="str">
        <f aca="false">IFERROR(INDEX($M$7:$M$19,MATCH($B62,$V$7:$V$19,0)),"")</f>
        <v>Not verified</v>
      </c>
    </row>
    <row r="63" customFormat="false" ht="15" hidden="false" customHeight="false" outlineLevel="0" collapsed="false">
      <c r="B63" s="16" t="n">
        <v>6</v>
      </c>
      <c r="C63" s="115" t="str">
        <f aca="false">IFERROR(INDEX($C$7:$C$19,MATCH($B63,$V$7:$V$19,0)),"")</f>
        <v>CT30 (band)</v>
      </c>
      <c r="D63" s="116" t="n">
        <f aca="false">IFERROR(INDEX($I$7:$I$19,MATCH($B63,$V$7:$V$19,0)),"")</f>
        <v>46.2308714958103</v>
      </c>
      <c r="E63" s="71" t="n">
        <f aca="false">IFERROR(INDEX($D$7:$D$19,MATCH($B63,$V$7:$V$19,0)),"")</f>
        <v>58.2877363431534</v>
      </c>
      <c r="F63" s="71" t="n">
        <f aca="false">IFERROR(INDEX($F$7:$F$19,MATCH($B63,$V$7:$V$19,0)),"")</f>
        <v>32.5</v>
      </c>
      <c r="G63" s="71" t="n">
        <f aca="false">IFERROR(INDEX($G$7:$G$19,MATCH($B63,$V$7:$V$19,0)),"")</f>
        <v>35.951091838044</v>
      </c>
      <c r="H63" s="117" t="n">
        <f aca="false">IFERROR(INDEX($J$7:$J$19,MATCH($B63,$V$7:$V$19,0)),"")</f>
        <v>137.1632</v>
      </c>
      <c r="I63" s="12" t="str">
        <f aca="false">IFERROR(INDEX($K$7:$K$19,MATCH($B63,$V$7:$V$19,0)),"")</f>
        <v>Pending verification</v>
      </c>
      <c r="J63" s="12" t="str">
        <f aca="false">IFERROR(INDEX($L$7:$L$19,MATCH($B63,$V$7:$V$19,0)),"")</f>
        <v>Low</v>
      </c>
      <c r="K63" s="12" t="str">
        <f aca="false">IFERROR(INDEX($M$7:$M$19,MATCH($B63,$V$7:$V$19,0)),"")</f>
        <v>Not verified</v>
      </c>
    </row>
    <row r="64" customFormat="false" ht="15" hidden="false" customHeight="false" outlineLevel="0" collapsed="false">
      <c r="B64" s="16" t="n">
        <v>7</v>
      </c>
      <c r="C64" s="115" t="str">
        <f aca="false">IFERROR(INDEX($C$7:$C$19,MATCH($B64,$V$7:$V$19,0)),"")</f>
        <v>HW20Pro</v>
      </c>
      <c r="D64" s="116" t="n">
        <f aca="false">IFERROR(INDEX($I$7:$I$19,MATCH($B64,$V$7:$V$19,0)),"")</f>
        <v>45.5153306850866</v>
      </c>
      <c r="E64" s="71" t="n">
        <f aca="false">IFERROR(INDEX($D$7:$D$19,MATCH($B64,$V$7:$V$19,0)),"")</f>
        <v>62.302921261792</v>
      </c>
      <c r="F64" s="71" t="n">
        <f aca="false">IFERROR(INDEX($F$7:$F$19,MATCH($B64,$V$7:$V$19,0)),"")</f>
        <v>32.5</v>
      </c>
      <c r="G64" s="71" t="n">
        <f aca="false">IFERROR(INDEX($G$7:$G$19,MATCH($B64,$V$7:$V$19,0)),"")</f>
        <v>30.5620549563956</v>
      </c>
      <c r="H64" s="117" t="n">
        <f aca="false">IFERROR(INDEX($J$7:$J$19,MATCH($B64,$V$7:$V$19,0)),"")</f>
        <v>189.7286</v>
      </c>
      <c r="I64" s="12" t="str">
        <f aca="false">IFERROR(INDEX($K$7:$K$19,MATCH($B64,$V$7:$V$19,0)),"")</f>
        <v>Pending verification</v>
      </c>
      <c r="J64" s="12" t="str">
        <f aca="false">IFERROR(INDEX($L$7:$L$19,MATCH($B64,$V$7:$V$19,0)),"")</f>
        <v>Low</v>
      </c>
      <c r="K64" s="12" t="str">
        <f aca="false">IFERROR(INDEX($M$7:$M$19,MATCH($B64,$V$7:$V$19,0)),"")</f>
        <v>Not verified</v>
      </c>
    </row>
    <row r="65" customFormat="false" ht="15" hidden="false" customHeight="false" outlineLevel="0" collapsed="false">
      <c r="B65" s="16" t="n">
        <v>8</v>
      </c>
      <c r="C65" s="115" t="str">
        <f aca="false">IFERROR(INDEX($C$7:$C$19,MATCH($B65,$V$7:$V$19,0)),"")</f>
        <v>MF40</v>
      </c>
      <c r="D65" s="116" t="n">
        <f aca="false">IFERROR(INDEX($I$7:$I$19,MATCH($B65,$V$7:$V$19,0)),"")</f>
        <v>44.3063455559131</v>
      </c>
      <c r="E65" s="71" t="n">
        <f aca="false">IFERROR(INDEX($D$7:$D$19,MATCH($B65,$V$7:$V$19,0)),"")</f>
        <v>55.2533665959546</v>
      </c>
      <c r="F65" s="71" t="n">
        <f aca="false">IFERROR(INDEX($F$7:$F$19,MATCH($B65,$V$7:$V$19,0)),"")</f>
        <v>22.5</v>
      </c>
      <c r="G65" s="71" t="n">
        <f aca="false">IFERROR(INDEX($G$7:$G$19,MATCH($B65,$V$7:$V$19,0)),"")</f>
        <v>47.2844483155266</v>
      </c>
      <c r="H65" s="117" t="n">
        <f aca="false">IFERROR(INDEX($J$7:$J$19,MATCH($B65,$V$7:$V$19,0)),"")</f>
        <v>114.5818</v>
      </c>
      <c r="I65" s="12" t="str">
        <f aca="false">IFERROR(INDEX($K$7:$K$19,MATCH($B65,$V$7:$V$19,0)),"")</f>
        <v>Pending verification</v>
      </c>
      <c r="J65" s="12" t="str">
        <f aca="false">IFERROR(INDEX($L$7:$L$19,MATCH($B65,$V$7:$V$19,0)),"")</f>
        <v>Low</v>
      </c>
      <c r="K65" s="12" t="str">
        <f aca="false">IFERROR(INDEX($M$7:$M$19,MATCH($B65,$V$7:$V$19,0)),"")</f>
        <v>Not verified</v>
      </c>
    </row>
    <row r="66" customFormat="false" ht="15" hidden="false" customHeight="false" outlineLevel="0" collapsed="false">
      <c r="B66" s="16" t="n">
        <v>9</v>
      </c>
      <c r="C66" s="115" t="str">
        <f aca="false">IFERROR(INDEX($C$7:$C$19,MATCH($B66,$V$7:$V$19,0)),"")</f>
        <v>MF91Pro</v>
      </c>
      <c r="D66" s="116" t="n">
        <f aca="false">IFERROR(INDEX($I$7:$I$19,MATCH($B66,$V$7:$V$19,0)),"")</f>
        <v>37.366723856637</v>
      </c>
      <c r="E66" s="71" t="n">
        <f aca="false">IFERROR(INDEX($D$7:$D$19,MATCH($B66,$V$7:$V$19,0)),"")</f>
        <v>41.8334967332486</v>
      </c>
      <c r="F66" s="71" t="n">
        <f aca="false">IFERROR(INDEX($F$7:$F$19,MATCH($B66,$V$7:$V$19,0)),"")</f>
        <v>22.5</v>
      </c>
      <c r="G66" s="71" t="n">
        <f aca="false">IFERROR(INDEX($G$7:$G$19,MATCH($B66,$V$7:$V$19,0)),"")</f>
        <v>56.5</v>
      </c>
      <c r="H66" s="117" t="n">
        <f aca="false">IFERROR(INDEX($J$7:$J$19,MATCH($B66,$V$7:$V$19,0)),"")</f>
        <v>66.69935</v>
      </c>
      <c r="I66" s="12" t="str">
        <f aca="false">IFERROR(INDEX($K$7:$K$19,MATCH($B66,$V$7:$V$19,0)),"")</f>
        <v>Pending verification</v>
      </c>
      <c r="J66" s="12" t="str">
        <f aca="false">IFERROR(INDEX($L$7:$L$19,MATCH($B66,$V$7:$V$19,0)),"")</f>
        <v>Low</v>
      </c>
      <c r="K66" s="12" t="str">
        <f aca="false">IFERROR(INDEX($M$7:$M$19,MATCH($B66,$V$7:$V$19,0)),"")</f>
        <v>Not verified</v>
      </c>
    </row>
    <row r="67" customFormat="false" ht="15" hidden="false" customHeight="false" outlineLevel="0" collapsed="false">
      <c r="B67" s="16" t="n">
        <v>10</v>
      </c>
      <c r="C67" s="115" t="str">
        <f aca="false">IFERROR(INDEX($C$7:$C$19,MATCH($B67,$V$7:$V$19,0)),"")</f>
        <v>CT29</v>
      </c>
      <c r="D67" s="116" t="n">
        <f aca="false">IFERROR(INDEX($I$7:$I$19,MATCH($B67,$V$7:$V$19,0)),"")</f>
        <v>33.3518129426167</v>
      </c>
      <c r="E67" s="71" t="n">
        <f aca="false">IFERROR(INDEX($D$7:$D$19,MATCH($B67,$V$7:$V$19,0)),"")</f>
        <v>38.8102758012462</v>
      </c>
      <c r="F67" s="71" t="n">
        <f aca="false">IFERROR(INDEX($F$7:$F$19,MATCH($B67,$V$7:$V$19,0)),"")</f>
        <v>27.5</v>
      </c>
      <c r="G67" s="71" t="n">
        <f aca="false">IFERROR(INDEX($G$7:$G$19,MATCH($B67,$V$7:$V$19,0)),"")</f>
        <v>35.5381094145368</v>
      </c>
      <c r="H67" s="117" t="n">
        <f aca="false">IFERROR(INDEX($J$7:$J$19,MATCH($B67,$V$7:$V$19,0)),"")</f>
        <v>140.1386</v>
      </c>
      <c r="I67" s="12" t="str">
        <f aca="false">IFERROR(INDEX($K$7:$K$19,MATCH($B67,$V$7:$V$19,0)),"")</f>
        <v>Pending verification</v>
      </c>
      <c r="J67" s="12" t="str">
        <f aca="false">IFERROR(INDEX($L$7:$L$19,MATCH($B67,$V$7:$V$19,0)),"")</f>
        <v>Low</v>
      </c>
      <c r="K67" s="12" t="str">
        <f aca="false">IFERROR(INDEX($M$7:$M$19,MATCH($B67,$V$7:$V$19,0)),"")</f>
        <v>Not verified</v>
      </c>
    </row>
    <row r="68" customFormat="false" ht="15" hidden="false" customHeight="false" outlineLevel="0" collapsed="false">
      <c r="B68" s="16" t="n">
        <v>11</v>
      </c>
      <c r="C68" s="115" t="str">
        <f aca="false">IFERROR(INDEX($C$7:$C$19,MATCH($B68,$V$7:$V$19,0)),"")</f>
        <v/>
      </c>
      <c r="D68" s="116" t="str">
        <f aca="false">IFERROR(INDEX($I$7:$I$19,MATCH($B68,$V$7:$V$19,0)),"")</f>
        <v/>
      </c>
      <c r="E68" s="71" t="str">
        <f aca="false">IFERROR(INDEX($D$7:$D$19,MATCH($B68,$V$7:$V$19,0)),"")</f>
        <v/>
      </c>
      <c r="F68" s="71" t="str">
        <f aca="false">IFERROR(INDEX($F$7:$F$19,MATCH($B68,$V$7:$V$19,0)),"")</f>
        <v/>
      </c>
      <c r="G68" s="71" t="str">
        <f aca="false">IFERROR(INDEX($G$7:$G$19,MATCH($B68,$V$7:$V$19,0)),"")</f>
        <v/>
      </c>
      <c r="H68" s="117" t="str">
        <f aca="false">IFERROR(INDEX($J$7:$J$19,MATCH($B68,$V$7:$V$19,0)),"")</f>
        <v/>
      </c>
      <c r="I68" s="12" t="str">
        <f aca="false">IFERROR(INDEX($K$7:$K$19,MATCH($B68,$V$7:$V$19,0)),"")</f>
        <v/>
      </c>
      <c r="J68" s="12" t="str">
        <f aca="false">IFERROR(INDEX($L$7:$L$19,MATCH($B68,$V$7:$V$19,0)),"")</f>
        <v/>
      </c>
      <c r="K68" s="12" t="str">
        <f aca="false">IFERROR(INDEX($M$7:$M$19,MATCH($B68,$V$7:$V$19,0)),"")</f>
        <v/>
      </c>
    </row>
    <row r="69" customFormat="false" ht="15" hidden="false" customHeight="false" outlineLevel="0" collapsed="false">
      <c r="B69" s="16" t="n">
        <v>12</v>
      </c>
      <c r="C69" s="115" t="str">
        <f aca="false">IFERROR(INDEX($C$7:$C$19,MATCH($B69,$V$7:$V$19,0)),"")</f>
        <v/>
      </c>
      <c r="D69" s="116" t="str">
        <f aca="false">IFERROR(INDEX($I$7:$I$19,MATCH($B69,$V$7:$V$19,0)),"")</f>
        <v/>
      </c>
      <c r="E69" s="71" t="str">
        <f aca="false">IFERROR(INDEX($D$7:$D$19,MATCH($B69,$V$7:$V$19,0)),"")</f>
        <v/>
      </c>
      <c r="F69" s="71" t="str">
        <f aca="false">IFERROR(INDEX($F$7:$F$19,MATCH($B69,$V$7:$V$19,0)),"")</f>
        <v/>
      </c>
      <c r="G69" s="71" t="str">
        <f aca="false">IFERROR(INDEX($G$7:$G$19,MATCH($B69,$V$7:$V$19,0)),"")</f>
        <v/>
      </c>
      <c r="H69" s="117" t="str">
        <f aca="false">IFERROR(INDEX($J$7:$J$19,MATCH($B69,$V$7:$V$19,0)),"")</f>
        <v/>
      </c>
      <c r="I69" s="12" t="str">
        <f aca="false">IFERROR(INDEX($K$7:$K$19,MATCH($B69,$V$7:$V$19,0)),"")</f>
        <v/>
      </c>
      <c r="J69" s="12" t="str">
        <f aca="false">IFERROR(INDEX($L$7:$L$19,MATCH($B69,$V$7:$V$19,0)),"")</f>
        <v/>
      </c>
      <c r="K69" s="12" t="str">
        <f aca="false">IFERROR(INDEX($M$7:$M$19,MATCH($B69,$V$7:$V$19,0)),"")</f>
        <v/>
      </c>
    </row>
    <row r="70" customFormat="false" ht="15" hidden="false" customHeight="false" outlineLevel="0" collapsed="false">
      <c r="B70" s="16" t="n">
        <v>13</v>
      </c>
      <c r="C70" s="115" t="str">
        <f aca="false">IFERROR(INDEX($C$7:$C$19,MATCH($B70,$V$7:$V$19,0)),"")</f>
        <v/>
      </c>
      <c r="D70" s="116" t="str">
        <f aca="false">IFERROR(INDEX($I$7:$I$19,MATCH($B70,$V$7:$V$19,0)),"")</f>
        <v/>
      </c>
      <c r="E70" s="71" t="str">
        <f aca="false">IFERROR(INDEX($D$7:$D$19,MATCH($B70,$V$7:$V$19,0)),"")</f>
        <v/>
      </c>
      <c r="F70" s="71" t="str">
        <f aca="false">IFERROR(INDEX($F$7:$F$19,MATCH($B70,$V$7:$V$19,0)),"")</f>
        <v/>
      </c>
      <c r="G70" s="71" t="str">
        <f aca="false">IFERROR(INDEX($G$7:$G$19,MATCH($B70,$V$7:$V$19,0)),"")</f>
        <v/>
      </c>
      <c r="H70" s="117" t="str">
        <f aca="false">IFERROR(INDEX($J$7:$J$19,MATCH($B70,$V$7:$V$19,0)),"")</f>
        <v/>
      </c>
      <c r="I70" s="12" t="str">
        <f aca="false">IFERROR(INDEX($K$7:$K$19,MATCH($B70,$V$7:$V$19,0)),"")</f>
        <v/>
      </c>
      <c r="J70" s="12" t="str">
        <f aca="false">IFERROR(INDEX($L$7:$L$19,MATCH($B70,$V$7:$V$19,0)),"")</f>
        <v/>
      </c>
      <c r="K70" s="12" t="str">
        <f aca="false">IFERROR(INDEX($M$7:$M$19,MATCH($B70,$V$7:$V$19,0)),"")</f>
        <v/>
      </c>
    </row>
    <row r="73" customFormat="false" ht="25.5" hidden="false" customHeight="true" outlineLevel="0" collapsed="false">
      <c r="B73" s="27" t="s">
        <v>1385</v>
      </c>
      <c r="C73" s="27"/>
      <c r="D73" s="27"/>
      <c r="E73" s="27"/>
      <c r="F73" s="27"/>
      <c r="G73" s="27"/>
      <c r="H73" s="27"/>
      <c r="I73" s="27"/>
      <c r="J73" s="27"/>
      <c r="K73" s="27"/>
      <c r="L73" s="27"/>
      <c r="M73" s="27"/>
      <c r="N73" s="27"/>
      <c r="O73" s="27"/>
      <c r="P73" s="27"/>
      <c r="Q73" s="27"/>
      <c r="R73" s="27"/>
      <c r="S73" s="27"/>
      <c r="T73" s="27"/>
    </row>
    <row r="77" customFormat="false" ht="15" hidden="false" customHeight="false" outlineLevel="0" collapsed="false">
      <c r="B77" s="7" t="s">
        <v>1386</v>
      </c>
      <c r="C77" s="7"/>
      <c r="D77" s="7"/>
      <c r="E77" s="7"/>
      <c r="F77" s="7"/>
      <c r="G77" s="7"/>
      <c r="H77" s="7"/>
      <c r="I77" s="7"/>
      <c r="J77" s="7"/>
      <c r="K77" s="7"/>
    </row>
    <row r="78" customFormat="false" ht="15" hidden="false" customHeight="false" outlineLevel="0" collapsed="false">
      <c r="B78" s="8" t="s">
        <v>11</v>
      </c>
      <c r="C78" s="8" t="s">
        <v>1387</v>
      </c>
      <c r="D78" s="8" t="s">
        <v>13</v>
      </c>
      <c r="E78" s="8" t="s">
        <v>12</v>
      </c>
      <c r="F78" s="8" t="s">
        <v>19</v>
      </c>
    </row>
    <row r="79" customFormat="false" ht="15" hidden="false" customHeight="false" outlineLevel="0" collapsed="false">
      <c r="B79" s="16" t="n">
        <v>1</v>
      </c>
      <c r="C79" s="118" t="str">
        <f aca="false">IFERROR(INDEX($C$7:$C$19,MATCH($B79,$Q$7:$Q$19,0))&amp;" · "&amp;IF(INDEX($K$7:$K$19,MATCH($B79,$Q$7:$Q$19,0))="Conditionally eligible","conditional",IF(INDEX($K$7:$K$19,MATCH($B79,$Q$7:$Q$19,0))="Pending verification","pending",LOWER(INDEX($K$7:$K$19,MATCH($B79,$Q$7:$Q$19,0))))),"")</f>
        <v>HW20 · pending</v>
      </c>
      <c r="D79" s="71" t="n">
        <f aca="false">IFERROR(INDEX($I$7:$I$19,MATCH($B79,$Q$7:$Q$19,0)),"")</f>
        <v>55.8880392437771</v>
      </c>
      <c r="E79" s="118" t="str">
        <f aca="false">IFERROR(INDEX($C$7:$C$19,MATCH($B79,$Q$7:$Q$19,0)),"")</f>
        <v>HW20</v>
      </c>
      <c r="F79" s="12" t="str">
        <f aca="false">IFERROR(INDEX($K$7:$K$19,MATCH($B79,$Q$7:$Q$19,0)),"")</f>
        <v>Pending verification</v>
      </c>
    </row>
    <row r="80" customFormat="false" ht="15" hidden="false" customHeight="false" outlineLevel="0" collapsed="false">
      <c r="B80" s="16" t="n">
        <v>2</v>
      </c>
      <c r="C80" s="118" t="str">
        <f aca="false">IFERROR(INDEX($C$7:$C$19,MATCH($B80,$Q$7:$Q$19,0))&amp;" · "&amp;IF(INDEX($K$7:$K$19,MATCH($B80,$Q$7:$Q$19,0))="Conditionally eligible","conditional",IF(INDEX($K$7:$K$19,MATCH($B80,$Q$7:$Q$19,0))="Pending verification","pending",LOWER(INDEX($K$7:$K$19,MATCH($B80,$Q$7:$Q$19,0))))),"")</f>
        <v>HW19 · conditional</v>
      </c>
      <c r="D80" s="71" t="n">
        <f aca="false">IFERROR(INDEX($I$7:$I$19,MATCH($B80,$Q$7:$Q$19,0)),"")</f>
        <v>55.7674538131497</v>
      </c>
      <c r="E80" s="118" t="str">
        <f aca="false">IFERROR(INDEX($C$7:$C$19,MATCH($B80,$Q$7:$Q$19,0)),"")</f>
        <v>HW19</v>
      </c>
      <c r="F80" s="12" t="str">
        <f aca="false">IFERROR(INDEX($K$7:$K$19,MATCH($B80,$Q$7:$Q$19,0)),"")</f>
        <v>Conditionally eligible</v>
      </c>
    </row>
    <row r="81" customFormat="false" ht="15" hidden="false" customHeight="false" outlineLevel="0" collapsed="false">
      <c r="B81" s="16" t="n">
        <v>3</v>
      </c>
      <c r="C81" s="118" t="str">
        <f aca="false">IFERROR(INDEX($C$7:$C$19,MATCH($B81,$Q$7:$Q$19,0))&amp;" · "&amp;IF(INDEX($K$7:$K$19,MATCH($B81,$Q$7:$Q$19,0))="Conditionally eligible","conditional",IF(INDEX($K$7:$K$19,MATCH($B81,$Q$7:$Q$19,0))="Pending verification","pending",LOWER(INDEX($K$7:$K$19,MATCH($B81,$Q$7:$Q$19,0))))),"")</f>
        <v>CT34 · conditional</v>
      </c>
      <c r="D81" s="71" t="n">
        <f aca="false">IFERROR(INDEX($I$7:$I$19,MATCH($B81,$Q$7:$Q$19,0)),"")</f>
        <v>55.0341491326068</v>
      </c>
      <c r="E81" s="118" t="str">
        <f aca="false">IFERROR(INDEX($C$7:$C$19,MATCH($B81,$Q$7:$Q$19,0)),"")</f>
        <v>CT34</v>
      </c>
      <c r="F81" s="12" t="str">
        <f aca="false">IFERROR(INDEX($K$7:$K$19,MATCH($B81,$Q$7:$Q$19,0)),"")</f>
        <v>Conditionally eligible</v>
      </c>
    </row>
    <row r="82" customFormat="false" ht="15" hidden="false" customHeight="false" outlineLevel="0" collapsed="false">
      <c r="B82" s="16" t="n">
        <v>4</v>
      </c>
      <c r="C82" s="118" t="str">
        <f aca="false">IFERROR(INDEX($C$7:$C$19,MATCH($B82,$Q$7:$Q$19,0))&amp;" · "&amp;IF(INDEX($K$7:$K$19,MATCH($B82,$Q$7:$Q$19,0))="Conditionally eligible","conditional",IF(INDEX($K$7:$K$19,MATCH($B82,$Q$7:$Q$19,0))="Pending verification","pending",LOWER(INDEX($K$7:$K$19,MATCH($B82,$Q$7:$Q$19,0))))),"")</f>
        <v>VB10 · conditional</v>
      </c>
      <c r="D82" s="71" t="n">
        <f aca="false">IFERROR(INDEX($I$7:$I$19,MATCH($B82,$Q$7:$Q$19,0)),"")</f>
        <v>53.207128006923</v>
      </c>
      <c r="E82" s="118" t="str">
        <f aca="false">IFERROR(INDEX($C$7:$C$19,MATCH($B82,$Q$7:$Q$19,0)),"")</f>
        <v>VB10</v>
      </c>
      <c r="F82" s="12" t="str">
        <f aca="false">IFERROR(INDEX($K$7:$K$19,MATCH($B82,$Q$7:$Q$19,0)),"")</f>
        <v>Conditionally eligible</v>
      </c>
    </row>
    <row r="83" customFormat="false" ht="15" hidden="false" customHeight="false" outlineLevel="0" collapsed="false">
      <c r="B83" s="16" t="n">
        <v>5</v>
      </c>
      <c r="C83" s="118" t="str">
        <f aca="false">IFERROR(INDEX($C$7:$C$19,MATCH($B83,$Q$7:$Q$19,0))&amp;" · "&amp;IF(INDEX($K$7:$K$19,MATCH($B83,$Q$7:$Q$19,0))="Conditionally eligible","conditional",IF(INDEX($K$7:$K$19,MATCH($B83,$Q$7:$Q$19,0))="Pending verification","pending",LOWER(INDEX($K$7:$K$19,MATCH($B83,$Q$7:$Q$19,0))))),"")</f>
        <v>MF90 · pending</v>
      </c>
      <c r="D83" s="71" t="n">
        <f aca="false">IFERROR(INDEX($I$7:$I$19,MATCH($B83,$Q$7:$Q$19,0)),"")</f>
        <v>50.8965129568391</v>
      </c>
      <c r="E83" s="118" t="str">
        <f aca="false">IFERROR(INDEX($C$7:$C$19,MATCH($B83,$Q$7:$Q$19,0)),"")</f>
        <v>MF90</v>
      </c>
      <c r="F83" s="12" t="str">
        <f aca="false">IFERROR(INDEX($K$7:$K$19,MATCH($B83,$Q$7:$Q$19,0)),"")</f>
        <v>Pending verification</v>
      </c>
    </row>
    <row r="84" customFormat="false" ht="15" hidden="false" customHeight="false" outlineLevel="0" collapsed="false">
      <c r="B84" s="16" t="n">
        <v>6</v>
      </c>
      <c r="C84" s="118" t="str">
        <f aca="false">IFERROR(INDEX($C$7:$C$19,MATCH($B84,$Q$7:$Q$19,0))&amp;" · "&amp;IF(INDEX($K$7:$K$19,MATCH($B84,$Q$7:$Q$19,0))="Conditionally eligible","conditional",IF(INDEX($K$7:$K$19,MATCH($B84,$Q$7:$Q$19,0))="Pending verification","pending",LOWER(INDEX($K$7:$K$19,MATCH($B84,$Q$7:$Q$19,0))))),"")</f>
        <v>CT31 · pending</v>
      </c>
      <c r="D84" s="71" t="n">
        <f aca="false">IFERROR(INDEX($I$7:$I$19,MATCH($B84,$Q$7:$Q$19,0)),"")</f>
        <v>50.0757913840304</v>
      </c>
      <c r="E84" s="118" t="str">
        <f aca="false">IFERROR(INDEX($C$7:$C$19,MATCH($B84,$Q$7:$Q$19,0)),"")</f>
        <v>CT31</v>
      </c>
      <c r="F84" s="12" t="str">
        <f aca="false">IFERROR(INDEX($K$7:$K$19,MATCH($B84,$Q$7:$Q$19,0)),"")</f>
        <v>Pending verification</v>
      </c>
    </row>
    <row r="85" customFormat="false" ht="15" hidden="false" customHeight="false" outlineLevel="0" collapsed="false">
      <c r="B85" s="16" t="n">
        <v>7</v>
      </c>
      <c r="C85" s="118" t="str">
        <f aca="false">IFERROR(INDEX($C$7:$C$19,MATCH($B85,$Q$7:$Q$19,0))&amp;" · "&amp;IF(INDEX($K$7:$K$19,MATCH($B85,$Q$7:$Q$19,0))="Conditionally eligible","conditional",IF(INDEX($K$7:$K$19,MATCH($B85,$Q$7:$Q$19,0))="Pending verification","pending",LOWER(INDEX($K$7:$K$19,MATCH($B85,$Q$7:$Q$19,0))))),"")</f>
        <v>CT20S · pending</v>
      </c>
      <c r="D85" s="71" t="n">
        <f aca="false">IFERROR(INDEX($I$7:$I$19,MATCH($B85,$Q$7:$Q$19,0)),"")</f>
        <v>49.6444062366618</v>
      </c>
      <c r="E85" s="118" t="str">
        <f aca="false">IFERROR(INDEX($C$7:$C$19,MATCH($B85,$Q$7:$Q$19,0)),"")</f>
        <v>CT20S</v>
      </c>
      <c r="F85" s="12" t="str">
        <f aca="false">IFERROR(INDEX($K$7:$K$19,MATCH($B85,$Q$7:$Q$19,0)),"")</f>
        <v>Pending verification</v>
      </c>
    </row>
    <row r="86" customFormat="false" ht="15" hidden="false" customHeight="false" outlineLevel="0" collapsed="false">
      <c r="B86" s="16" t="n">
        <v>8</v>
      </c>
      <c r="C86" s="118" t="str">
        <f aca="false">IFERROR(INDEX($C$7:$C$19,MATCH($B86,$Q$7:$Q$19,0))&amp;" · "&amp;IF(INDEX($K$7:$K$19,MATCH($B86,$Q$7:$Q$19,0))="Conditionally eligible","conditional",IF(INDEX($K$7:$K$19,MATCH($B86,$Q$7:$Q$19,0))="Pending verification","pending",LOWER(INDEX($K$7:$K$19,MATCH($B86,$Q$7:$Q$19,0))))),"")</f>
        <v>MF91 · pending</v>
      </c>
      <c r="D86" s="71" t="n">
        <f aca="false">IFERROR(INDEX($I$7:$I$19,MATCH($B86,$Q$7:$Q$19,0)),"")</f>
        <v>49.3195453865045</v>
      </c>
      <c r="E86" s="118" t="str">
        <f aca="false">IFERROR(INDEX($C$7:$C$19,MATCH($B86,$Q$7:$Q$19,0)),"")</f>
        <v>MF91</v>
      </c>
      <c r="F86" s="12" t="str">
        <f aca="false">IFERROR(INDEX($K$7:$K$19,MATCH($B86,$Q$7:$Q$19,0)),"")</f>
        <v>Pending verification</v>
      </c>
    </row>
    <row r="87" customFormat="false" ht="15" hidden="false" customHeight="false" outlineLevel="0" collapsed="false">
      <c r="B87" s="16" t="n">
        <v>9</v>
      </c>
      <c r="C87" s="118" t="str">
        <f aca="false">IFERROR(INDEX($C$7:$C$19,MATCH($B87,$Q$7:$Q$19,0))&amp;" · "&amp;IF(INDEX($K$7:$K$19,MATCH($B87,$Q$7:$Q$19,0))="Conditionally eligible","conditional",IF(INDEX($K$7:$K$19,MATCH($B87,$Q$7:$Q$19,0))="Pending verification","pending",LOWER(INDEX($K$7:$K$19,MATCH($B87,$Q$7:$Q$19,0))))),"")</f>
        <v>CT30 (band) · pending</v>
      </c>
      <c r="D87" s="71" t="n">
        <f aca="false">IFERROR(INDEX($I$7:$I$19,MATCH($B87,$Q$7:$Q$19,0)),"")</f>
        <v>46.2308714958103</v>
      </c>
      <c r="E87" s="118" t="str">
        <f aca="false">IFERROR(INDEX($C$7:$C$19,MATCH($B87,$Q$7:$Q$19,0)),"")</f>
        <v>CT30 (band)</v>
      </c>
      <c r="F87" s="12" t="str">
        <f aca="false">IFERROR(INDEX($K$7:$K$19,MATCH($B87,$Q$7:$Q$19,0)),"")</f>
        <v>Pending verification</v>
      </c>
    </row>
    <row r="88" customFormat="false" ht="15" hidden="false" customHeight="false" outlineLevel="0" collapsed="false">
      <c r="B88" s="16" t="n">
        <v>10</v>
      </c>
      <c r="C88" s="118" t="str">
        <f aca="false">IFERROR(INDEX($C$7:$C$19,MATCH($B88,$Q$7:$Q$19,0))&amp;" · "&amp;IF(INDEX($K$7:$K$19,MATCH($B88,$Q$7:$Q$19,0))="Conditionally eligible","conditional",IF(INDEX($K$7:$K$19,MATCH($B88,$Q$7:$Q$19,0))="Pending verification","pending",LOWER(INDEX($K$7:$K$19,MATCH($B88,$Q$7:$Q$19,0))))),"")</f>
        <v>HW20Pro · pending</v>
      </c>
      <c r="D88" s="71" t="n">
        <f aca="false">IFERROR(INDEX($I$7:$I$19,MATCH($B88,$Q$7:$Q$19,0)),"")</f>
        <v>45.5153306850866</v>
      </c>
      <c r="E88" s="118" t="str">
        <f aca="false">IFERROR(INDEX($C$7:$C$19,MATCH($B88,$Q$7:$Q$19,0)),"")</f>
        <v>HW20Pro</v>
      </c>
      <c r="F88" s="12" t="str">
        <f aca="false">IFERROR(INDEX($K$7:$K$19,MATCH($B88,$Q$7:$Q$19,0)),"")</f>
        <v>Pending verification</v>
      </c>
    </row>
    <row r="89" customFormat="false" ht="15" hidden="false" customHeight="false" outlineLevel="0" collapsed="false">
      <c r="B89" s="16" t="n">
        <v>11</v>
      </c>
      <c r="C89" s="118" t="str">
        <f aca="false">IFERROR(INDEX($C$7:$C$19,MATCH($B89,$Q$7:$Q$19,0))&amp;" · "&amp;IF(INDEX($K$7:$K$19,MATCH($B89,$Q$7:$Q$19,0))="Conditionally eligible","conditional",IF(INDEX($K$7:$K$19,MATCH($B89,$Q$7:$Q$19,0))="Pending verification","pending",LOWER(INDEX($K$7:$K$19,MATCH($B89,$Q$7:$Q$19,0))))),"")</f>
        <v>MF40 · pending</v>
      </c>
      <c r="D89" s="71" t="n">
        <f aca="false">IFERROR(INDEX($I$7:$I$19,MATCH($B89,$Q$7:$Q$19,0)),"")</f>
        <v>44.3063455559131</v>
      </c>
      <c r="E89" s="118" t="str">
        <f aca="false">IFERROR(INDEX($C$7:$C$19,MATCH($B89,$Q$7:$Q$19,0)),"")</f>
        <v>MF40</v>
      </c>
      <c r="F89" s="12" t="str">
        <f aca="false">IFERROR(INDEX($K$7:$K$19,MATCH($B89,$Q$7:$Q$19,0)),"")</f>
        <v>Pending verification</v>
      </c>
    </row>
    <row r="90" customFormat="false" ht="15" hidden="false" customHeight="false" outlineLevel="0" collapsed="false">
      <c r="B90" s="16" t="n">
        <v>12</v>
      </c>
      <c r="C90" s="118" t="str">
        <f aca="false">IFERROR(INDEX($C$7:$C$19,MATCH($B90,$Q$7:$Q$19,0))&amp;" · "&amp;IF(INDEX($K$7:$K$19,MATCH($B90,$Q$7:$Q$19,0))="Conditionally eligible","conditional",IF(INDEX($K$7:$K$19,MATCH($B90,$Q$7:$Q$19,0))="Pending verification","pending",LOWER(INDEX($K$7:$K$19,MATCH($B90,$Q$7:$Q$19,0))))),"")</f>
        <v>MF91Pro · pending</v>
      </c>
      <c r="D90" s="71" t="n">
        <f aca="false">IFERROR(INDEX($I$7:$I$19,MATCH($B90,$Q$7:$Q$19,0)),"")</f>
        <v>37.366723856637</v>
      </c>
      <c r="E90" s="118" t="str">
        <f aca="false">IFERROR(INDEX($C$7:$C$19,MATCH($B90,$Q$7:$Q$19,0)),"")</f>
        <v>MF91Pro</v>
      </c>
      <c r="F90" s="12" t="str">
        <f aca="false">IFERROR(INDEX($K$7:$K$19,MATCH($B90,$Q$7:$Q$19,0)),"")</f>
        <v>Pending verification</v>
      </c>
    </row>
    <row r="91" customFormat="false" ht="15" hidden="false" customHeight="false" outlineLevel="0" collapsed="false">
      <c r="B91" s="16" t="n">
        <v>13</v>
      </c>
      <c r="C91" s="118" t="str">
        <f aca="false">IFERROR(INDEX($C$7:$C$19,MATCH($B91,$Q$7:$Q$19,0))&amp;" · "&amp;IF(INDEX($K$7:$K$19,MATCH($B91,$Q$7:$Q$19,0))="Conditionally eligible","conditional",IF(INDEX($K$7:$K$19,MATCH($B91,$Q$7:$Q$19,0))="Pending verification","pending",LOWER(INDEX($K$7:$K$19,MATCH($B91,$Q$7:$Q$19,0))))),"")</f>
        <v>CT29 · pending</v>
      </c>
      <c r="D91" s="71" t="n">
        <f aca="false">IFERROR(INDEX($I$7:$I$19,MATCH($B91,$Q$7:$Q$19,0)),"")</f>
        <v>33.3518129426167</v>
      </c>
      <c r="E91" s="118" t="str">
        <f aca="false">IFERROR(INDEX($C$7:$C$19,MATCH($B91,$Q$7:$Q$19,0)),"")</f>
        <v>CT29</v>
      </c>
      <c r="F91" s="12" t="str">
        <f aca="false">IFERROR(INDEX($K$7:$K$19,MATCH($B91,$Q$7:$Q$19,0)),"")</f>
        <v>Pending verification</v>
      </c>
    </row>
  </sheetData>
  <autoFilter ref="B6:V19"/>
  <mergeCells count="1">
    <mergeCell ref="B73:T73"/>
  </mergeCells>
  <conditionalFormatting sqref="K7:M19">
    <cfRule type="cellIs" priority="2" operator="equal" aboveAverage="0" equalAverage="0" bottom="0" percent="0" rank="0" text="" dxfId="1">
      <formula>"Pass"</formula>
    </cfRule>
    <cfRule type="cellIs" priority="3" operator="equal" aboveAverage="0" equalAverage="0" bottom="0" percent="0" rank="0" text="" dxfId="1">
      <formula>"Eligible"</formula>
    </cfRule>
    <cfRule type="cellIs" priority="4" operator="equal" aboveAverage="0" equalAverage="0" bottom="0" percent="0" rank="0" text="" dxfId="1">
      <formula>"Verified feasible"</formula>
    </cfRule>
    <cfRule type="cellIs" priority="5" operator="equal" aboveAverage="0" equalAverage="0" bottom="0" percent="0" rank="0" text="" dxfId="2">
      <formula>"Conditional"</formula>
    </cfRule>
    <cfRule type="cellIs" priority="6" operator="equal" aboveAverage="0" equalAverage="0" bottom="0" percent="0" rank="0" text="" dxfId="2">
      <formula>"Conditionally eligible"</formula>
    </cfRule>
    <cfRule type="cellIs" priority="7" operator="equal" aboveAverage="0" equalAverage="0" bottom="0" percent="0" rank="0" text="" dxfId="2">
      <formula>"Pending"</formula>
    </cfRule>
    <cfRule type="cellIs" priority="8" operator="equal" aboveAverage="0" equalAverage="0" bottom="0" percent="0" rank="0" text="" dxfId="2">
      <formula>"Pending verification"</formula>
    </cfRule>
    <cfRule type="cellIs" priority="9" operator="equal" aboveAverage="0" equalAverage="0" bottom="0" percent="0" rank="0" text="" dxfId="2">
      <formula>"Not verified"</formula>
    </cfRule>
    <cfRule type="cellIs" priority="10" operator="equal" aboveAverage="0" equalAverage="0" bottom="0" percent="0" rank="0" text="" dxfId="0">
      <formula>"Fail"</formula>
    </cfRule>
    <cfRule type="cellIs" priority="11" operator="equal" aboveAverage="0" equalAverage="0" bottom="0" percent="0" rank="0" text="" dxfId="0">
      <formula>"Ineligible"</formula>
    </cfRule>
    <cfRule type="cellIs" priority="12" operator="equal" aboveAverage="0" equalAverage="0" bottom="0" percent="0" rank="0" text="" dxfId="0">
      <formula>"Not feasible"</formula>
    </cfRule>
  </conditionalFormatting>
  <conditionalFormatting sqref="L7:L19">
    <cfRule type="cellIs" priority="13" operator="equal" aboveAverage="0" equalAverage="0" bottom="0" percent="0" rank="0" text="" dxfId="1">
      <formula>"High"</formula>
    </cfRule>
    <cfRule type="cellIs" priority="14" operator="equal" aboveAverage="0" equalAverage="0" bottom="0" percent="0" rank="0" text="" dxfId="2">
      <formula>"Medium"</formula>
    </cfRule>
    <cfRule type="cellIs" priority="15" operator="equal" aboveAverage="0" equalAverage="0" bottom="0" percent="0" rank="0" text="" dxfId="0">
      <formula>"Low"</formula>
    </cfRule>
  </conditionalFormatting>
  <conditionalFormatting sqref="I24:K36">
    <cfRule type="cellIs" priority="16" operator="equal" aboveAverage="0" equalAverage="0" bottom="0" percent="0" rank="0" text="" dxfId="1">
      <formula>"Pass"</formula>
    </cfRule>
    <cfRule type="cellIs" priority="17" operator="equal" aboveAverage="0" equalAverage="0" bottom="0" percent="0" rank="0" text="" dxfId="1">
      <formula>"Eligible"</formula>
    </cfRule>
    <cfRule type="cellIs" priority="18" operator="equal" aboveAverage="0" equalAverage="0" bottom="0" percent="0" rank="0" text="" dxfId="1">
      <formula>"Verified feasible"</formula>
    </cfRule>
    <cfRule type="cellIs" priority="19" operator="equal" aboveAverage="0" equalAverage="0" bottom="0" percent="0" rank="0" text="" dxfId="2">
      <formula>"Conditional"</formula>
    </cfRule>
    <cfRule type="cellIs" priority="20" operator="equal" aboveAverage="0" equalAverage="0" bottom="0" percent="0" rank="0" text="" dxfId="2">
      <formula>"Conditionally eligible"</formula>
    </cfRule>
    <cfRule type="cellIs" priority="21" operator="equal" aboveAverage="0" equalAverage="0" bottom="0" percent="0" rank="0" text="" dxfId="2">
      <formula>"Pending"</formula>
    </cfRule>
    <cfRule type="cellIs" priority="22" operator="equal" aboveAverage="0" equalAverage="0" bottom="0" percent="0" rank="0" text="" dxfId="2">
      <formula>"Pending verification"</formula>
    </cfRule>
    <cfRule type="cellIs" priority="23" operator="equal" aboveAverage="0" equalAverage="0" bottom="0" percent="0" rank="0" text="" dxfId="2">
      <formula>"Not verified"</formula>
    </cfRule>
    <cfRule type="cellIs" priority="24" operator="equal" aboveAverage="0" equalAverage="0" bottom="0" percent="0" rank="0" text="" dxfId="0">
      <formula>"Fail"</formula>
    </cfRule>
    <cfRule type="cellIs" priority="25" operator="equal" aboveAverage="0" equalAverage="0" bottom="0" percent="0" rank="0" text="" dxfId="0">
      <formula>"Ineligible"</formula>
    </cfRule>
    <cfRule type="cellIs" priority="26" operator="equal" aboveAverage="0" equalAverage="0" bottom="0" percent="0" rank="0" text="" dxfId="0">
      <formula>"Not feasible"</formula>
    </cfRule>
  </conditionalFormatting>
  <conditionalFormatting sqref="I41:K53">
    <cfRule type="cellIs" priority="27" operator="equal" aboveAverage="0" equalAverage="0" bottom="0" percent="0" rank="0" text="" dxfId="1">
      <formula>"Pass"</formula>
    </cfRule>
    <cfRule type="cellIs" priority="28" operator="equal" aboveAverage="0" equalAverage="0" bottom="0" percent="0" rank="0" text="" dxfId="1">
      <formula>"Eligible"</formula>
    </cfRule>
    <cfRule type="cellIs" priority="29" operator="equal" aboveAverage="0" equalAverage="0" bottom="0" percent="0" rank="0" text="" dxfId="1">
      <formula>"Verified feasible"</formula>
    </cfRule>
    <cfRule type="cellIs" priority="30" operator="equal" aboveAverage="0" equalAverage="0" bottom="0" percent="0" rank="0" text="" dxfId="2">
      <formula>"Conditional"</formula>
    </cfRule>
    <cfRule type="cellIs" priority="31" operator="equal" aboveAverage="0" equalAverage="0" bottom="0" percent="0" rank="0" text="" dxfId="2">
      <formula>"Conditionally eligible"</formula>
    </cfRule>
    <cfRule type="cellIs" priority="32" operator="equal" aboveAverage="0" equalAverage="0" bottom="0" percent="0" rank="0" text="" dxfId="2">
      <formula>"Pending"</formula>
    </cfRule>
    <cfRule type="cellIs" priority="33" operator="equal" aboveAverage="0" equalAverage="0" bottom="0" percent="0" rank="0" text="" dxfId="2">
      <formula>"Pending verification"</formula>
    </cfRule>
    <cfRule type="cellIs" priority="34" operator="equal" aboveAverage="0" equalAverage="0" bottom="0" percent="0" rank="0" text="" dxfId="2">
      <formula>"Not verified"</formula>
    </cfRule>
    <cfRule type="cellIs" priority="35" operator="equal" aboveAverage="0" equalAverage="0" bottom="0" percent="0" rank="0" text="" dxfId="0">
      <formula>"Fail"</formula>
    </cfRule>
    <cfRule type="cellIs" priority="36" operator="equal" aboveAverage="0" equalAverage="0" bottom="0" percent="0" rank="0" text="" dxfId="0">
      <formula>"Ineligible"</formula>
    </cfRule>
    <cfRule type="cellIs" priority="37" operator="equal" aboveAverage="0" equalAverage="0" bottom="0" percent="0" rank="0" text="" dxfId="0">
      <formula>"Not feasible"</formula>
    </cfRule>
  </conditionalFormatting>
  <conditionalFormatting sqref="I58:K70">
    <cfRule type="cellIs" priority="38" operator="equal" aboveAverage="0" equalAverage="0" bottom="0" percent="0" rank="0" text="" dxfId="1">
      <formula>"Pass"</formula>
    </cfRule>
    <cfRule type="cellIs" priority="39" operator="equal" aboveAverage="0" equalAverage="0" bottom="0" percent="0" rank="0" text="" dxfId="1">
      <formula>"Eligible"</formula>
    </cfRule>
    <cfRule type="cellIs" priority="40" operator="equal" aboveAverage="0" equalAverage="0" bottom="0" percent="0" rank="0" text="" dxfId="1">
      <formula>"Verified feasible"</formula>
    </cfRule>
    <cfRule type="cellIs" priority="41" operator="equal" aboveAverage="0" equalAverage="0" bottom="0" percent="0" rank="0" text="" dxfId="2">
      <formula>"Conditional"</formula>
    </cfRule>
    <cfRule type="cellIs" priority="42" operator="equal" aboveAverage="0" equalAverage="0" bottom="0" percent="0" rank="0" text="" dxfId="2">
      <formula>"Conditionally eligible"</formula>
    </cfRule>
    <cfRule type="cellIs" priority="43" operator="equal" aboveAverage="0" equalAverage="0" bottom="0" percent="0" rank="0" text="" dxfId="2">
      <formula>"Pending"</formula>
    </cfRule>
    <cfRule type="cellIs" priority="44" operator="equal" aboveAverage="0" equalAverage="0" bottom="0" percent="0" rank="0" text="" dxfId="2">
      <formula>"Pending verification"</formula>
    </cfRule>
    <cfRule type="cellIs" priority="45" operator="equal" aboveAverage="0" equalAverage="0" bottom="0" percent="0" rank="0" text="" dxfId="2">
      <formula>"Not verified"</formula>
    </cfRule>
    <cfRule type="cellIs" priority="46" operator="equal" aboveAverage="0" equalAverage="0" bottom="0" percent="0" rank="0" text="" dxfId="0">
      <formula>"Fail"</formula>
    </cfRule>
    <cfRule type="cellIs" priority="47" operator="equal" aboveAverage="0" equalAverage="0" bottom="0" percent="0" rank="0" text="" dxfId="0">
      <formula>"Ineligible"</formula>
    </cfRule>
    <cfRule type="cellIs" priority="48" operator="equal" aboveAverage="0" equalAverage="0" bottom="0" percent="0" rank="0" text="" dxfId="0">
      <formula>"Not feasible"</formula>
    </cfRule>
  </conditionalFormatting>
  <conditionalFormatting sqref="F79:F91">
    <cfRule type="cellIs" priority="49" operator="equal" aboveAverage="0" equalAverage="0" bottom="0" percent="0" rank="0" text="" dxfId="1">
      <formula>"Pass"</formula>
    </cfRule>
    <cfRule type="cellIs" priority="50" operator="equal" aboveAverage="0" equalAverage="0" bottom="0" percent="0" rank="0" text="" dxfId="1">
      <formula>"Eligible"</formula>
    </cfRule>
    <cfRule type="cellIs" priority="51" operator="equal" aboveAverage="0" equalAverage="0" bottom="0" percent="0" rank="0" text="" dxfId="1">
      <formula>"Verified feasible"</formula>
    </cfRule>
    <cfRule type="cellIs" priority="52" operator="equal" aboveAverage="0" equalAverage="0" bottom="0" percent="0" rank="0" text="" dxfId="2">
      <formula>"Conditional"</formula>
    </cfRule>
    <cfRule type="cellIs" priority="53" operator="equal" aboveAverage="0" equalAverage="0" bottom="0" percent="0" rank="0" text="" dxfId="2">
      <formula>"Conditionally eligible"</formula>
    </cfRule>
    <cfRule type="cellIs" priority="54" operator="equal" aboveAverage="0" equalAverage="0" bottom="0" percent="0" rank="0" text="" dxfId="2">
      <formula>"Pending"</formula>
    </cfRule>
    <cfRule type="cellIs" priority="55" operator="equal" aboveAverage="0" equalAverage="0" bottom="0" percent="0" rank="0" text="" dxfId="2">
      <formula>"Pending verification"</formula>
    </cfRule>
    <cfRule type="cellIs" priority="56" operator="equal" aboveAverage="0" equalAverage="0" bottom="0" percent="0" rank="0" text="" dxfId="2">
      <formula>"Not verified"</formula>
    </cfRule>
    <cfRule type="cellIs" priority="57" operator="equal" aboveAverage="0" equalAverage="0" bottom="0" percent="0" rank="0" text="" dxfId="0">
      <formula>"Fail"</formula>
    </cfRule>
    <cfRule type="cellIs" priority="58" operator="equal" aboveAverage="0" equalAverage="0" bottom="0" percent="0" rank="0" text="" dxfId="0">
      <formula>"Ineligible"</formula>
    </cfRule>
    <cfRule type="cellIs" priority="59" operator="equal" aboveAverage="0" equalAverage="0" bottom="0" percent="0" rank="0" text="" dxfId="0">
      <formula>"Not feasible"</formula>
    </cfRule>
  </conditionalFormatting>
  <dataValidations count="1">
    <dataValidation allowBlank="true" errorStyle="stop" operator="between" showDropDown="false" showErrorMessage="false" showInputMessage="false" sqref="J4"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1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5" min="3" style="0" width="14"/>
    <col collapsed="false" customWidth="true" hidden="false" outlineLevel="0" max="9" min="6" style="0" width="15"/>
    <col collapsed="false" customWidth="true" hidden="false" outlineLevel="0" max="10" min="10" style="0" width="24"/>
  </cols>
  <sheetData>
    <row r="1" customFormat="false" ht="17.35" hidden="false" customHeight="false" outlineLevel="0" collapsed="false">
      <c r="A1" s="28" t="s">
        <v>1388</v>
      </c>
    </row>
    <row r="2" customFormat="false" ht="15" hidden="false" customHeight="false" outlineLevel="0" collapsed="false">
      <c r="A2" s="2" t="s">
        <v>1389</v>
      </c>
    </row>
    <row r="4" customFormat="false" ht="15" hidden="false" customHeight="false" outlineLevel="0" collapsed="false">
      <c r="B4" s="119" t="s">
        <v>1390</v>
      </c>
      <c r="C4" s="120" t="s">
        <v>50</v>
      </c>
      <c r="D4" s="121" t="n">
        <f aca="false">MATCH(C4,'03 Feature Comparison'!$C$6:$C$18,0)</f>
        <v>1</v>
      </c>
      <c r="E4" s="43" t="s">
        <v>1391</v>
      </c>
      <c r="I4" s="122" t="s">
        <v>1392</v>
      </c>
      <c r="J4" s="94" t="n">
        <v>0.03</v>
      </c>
    </row>
    <row r="5" customFormat="false" ht="15" hidden="false" customHeight="false" outlineLevel="0" collapsed="false">
      <c r="B5" s="119" t="s">
        <v>1393</v>
      </c>
      <c r="C5" s="120" t="s">
        <v>66</v>
      </c>
      <c r="D5" s="121" t="n">
        <f aca="false">MATCH(C5,'03 Feature Comparison'!$C$6:$C$18,0)</f>
        <v>3</v>
      </c>
    </row>
    <row r="6" customFormat="false" ht="15" hidden="false" customHeight="false" outlineLevel="0" collapsed="false">
      <c r="B6" s="119" t="s">
        <v>1394</v>
      </c>
      <c r="C6" s="120" t="s">
        <v>60</v>
      </c>
      <c r="D6" s="121" t="n">
        <f aca="false">MATCH(C6,'03 Feature Comparison'!$C$6:$C$18,0)</f>
        <v>2</v>
      </c>
    </row>
    <row r="8" customFormat="false" ht="15" hidden="false" customHeight="false" outlineLevel="0" collapsed="false">
      <c r="B8" s="7" t="s">
        <v>1395</v>
      </c>
      <c r="C8" s="7"/>
      <c r="D8" s="7"/>
      <c r="E8" s="7"/>
      <c r="F8" s="7"/>
      <c r="G8" s="7"/>
    </row>
    <row r="9" customFormat="false" ht="15" hidden="false" customHeight="false" outlineLevel="0" collapsed="false">
      <c r="B9" s="8" t="s">
        <v>1280</v>
      </c>
      <c r="C9" s="8" t="str">
        <f aca="false">C4</f>
        <v>VB10</v>
      </c>
      <c r="D9" s="8" t="str">
        <f aca="false">C5</f>
        <v>CT34</v>
      </c>
      <c r="E9" s="8" t="str">
        <f aca="false">C6</f>
        <v>CT29</v>
      </c>
      <c r="F9" s="8" t="s">
        <v>1396</v>
      </c>
      <c r="G9" s="8" t="s">
        <v>1397</v>
      </c>
    </row>
    <row r="10" customFormat="false" ht="15" hidden="false" customHeight="false" outlineLevel="0" collapsed="false">
      <c r="B10" s="20" t="s">
        <v>1282</v>
      </c>
      <c r="C10" s="71" t="n">
        <f aca="false">INDEX('10 Scoring &amp; Weights'!$D$87:$D$99,$D$4)</f>
        <v>62.2558861827256</v>
      </c>
      <c r="D10" s="71" t="n">
        <f aca="false">INDEX('10 Scoring &amp; Weights'!$D$87:$D$99,$D$5)</f>
        <v>61.4383792012179</v>
      </c>
      <c r="E10" s="71" t="n">
        <f aca="false">INDEX('10 Scoring &amp; Weights'!$D$87:$D$99,$D$6)</f>
        <v>38.8102758012462</v>
      </c>
      <c r="F10" s="123" t="n">
        <f aca="false">D10-C10</f>
        <v>-0.817506981507684</v>
      </c>
      <c r="G10" s="123" t="n">
        <f aca="false">E10-C10</f>
        <v>-23.4456103814794</v>
      </c>
    </row>
    <row r="11" customFormat="false" ht="15" hidden="false" customHeight="false" outlineLevel="0" collapsed="false">
      <c r="B11" s="20" t="s">
        <v>1354</v>
      </c>
      <c r="C11" s="71" t="n">
        <f aca="false">INDEX('10 Scoring &amp; Weights'!$E$87:$E$99,$D$4)</f>
        <v>50</v>
      </c>
      <c r="D11" s="71" t="n">
        <f aca="false">INDEX('10 Scoring &amp; Weights'!$E$87:$E$99,$D$5)</f>
        <v>50</v>
      </c>
      <c r="E11" s="71" t="n">
        <f aca="false">INDEX('10 Scoring &amp; Weights'!$E$87:$E$99,$D$6)</f>
        <v>31.25</v>
      </c>
      <c r="F11" s="123" t="n">
        <f aca="false">D11-C11</f>
        <v>0</v>
      </c>
      <c r="G11" s="123" t="n">
        <f aca="false">E11-C11</f>
        <v>-18.75</v>
      </c>
    </row>
    <row r="12" customFormat="false" ht="15" hidden="false" customHeight="false" outlineLevel="0" collapsed="false">
      <c r="B12" s="20" t="s">
        <v>1355</v>
      </c>
      <c r="C12" s="71" t="n">
        <f aca="false">INDEX('10 Scoring &amp; Weights'!$F$87:$F$99,$D$4)</f>
        <v>40</v>
      </c>
      <c r="D12" s="71" t="n">
        <f aca="false">INDEX('10 Scoring &amp; Weights'!$F$87:$F$99,$D$5)</f>
        <v>50</v>
      </c>
      <c r="E12" s="71" t="n">
        <f aca="false">INDEX('10 Scoring &amp; Weights'!$F$87:$F$99,$D$6)</f>
        <v>27.5</v>
      </c>
      <c r="F12" s="123" t="n">
        <f aca="false">D12-C12</f>
        <v>10</v>
      </c>
      <c r="G12" s="123" t="n">
        <f aca="false">E12-C12</f>
        <v>-12.5</v>
      </c>
    </row>
    <row r="13" customFormat="false" ht="15" hidden="false" customHeight="false" outlineLevel="0" collapsed="false">
      <c r="B13" s="20" t="s">
        <v>1356</v>
      </c>
      <c r="C13" s="71" t="n">
        <f aca="false">INDEX('10 Scoring &amp; Weights'!$G$87:$G$99,$D$4)</f>
        <v>61.1171189531267</v>
      </c>
      <c r="D13" s="71" t="n">
        <f aca="false">INDEX('10 Scoring &amp; Weights'!$G$87:$G$99,$D$5)</f>
        <v>43.5381094145368</v>
      </c>
      <c r="E13" s="71" t="n">
        <f aca="false">INDEX('10 Scoring &amp; Weights'!$G$87:$G$99,$D$6)</f>
        <v>35.5381094145368</v>
      </c>
      <c r="F13" s="123" t="n">
        <f aca="false">D13-C13</f>
        <v>-17.5790095385899</v>
      </c>
      <c r="G13" s="123" t="n">
        <f aca="false">E13-C13</f>
        <v>-25.5790095385899</v>
      </c>
    </row>
    <row r="14" customFormat="false" ht="15" hidden="false" customHeight="false" outlineLevel="0" collapsed="false">
      <c r="B14" s="20" t="s">
        <v>1357</v>
      </c>
      <c r="C14" s="71" t="n">
        <f aca="false">INDEX('10 Scoring &amp; Weights'!$H$87:$H$99,$D$4)</f>
        <v>47.5</v>
      </c>
      <c r="D14" s="71" t="n">
        <f aca="false">INDEX('10 Scoring &amp; Weights'!$H$87:$H$99,$D$5)</f>
        <v>70</v>
      </c>
      <c r="E14" s="71" t="n">
        <f aca="false">INDEX('10 Scoring &amp; Weights'!$H$87:$H$99,$D$6)</f>
        <v>28.75</v>
      </c>
      <c r="F14" s="123" t="n">
        <f aca="false">D14-C14</f>
        <v>22.5</v>
      </c>
      <c r="G14" s="123" t="n">
        <f aca="false">E14-C14</f>
        <v>-18.75</v>
      </c>
    </row>
    <row r="15" customFormat="false" ht="15" hidden="false" customHeight="false" outlineLevel="0" collapsed="false">
      <c r="B15" s="46" t="s">
        <v>13</v>
      </c>
      <c r="C15" s="116" t="n">
        <f aca="false">INDEX('10 Scoring &amp; Weights'!$I$87:$I$99,$D$4)</f>
        <v>53.207128006923</v>
      </c>
      <c r="D15" s="116" t="n">
        <f aca="false">INDEX('10 Scoring &amp; Weights'!$I$87:$I$99,$D$5)</f>
        <v>55.0341491326068</v>
      </c>
      <c r="E15" s="116" t="n">
        <f aca="false">INDEX('10 Scoring &amp; Weights'!$I$87:$I$99,$D$6)</f>
        <v>33.3518129426167</v>
      </c>
      <c r="F15" s="123" t="n">
        <f aca="false">D15-C15</f>
        <v>1.82702112568381</v>
      </c>
      <c r="G15" s="123" t="n">
        <f aca="false">E15-C15</f>
        <v>-19.8553150643063</v>
      </c>
    </row>
    <row r="16" customFormat="false" ht="15" hidden="false" customHeight="false" outlineLevel="0" collapsed="false">
      <c r="B16" s="20" t="s">
        <v>998</v>
      </c>
      <c r="C16" s="71" t="n">
        <f aca="false">INDEX('10 Scoring &amp; Weights'!$J$87:$J$99,$D$4)</f>
        <v>52.5362598897993</v>
      </c>
      <c r="D16" s="71" t="n">
        <f aca="false">INDEX('10 Scoring &amp; Weights'!$J$87:$J$99,$D$5)</f>
        <v>49.7885190975235</v>
      </c>
      <c r="E16" s="71" t="n">
        <f aca="false">INDEX('10 Scoring &amp; Weights'!$J$87:$J$99,$D$6)</f>
        <v>19.0896423630201</v>
      </c>
      <c r="F16" s="123" t="n">
        <f aca="false">D16-C16</f>
        <v>-2.74774079227586</v>
      </c>
      <c r="G16" s="123" t="n">
        <f aca="false">E16-C16</f>
        <v>-33.4466175267792</v>
      </c>
    </row>
    <row r="17" customFormat="false" ht="15" hidden="false" customHeight="false" outlineLevel="0" collapsed="false">
      <c r="B17" s="20" t="s">
        <v>1359</v>
      </c>
      <c r="C17" s="71" t="n">
        <f aca="false">INDEX('10 Scoring &amp; Weights'!$K$87:$K$99,$D$4)</f>
        <v>91.4147650615044</v>
      </c>
      <c r="D17" s="71" t="n">
        <f aca="false">INDEX('10 Scoring &amp; Weights'!$K$87:$K$99,$D$5)</f>
        <v>96.3879595123012</v>
      </c>
      <c r="E17" s="71" t="n">
        <f aca="false">INDEX('10 Scoring &amp; Weights'!$K$87:$K$99,$D$6)</f>
        <v>97.9721761159243</v>
      </c>
      <c r="F17" s="123" t="n">
        <f aca="false">D17-C17</f>
        <v>4.97319445079683</v>
      </c>
      <c r="G17" s="123" t="n">
        <f aca="false">E17-C17</f>
        <v>6.55741105441994</v>
      </c>
    </row>
    <row r="19" customFormat="false" ht="15" hidden="false" customHeight="false" outlineLevel="0" collapsed="false">
      <c r="B19" s="7" t="s">
        <v>1398</v>
      </c>
      <c r="C19" s="7"/>
      <c r="D19" s="7"/>
      <c r="E19" s="7"/>
      <c r="F19" s="7"/>
      <c r="G19" s="7"/>
    </row>
    <row r="20" customFormat="false" ht="15" hidden="false" customHeight="false" outlineLevel="0" collapsed="false">
      <c r="B20" s="8" t="s">
        <v>1399</v>
      </c>
      <c r="C20" s="8" t="str">
        <f aca="false">C4</f>
        <v>VB10</v>
      </c>
      <c r="D20" s="8" t="str">
        <f aca="false">C5</f>
        <v>CT34</v>
      </c>
      <c r="E20" s="8" t="str">
        <f aca="false">C6</f>
        <v>CT29</v>
      </c>
      <c r="F20" s="8" t="s">
        <v>1400</v>
      </c>
      <c r="G20" s="8" t="s">
        <v>1401</v>
      </c>
    </row>
    <row r="21" customFormat="false" ht="24" hidden="false" customHeight="true" outlineLevel="0" collapsed="false">
      <c r="B21" s="20" t="s">
        <v>19</v>
      </c>
      <c r="C21" s="124" t="str">
        <f aca="false">IF(INDEX('10 Scoring &amp; Weights'!$S$87:$S$99,$D$4)="","n/a",INDEX('10 Scoring &amp; Weights'!$S$87:$S$99,$D$4))</f>
        <v>Conditionally eligible</v>
      </c>
      <c r="D21" s="124" t="str">
        <f aca="false">IF(INDEX('10 Scoring &amp; Weights'!$S$87:$S$99,$D$5)="","n/a",INDEX('10 Scoring &amp; Weights'!$S$87:$S$99,$D$5))</f>
        <v>Conditionally eligible</v>
      </c>
      <c r="E21" s="124" t="str">
        <f aca="false">IF(INDEX('10 Scoring &amp; Weights'!$S$87:$S$99,$D$6)="","n/a",INDEX('10 Scoring &amp; Weights'!$S$87:$S$99,$D$6))</f>
        <v>Pending verification</v>
      </c>
      <c r="F21" s="58" t="str">
        <f aca="false">IF(C21=D21,"Same","Different")</f>
        <v>Same</v>
      </c>
      <c r="G21" s="58" t="str">
        <f aca="false">IF(C21=E21,"Same","Different")</f>
        <v>Different</v>
      </c>
    </row>
    <row r="22" customFormat="false" ht="24" hidden="false" customHeight="true" outlineLevel="0" collapsed="false">
      <c r="B22" s="20" t="s">
        <v>18</v>
      </c>
      <c r="C22" s="124" t="str">
        <f aca="false">IF(INDEX('10 Scoring &amp; Weights'!$T$87:$T$99,$D$4)="","n/a",INDEX('10 Scoring &amp; Weights'!$T$87:$T$99,$D$4))</f>
        <v>Conditional</v>
      </c>
      <c r="D22" s="124" t="str">
        <f aca="false">IF(INDEX('10 Scoring &amp; Weights'!$T$87:$T$99,$D$5)="","n/a",INDEX('10 Scoring &amp; Weights'!$T$87:$T$99,$D$5))</f>
        <v>Conditional</v>
      </c>
      <c r="E22" s="124" t="str">
        <f aca="false">IF(INDEX('10 Scoring &amp; Weights'!$T$87:$T$99,$D$6)="","n/a",INDEX('10 Scoring &amp; Weights'!$T$87:$T$99,$D$6))</f>
        <v>Not verified</v>
      </c>
      <c r="F22" s="58" t="str">
        <f aca="false">IF(C22=D22,"Same","Different")</f>
        <v>Same</v>
      </c>
      <c r="G22" s="58" t="str">
        <f aca="false">IF(C22=E22,"Same","Different")</f>
        <v>Different</v>
      </c>
    </row>
    <row r="23" customFormat="false" ht="24" hidden="false" customHeight="true" outlineLevel="0" collapsed="false">
      <c r="B23" s="20" t="s">
        <v>20</v>
      </c>
      <c r="C23" s="124" t="str">
        <f aca="false">IF(INDEX('10 Scoring &amp; Weights'!$O$87:$O$99,$D$4)="","n/a",INDEX('10 Scoring &amp; Weights'!$O$87:$O$99,$D$4))</f>
        <v>Medium</v>
      </c>
      <c r="D23" s="124" t="str">
        <f aca="false">IF(INDEX('10 Scoring &amp; Weights'!$O$87:$O$99,$D$5)="","n/a",INDEX('10 Scoring &amp; Weights'!$O$87:$O$99,$D$5))</f>
        <v>Low</v>
      </c>
      <c r="E23" s="124" t="str">
        <f aca="false">IF(INDEX('10 Scoring &amp; Weights'!$O$87:$O$99,$D$6)="","n/a",INDEX('10 Scoring &amp; Weights'!$O$87:$O$99,$D$6))</f>
        <v>Low</v>
      </c>
      <c r="F23" s="58" t="str">
        <f aca="false">IF(C23=D23,"Same","Different")</f>
        <v>Different</v>
      </c>
      <c r="G23" s="58" t="str">
        <f aca="false">IF(C23=E23,"Same","Different")</f>
        <v>Different</v>
      </c>
    </row>
    <row r="24" customFormat="false" ht="15" hidden="false" customHeight="true" outlineLevel="0" collapsed="false">
      <c r="B24" s="20" t="s">
        <v>1360</v>
      </c>
      <c r="C24" s="125" t="n">
        <f aca="false">IF(INDEX('10 Scoring &amp; Weights'!$L$87:$L$99,$D$4)="","n/a",INDEX('10 Scoring &amp; Weights'!$L$87:$L$99,$D$4))</f>
        <v>0.722222222222222</v>
      </c>
      <c r="D24" s="125" t="n">
        <f aca="false">IF(INDEX('10 Scoring &amp; Weights'!$L$87:$L$99,$D$5)="","n/a",INDEX('10 Scoring &amp; Weights'!$L$87:$L$99,$D$5))</f>
        <v>0.513513513513514</v>
      </c>
      <c r="E24" s="125" t="n">
        <f aca="false">IF(INDEX('10 Scoring &amp; Weights'!$L$87:$L$99,$D$6)="","n/a",INDEX('10 Scoring &amp; Weights'!$L$87:$L$99,$D$6))</f>
        <v>0.135135135135135</v>
      </c>
      <c r="F24" s="126" t="n">
        <f aca="false">IF(AND(ISNUMBER(C24),ISNUMBER(D24)),D24-C24,"unknown")</f>
        <v>-0.208708708708709</v>
      </c>
      <c r="G24" s="126" t="n">
        <f aca="false">IF(AND(ISNUMBER(C24),ISNUMBER(E24)),E24-C24,"unknown")</f>
        <v>-0.587087087087087</v>
      </c>
    </row>
    <row r="25" customFormat="false" ht="24" hidden="false" customHeight="true" outlineLevel="0" collapsed="false">
      <c r="B25" s="20" t="s">
        <v>253</v>
      </c>
      <c r="C25" s="124" t="str">
        <f aca="false">IF(INDEX('03 Feature Comparison'!$E$6:$E$18,$D$4)="","n/a",INDEX('03 Feature Comparison'!$E$6:$E$18,$D$4))</f>
        <v>BLE</v>
      </c>
      <c r="D25" s="124" t="str">
        <f aca="false">IF(INDEX('03 Feature Comparison'!$E$6:$E$18,$D$5)="","n/a",INDEX('03 Feature Comparison'!$E$6:$E$18,$D$5))</f>
        <v>4G</v>
      </c>
      <c r="E25" s="124" t="str">
        <f aca="false">IF(INDEX('03 Feature Comparison'!$E$6:$E$18,$D$6)="","n/a",INDEX('03 Feature Comparison'!$E$6:$E$18,$D$6))</f>
        <v>4G</v>
      </c>
      <c r="F25" s="58" t="str">
        <f aca="false">IF(C25=D25,"Same","Different")</f>
        <v>Different</v>
      </c>
      <c r="G25" s="58" t="str">
        <f aca="false">IF(C25=E25,"Same","Different")</f>
        <v>Different</v>
      </c>
    </row>
    <row r="26" customFormat="false" ht="15" hidden="false" customHeight="true" outlineLevel="0" collapsed="false">
      <c r="B26" s="20" t="s">
        <v>445</v>
      </c>
      <c r="C26" s="124" t="str">
        <f aca="false">IF(INDEX('03 Feature Comparison'!$U$6:$U$18,$D$4)="","n/a",INDEX('03 Feature Comparison'!$U$6:$U$18,$D$4))</f>
        <v>No</v>
      </c>
      <c r="D26" s="124" t="str">
        <f aca="false">IF(INDEX('03 Feature Comparison'!$U$6:$U$18,$D$5)="","n/a",INDEX('03 Feature Comparison'!$U$6:$U$18,$D$5))</f>
        <v>Yes</v>
      </c>
      <c r="E26" s="124" t="str">
        <f aca="false">IF(INDEX('03 Feature Comparison'!$U$6:$U$18,$D$6)="","n/a",INDEX('03 Feature Comparison'!$U$6:$U$18,$D$6))</f>
        <v>Conditional</v>
      </c>
      <c r="F26" s="58" t="str">
        <f aca="false">IF(AND(C26="",D26=""),"",IF(C26=D26,IF(C26="Yes","Shared","Same"),IF(AND(C26="Yes",D26="No"),"LOST",IF(AND(C26="No",D26="Yes"),"GAINED",IF(AND(C26="Unknown",OR(D26="Yes",D26="Conditional")),"Confirmed (A unknown)",IF(AND(C26="Unknown",D26="No"),"Absent (A unknown)",IF(OR(C26="Unknown",D26="Unknown"),"Unknown — verify",IF(AND(C26="Yes",D26="Conditional"),"Weaker",IF(AND(C26="Conditional",D26="Yes"),"Stronger",IF(AND(C26="Conditional",D26="No"),"LOST",IF(AND(C26="No",D26="Conditional"),"GAINED (conditional)",IF(OR(C26="N/A",D26="N/A"),"Not comparable","Different"))))))))))))</f>
        <v>GAINED</v>
      </c>
      <c r="G26" s="58" t="str">
        <f aca="false">IF(AND(C26="",E26=""),"",IF(C26=E26,IF(C26="Yes","Shared","Same"),IF(AND(C26="Yes",E26="No"),"LOST",IF(AND(C26="No",E26="Yes"),"GAINED",IF(AND(C26="Unknown",OR(E26="Yes",E26="Conditional")),"Confirmed (A unknown)",IF(AND(C26="Unknown",E26="No"),"Absent (A unknown)",IF(OR(C26="Unknown",E26="Unknown"),"Unknown — verify",IF(AND(C26="Yes",E26="Conditional"),"Weaker",IF(AND(C26="Conditional",E26="Yes"),"Stronger",IF(AND(C26="Conditional",E26="No"),"LOST",IF(AND(C26="No",E26="Conditional"),"GAINED (conditional)",IF(OR(C26="N/A",E26="N/A"),"Not comparable","Different"))))))))))))</f>
        <v>GAINED (conditional)</v>
      </c>
    </row>
    <row r="27" customFormat="false" ht="15" hidden="false" customHeight="true" outlineLevel="0" collapsed="false">
      <c r="B27" s="20" t="s">
        <v>447</v>
      </c>
      <c r="C27" s="124" t="str">
        <f aca="false">IF(INDEX('03 Feature Comparison'!$V$6:$V$18,$D$4)="","n/a",INDEX('03 Feature Comparison'!$V$6:$V$18,$D$4))</f>
        <v>Yes</v>
      </c>
      <c r="D27" s="124" t="str">
        <f aca="false">IF(INDEX('03 Feature Comparison'!$V$6:$V$18,$D$5)="","n/a",INDEX('03 Feature Comparison'!$V$6:$V$18,$D$5))</f>
        <v>Yes</v>
      </c>
      <c r="E27" s="124" t="str">
        <f aca="false">IF(INDEX('03 Feature Comparison'!$V$6:$V$18,$D$6)="","n/a",INDEX('03 Feature Comparison'!$V$6:$V$18,$D$6))</f>
        <v>Unknown</v>
      </c>
      <c r="F27" s="58" t="str">
        <f aca="false">IF(AND(C27="",D27=""),"",IF(C27=D27,IF(C27="Yes","Shared","Same"),IF(AND(C27="Yes",D27="No"),"LOST",IF(AND(C27="No",D27="Yes"),"GAINED",IF(AND(C27="Unknown",OR(D27="Yes",D27="Conditional")),"Confirmed (A unknown)",IF(AND(C27="Unknown",D27="No"),"Absent (A unknown)",IF(OR(C27="Unknown",D27="Unknown"),"Unknown — verify",IF(AND(C27="Yes",D27="Conditional"),"Weaker",IF(AND(C27="Conditional",D27="Yes"),"Stronger",IF(AND(C27="Conditional",D27="No"),"LOST",IF(AND(C27="No",D27="Conditional"),"GAINED (conditional)",IF(OR(C27="N/A",D27="N/A"),"Not comparable","Different"))))))))))))</f>
        <v>Shared</v>
      </c>
      <c r="G27" s="58" t="str">
        <f aca="false">IF(AND(C27="",E27=""),"",IF(C27=E27,IF(C27="Yes","Shared","Same"),IF(AND(C27="Yes",E27="No"),"LOST",IF(AND(C27="No",E27="Yes"),"GAINED",IF(AND(C27="Unknown",OR(E27="Yes",E27="Conditional")),"Confirmed (A unknown)",IF(AND(C27="Unknown",E27="No"),"Absent (A unknown)",IF(OR(C27="Unknown",E27="Unknown"),"Unknown — verify",IF(AND(C27="Yes",E27="Conditional"),"Weaker",IF(AND(C27="Conditional",E27="Yes"),"Stronger",IF(AND(C27="Conditional",E27="No"),"LOST",IF(AND(C27="No",E27="Conditional"),"GAINED (conditional)",IF(OR(C27="N/A",E27="N/A"),"Not comparable","Different"))))))))))))</f>
        <v>Unknown — verify</v>
      </c>
    </row>
    <row r="28" customFormat="false" ht="15" hidden="false" customHeight="true" outlineLevel="0" collapsed="false">
      <c r="B28" s="20" t="s">
        <v>436</v>
      </c>
      <c r="C28" s="124" t="str">
        <f aca="false">IF(INDEX('03 Feature Comparison'!$O$6:$O$18,$D$4)="","n/a",INDEX('03 Feature Comparison'!$O$6:$O$18,$D$4))</f>
        <v>Unknown</v>
      </c>
      <c r="D28" s="124" t="str">
        <f aca="false">IF(INDEX('03 Feature Comparison'!$O$6:$O$18,$D$5)="","n/a",INDEX('03 Feature Comparison'!$O$6:$O$18,$D$5))</f>
        <v>Yes</v>
      </c>
      <c r="E28" s="124" t="str">
        <f aca="false">IF(INDEX('03 Feature Comparison'!$O$6:$O$18,$D$6)="","n/a",INDEX('03 Feature Comparison'!$O$6:$O$18,$D$6))</f>
        <v>Yes</v>
      </c>
      <c r="F28" s="58" t="str">
        <f aca="false">IF(AND(C28="",D28=""),"",IF(C28=D28,IF(C28="Yes","Shared","Same"),IF(AND(C28="Yes",D28="No"),"LOST",IF(AND(C28="No",D28="Yes"),"GAINED",IF(AND(C28="Unknown",OR(D28="Yes",D28="Conditional")),"Confirmed (A unknown)",IF(AND(C28="Unknown",D28="No"),"Absent (A unknown)",IF(OR(C28="Unknown",D28="Unknown"),"Unknown — verify",IF(AND(C28="Yes",D28="Conditional"),"Weaker",IF(AND(C28="Conditional",D28="Yes"),"Stronger",IF(AND(C28="Conditional",D28="No"),"LOST",IF(AND(C28="No",D28="Conditional"),"GAINED (conditional)",IF(OR(C28="N/A",D28="N/A"),"Not comparable","Different"))))))))))))</f>
        <v>Confirmed (A unknown)</v>
      </c>
      <c r="G28" s="58" t="str">
        <f aca="false">IF(AND(C28="",E28=""),"",IF(C28=E28,IF(C28="Yes","Shared","Same"),IF(AND(C28="Yes",E28="No"),"LOST",IF(AND(C28="No",E28="Yes"),"GAINED",IF(AND(C28="Unknown",OR(E28="Yes",E28="Conditional")),"Confirmed (A unknown)",IF(AND(C28="Unknown",E28="No"),"Absent (A unknown)",IF(OR(C28="Unknown",E28="Unknown"),"Unknown — verify",IF(AND(C28="Yes",E28="Conditional"),"Weaker",IF(AND(C28="Conditional",E28="Yes"),"Stronger",IF(AND(C28="Conditional",E28="No"),"LOST",IF(AND(C28="No",E28="Conditional"),"GAINED (conditional)",IF(OR(C28="N/A",E28="N/A"),"Not comparable","Different"))))))))))))</f>
        <v>Confirmed (A unknown)</v>
      </c>
    </row>
    <row r="29" customFormat="false" ht="15" hidden="false" customHeight="true" outlineLevel="0" collapsed="false">
      <c r="B29" s="20" t="s">
        <v>437</v>
      </c>
      <c r="C29" s="124" t="str">
        <f aca="false">IF(INDEX('03 Feature Comparison'!$P$6:$P$18,$D$4)="","n/a",INDEX('03 Feature Comparison'!$P$6:$P$18,$D$4))</f>
        <v>Unknown</v>
      </c>
      <c r="D29" s="124" t="str">
        <f aca="false">IF(INDEX('03 Feature Comparison'!$P$6:$P$18,$D$5)="","n/a",INDEX('03 Feature Comparison'!$P$6:$P$18,$D$5))</f>
        <v>Yes</v>
      </c>
      <c r="E29" s="124" t="str">
        <f aca="false">IF(INDEX('03 Feature Comparison'!$P$6:$P$18,$D$6)="","n/a",INDEX('03 Feature Comparison'!$P$6:$P$18,$D$6))</f>
        <v>Unknown</v>
      </c>
      <c r="F29" s="58" t="str">
        <f aca="false">IF(AND(C29="",D29=""),"",IF(C29=D29,IF(C29="Yes","Shared","Same"),IF(AND(C29="Yes",D29="No"),"LOST",IF(AND(C29="No",D29="Yes"),"GAINED",IF(AND(C29="Unknown",OR(D29="Yes",D29="Conditional")),"Confirmed (A unknown)",IF(AND(C29="Unknown",D29="No"),"Absent (A unknown)",IF(OR(C29="Unknown",D29="Unknown"),"Unknown — verify",IF(AND(C29="Yes",D29="Conditional"),"Weaker",IF(AND(C29="Conditional",D29="Yes"),"Stronger",IF(AND(C29="Conditional",D29="No"),"LOST",IF(AND(C29="No",D29="Conditional"),"GAINED (conditional)",IF(OR(C29="N/A",D29="N/A"),"Not comparable","Different"))))))))))))</f>
        <v>Confirmed (A unknown)</v>
      </c>
      <c r="G29" s="58" t="str">
        <f aca="false">IF(AND(C29="",E29=""),"",IF(C29=E29,IF(C29="Yes","Shared","Same"),IF(AND(C29="Yes",E29="No"),"LOST",IF(AND(C29="No",E29="Yes"),"GAINED",IF(AND(C29="Unknown",OR(E29="Yes",E29="Conditional")),"Confirmed (A unknown)",IF(AND(C29="Unknown",E29="No"),"Absent (A unknown)",IF(OR(C29="Unknown",E29="Unknown"),"Unknown — verify",IF(AND(C29="Yes",E29="Conditional"),"Weaker",IF(AND(C29="Conditional",E29="Yes"),"Stronger",IF(AND(C29="Conditional",E29="No"),"LOST",IF(AND(C29="No",E29="Conditional"),"GAINED (conditional)",IF(OR(C29="N/A",E29="N/A"),"Not comparable","Different"))))))))))))</f>
        <v>Same</v>
      </c>
    </row>
    <row r="30" customFormat="false" ht="15" hidden="false" customHeight="true" outlineLevel="0" collapsed="false">
      <c r="B30" s="20" t="s">
        <v>1402</v>
      </c>
      <c r="C30" s="127" t="n">
        <f aca="false">IF(INDEX('03 Feature Comparison'!$AG$6:$AG$18,$D$4)="","n/a",INDEX('03 Feature Comparison'!$AG$6:$AG$18,$D$4))</f>
        <v>10</v>
      </c>
      <c r="D30" s="127" t="n">
        <f aca="false">IF(INDEX('03 Feature Comparison'!$AG$6:$AG$18,$D$5)="","n/a",INDEX('03 Feature Comparison'!$AG$6:$AG$18,$D$5))</f>
        <v>3</v>
      </c>
      <c r="E30" s="127" t="str">
        <f aca="false">IF(INDEX('03 Feature Comparison'!$AG$6:$AG$18,$D$6)="","n/a",INDEX('03 Feature Comparison'!$AG$6:$AG$18,$D$6))</f>
        <v>n/a</v>
      </c>
      <c r="F30" s="126" t="n">
        <f aca="false">IF(AND(ISNUMBER(C30),ISNUMBER(D30)),D30-C30,"unknown")</f>
        <v>-7</v>
      </c>
      <c r="G30" s="126" t="str">
        <f aca="false">IF(AND(ISNUMBER(C30),ISNUMBER(E30)),E30-C30,"unknown")</f>
        <v>unknown</v>
      </c>
    </row>
    <row r="31" customFormat="false" ht="15" hidden="false" customHeight="true" outlineLevel="0" collapsed="false">
      <c r="B31" s="20" t="s">
        <v>285</v>
      </c>
      <c r="C31" s="127" t="n">
        <f aca="false">IF(INDEX('03 Feature Comparison'!$AF$6:$AF$18,$D$4)="","n/a",INDEX('03 Feature Comparison'!$AF$6:$AF$18,$D$4))</f>
        <v>265</v>
      </c>
      <c r="D31" s="127" t="n">
        <f aca="false">IF(INDEX('03 Feature Comparison'!$AF$6:$AF$18,$D$5)="","n/a",INDEX('03 Feature Comparison'!$AF$6:$AF$18,$D$5))</f>
        <v>530</v>
      </c>
      <c r="E31" s="127" t="str">
        <f aca="false">IF(INDEX('03 Feature Comparison'!$AF$6:$AF$18,$D$6)="","n/a",INDEX('03 Feature Comparison'!$AF$6:$AF$18,$D$6))</f>
        <v>n/a</v>
      </c>
      <c r="F31" s="126" t="n">
        <f aca="false">IF(AND(ISNUMBER(C31),ISNUMBER(D31)),D31-C31,"unknown")</f>
        <v>265</v>
      </c>
      <c r="G31" s="126" t="str">
        <f aca="false">IF(AND(ISNUMBER(C31),ISNUMBER(E31)),E31-C31,"unknown")</f>
        <v>unknown</v>
      </c>
    </row>
    <row r="32" customFormat="false" ht="15" hidden="false" customHeight="true" outlineLevel="0" collapsed="false">
      <c r="B32" s="20" t="s">
        <v>289</v>
      </c>
      <c r="C32" s="127" t="str">
        <f aca="false">IF(INDEX('03 Feature Comparison'!$AJ$6:$AJ$18,$D$4)="","n/a",INDEX('03 Feature Comparison'!$AJ$6:$AJ$18,$D$4))</f>
        <v>n/a</v>
      </c>
      <c r="D32" s="127" t="str">
        <f aca="false">IF(INDEX('03 Feature Comparison'!$AJ$6:$AJ$18,$D$5)="","n/a",INDEX('03 Feature Comparison'!$AJ$6:$AJ$18,$D$5))</f>
        <v>n/a</v>
      </c>
      <c r="E32" s="127" t="str">
        <f aca="false">IF(INDEX('03 Feature Comparison'!$AJ$6:$AJ$18,$D$6)="","n/a",INDEX('03 Feature Comparison'!$AJ$6:$AJ$18,$D$6))</f>
        <v>n/a</v>
      </c>
      <c r="F32" s="126" t="str">
        <f aca="false">IF(AND(ISNUMBER(C32),ISNUMBER(D32)),D32-C32,"unknown")</f>
        <v>unknown</v>
      </c>
      <c r="G32" s="126" t="str">
        <f aca="false">IF(AND(ISNUMBER(C32),ISNUMBER(E32)),E32-C32,"unknown")</f>
        <v>unknown</v>
      </c>
    </row>
    <row r="33" customFormat="false" ht="24" hidden="false" customHeight="true" outlineLevel="0" collapsed="false">
      <c r="B33" s="20" t="s">
        <v>292</v>
      </c>
      <c r="C33" s="124" t="str">
        <f aca="false">IF(INDEX('03 Feature Comparison'!$AM$6:$AM$18,$D$4)="","n/a",INDEX('03 Feature Comparison'!$AM$6:$AM$18,$D$4))</f>
        <v>IP68</v>
      </c>
      <c r="D33" s="124" t="str">
        <f aca="false">IF(INDEX('03 Feature Comparison'!$AM$6:$AM$18,$D$5)="","n/a",INDEX('03 Feature Comparison'!$AM$6:$AM$18,$D$5))</f>
        <v>IP67</v>
      </c>
      <c r="E33" s="124" t="str">
        <f aca="false">IF(INDEX('03 Feature Comparison'!$AM$6:$AM$18,$D$6)="","n/a",INDEX('03 Feature Comparison'!$AM$6:$AM$18,$D$6))</f>
        <v>Unknown</v>
      </c>
      <c r="F33" s="58" t="str">
        <f aca="false">IF(C33=D33,"Same","Different")</f>
        <v>Different</v>
      </c>
      <c r="G33" s="58" t="str">
        <f aca="false">IF(C33=E33,"Same","Different")</f>
        <v>Different</v>
      </c>
    </row>
    <row r="34" customFormat="false" ht="24" hidden="false" customHeight="true" outlineLevel="0" collapsed="false">
      <c r="B34" s="20" t="s">
        <v>291</v>
      </c>
      <c r="C34" s="124" t="str">
        <f aca="false">IF(INDEX('03 Feature Comparison'!$AL$6:$AL$18,$D$4)="","n/a",INDEX('03 Feature Comparison'!$AL$6:$AL$18,$D$4))</f>
        <v>Screenless</v>
      </c>
      <c r="D34" s="124" t="str">
        <f aca="false">IF(INDEX('03 Feature Comparison'!$AL$6:$AL$18,$D$5)="","n/a",INDEX('03 Feature Comparison'!$AL$6:$AL$18,$D$5))</f>
        <v>Screenless</v>
      </c>
      <c r="E34" s="124" t="str">
        <f aca="false">IF(INDEX('03 Feature Comparison'!$AL$6:$AL$18,$D$6)="","n/a",INDEX('03 Feature Comparison'!$AL$6:$AL$18,$D$6))</f>
        <v>Unknown</v>
      </c>
      <c r="F34" s="58" t="str">
        <f aca="false">IF(C34=D34,"Same","Different")</f>
        <v>Same</v>
      </c>
      <c r="G34" s="58" t="str">
        <f aca="false">IF(C34=E34,"Same","Different")</f>
        <v>Different</v>
      </c>
    </row>
    <row r="35" customFormat="false" ht="15" hidden="false" customHeight="true" outlineLevel="0" collapsed="false">
      <c r="B35" s="20" t="s">
        <v>1371</v>
      </c>
      <c r="C35" s="127" t="n">
        <f aca="false">IF(INDEX('08 TCO Model'!$Y$32:$Y$44,$D$4)="","n/a",INDEX('08 TCO Model'!$Y$32:$Y$44,$D$4))</f>
        <v>93.23</v>
      </c>
      <c r="D35" s="127" t="n">
        <f aca="false">IF(INDEX('08 TCO Model'!$Y$32:$Y$44,$D$5)="","n/a",INDEX('08 TCO Model'!$Y$32:$Y$44,$D$5))</f>
        <v>140.1386</v>
      </c>
      <c r="E35" s="127" t="n">
        <f aca="false">IF(INDEX('08 TCO Model'!$Y$32:$Y$44,$D$6)="","n/a",INDEX('08 TCO Model'!$Y$32:$Y$44,$D$6))</f>
        <v>140.1386</v>
      </c>
      <c r="F35" s="126" t="n">
        <f aca="false">IF(AND(ISNUMBER(C35),ISNUMBER(D35)),D35-C35,"unknown")</f>
        <v>46.9086</v>
      </c>
      <c r="G35" s="126" t="n">
        <f aca="false">IF(AND(ISNUMBER(C35),ISNUMBER(E35)),E35-C35,"unknown")</f>
        <v>46.9086</v>
      </c>
    </row>
    <row r="36" customFormat="false" ht="24" hidden="false" customHeight="true" outlineLevel="0" collapsed="false">
      <c r="B36" s="20" t="s">
        <v>1151</v>
      </c>
      <c r="C36" s="124" t="str">
        <f aca="false">IF(INDEX('08 TCO Model'!$H$32:$H$44,$D$4)="","n/a",INDEX('08 TCO Model'!$H$32:$H$44,$D$4))</f>
        <v>Supplier quotation</v>
      </c>
      <c r="D36" s="124" t="str">
        <f aca="false">IF(INDEX('08 TCO Model'!$H$32:$H$44,$D$5)="","n/a",INDEX('08 TCO Model'!$H$32:$H$44,$D$5))</f>
        <v>Public marketplace price</v>
      </c>
      <c r="E36" s="124" t="str">
        <f aca="false">IF(INDEX('08 TCO Model'!$H$32:$H$44,$D$6)="","n/a",INDEX('08 TCO Model'!$H$32:$H$44,$D$6))</f>
        <v>Analyst assumption</v>
      </c>
      <c r="F36" s="58" t="str">
        <f aca="false">IF(C36=D36,"Same","Different")</f>
        <v>Different</v>
      </c>
      <c r="G36" s="58" t="str">
        <f aca="false">IF(C36=E36,"Same","Different")</f>
        <v>Different</v>
      </c>
    </row>
    <row r="37" customFormat="false" ht="24" hidden="false" customHeight="true" outlineLevel="0" collapsed="false">
      <c r="B37" s="20" t="s">
        <v>1403</v>
      </c>
      <c r="C37" s="124" t="str">
        <f aca="false">IF(INDEX('04 API &amp; Integration'!$D$6:$D$18,$D$4)="","n/a",INDEX('04 API &amp; Integration'!$D$6:$D$18,$D$4))</f>
        <v>Phone-side BLE SDK (Veepoo HBandSDK, Android AAR + iOS framework)</v>
      </c>
      <c r="D37" s="124" t="str">
        <f aca="false">IF(INDEX('04 API &amp; Integration'!$D$6:$D$18,$D$5)="","n/a",INDEX('04 API &amp; Integration'!$D$6:$D$18,$D$5))</f>
        <v>Device-to-server TCP protocol (Wonlex 4G family); server address configurable; optional KSCtracker cloud</v>
      </c>
      <c r="E37" s="124" t="str">
        <f aca="false">IF(INDEX('04 API &amp; Integration'!$D$6:$D$18,$D$6)="","n/a",INDEX('04 API &amp; Integration'!$D$6:$D$18,$D$6))</f>
        <v>Unknown — presumably Wonlex 4G TCP protocol</v>
      </c>
      <c r="F37" s="58" t="str">
        <f aca="false">IF(C37=D37,"Same","Different")</f>
        <v>Different</v>
      </c>
      <c r="G37" s="58" t="str">
        <f aca="false">IF(C37=E37,"Same","Different")</f>
        <v>Different</v>
      </c>
    </row>
    <row r="38" customFormat="false" ht="24" hidden="false" customHeight="true" outlineLevel="0" collapsed="false">
      <c r="B38" s="20" t="s">
        <v>548</v>
      </c>
      <c r="C38" s="124" t="str">
        <f aca="false">IF(INDEX('04 API &amp; Integration'!$J$6:$J$18,$D$4)="","n/a",INDEX('04 API &amp; Integration'!$J$6:$J$18,$D$4))</f>
        <v>Unknown — SDK licence required</v>
      </c>
      <c r="D38" s="124" t="str">
        <f aca="false">IF(INDEX('04 API &amp; Integration'!$J$6:$J$18,$D$5)="","n/a",INDEX('04 API &amp; Integration'!$J$6:$J$18,$D$5))</f>
        <v>Unknown</v>
      </c>
      <c r="E38" s="124" t="str">
        <f aca="false">IF(INDEX('04 API &amp; Integration'!$J$6:$J$18,$D$6)="","n/a",INDEX('04 API &amp; Integration'!$J$6:$J$18,$D$6))</f>
        <v>Unknown</v>
      </c>
      <c r="F38" s="58" t="str">
        <f aca="false">IF(C38=D38,"Same","Different")</f>
        <v>Different</v>
      </c>
      <c r="G38" s="58" t="str">
        <f aca="false">IF(C38=E38,"Same","Different")</f>
        <v>Different</v>
      </c>
    </row>
    <row r="41" customFormat="false" ht="15" hidden="false" customHeight="false" outlineLevel="0" collapsed="false">
      <c r="B41" s="7" t="s">
        <v>1404</v>
      </c>
      <c r="C41" s="7"/>
      <c r="D41" s="7"/>
      <c r="E41" s="7"/>
      <c r="F41" s="7"/>
      <c r="G41" s="7"/>
      <c r="H41" s="7"/>
      <c r="I41" s="7"/>
    </row>
    <row r="42" customFormat="false" ht="15" hidden="false" customHeight="false" outlineLevel="0" collapsed="false">
      <c r="B42" s="8" t="s">
        <v>939</v>
      </c>
      <c r="C42" s="8" t="s">
        <v>949</v>
      </c>
      <c r="D42" s="8" t="str">
        <f aca="false">C4</f>
        <v>VB10</v>
      </c>
      <c r="E42" s="8" t="str">
        <f aca="false">C5</f>
        <v>CT34</v>
      </c>
      <c r="F42" s="8" t="str">
        <f aca="false">C6</f>
        <v>CT29</v>
      </c>
      <c r="G42" s="8" t="s">
        <v>1400</v>
      </c>
      <c r="H42" s="8" t="s">
        <v>1401</v>
      </c>
    </row>
    <row r="43" customFormat="false" ht="15" hidden="false" customHeight="false" outlineLevel="0" collapsed="false">
      <c r="B43" s="20" t="s">
        <v>1007</v>
      </c>
      <c r="C43" s="109" t="n">
        <f aca="false">'06 Needs-Feature Map'!$L$14</f>
        <v>0.170618184789444</v>
      </c>
      <c r="D43" s="23" t="n">
        <f aca="false">INDEX('06 Needs-Feature Map'!$D$113:$D$125,$D$4)</f>
        <v>0.25</v>
      </c>
      <c r="E43" s="23" t="n">
        <f aca="false">INDEX('06 Needs-Feature Map'!$D$113:$D$125,$D$5)</f>
        <v>1</v>
      </c>
      <c r="F43" s="23" t="n">
        <f aca="false">INDEX('06 Needs-Feature Map'!$D$113:$D$125,$D$6)</f>
        <v>1</v>
      </c>
      <c r="G43" s="12" t="str">
        <f aca="false">IF(ABS(E43-D43)&lt;0.005,"Same",IF(E43&gt;D43,"Better","Worse"))</f>
        <v>Better</v>
      </c>
      <c r="H43" s="12" t="str">
        <f aca="false">IF(ABS(F43-D43)&lt;0.005,"Same",IF(F43&gt;D43,"Better","Worse"))</f>
        <v>Better</v>
      </c>
    </row>
    <row r="44" customFormat="false" ht="15" hidden="false" customHeight="false" outlineLevel="0" collapsed="false">
      <c r="B44" s="20" t="s">
        <v>1010</v>
      </c>
      <c r="C44" s="109" t="n">
        <f aca="false">'06 Needs-Feature Map'!$L$15</f>
        <v>0.122507424392572</v>
      </c>
      <c r="D44" s="23" t="n">
        <f aca="false">INDEX('06 Needs-Feature Map'!$E$113:$E$125,$D$4)</f>
        <v>0.175</v>
      </c>
      <c r="E44" s="23" t="n">
        <f aca="false">INDEX('06 Needs-Feature Map'!$E$113:$E$125,$D$5)</f>
        <v>0.85</v>
      </c>
      <c r="F44" s="23" t="n">
        <f aca="false">INDEX('06 Needs-Feature Map'!$E$113:$E$125,$D$6)</f>
        <v>0.2875</v>
      </c>
      <c r="G44" s="12" t="str">
        <f aca="false">IF(ABS(E44-D44)&lt;0.005,"Same",IF(E44&gt;D44,"Better","Worse"))</f>
        <v>Better</v>
      </c>
      <c r="H44" s="12" t="str">
        <f aca="false">IF(ABS(F44-D44)&lt;0.005,"Same",IF(F44&gt;D44,"Better","Worse"))</f>
        <v>Better</v>
      </c>
    </row>
    <row r="45" customFormat="false" ht="15" hidden="false" customHeight="false" outlineLevel="0" collapsed="false">
      <c r="B45" s="20" t="s">
        <v>1013</v>
      </c>
      <c r="C45" s="109" t="n">
        <f aca="false">'06 Needs-Feature Map'!$L$16</f>
        <v>0.135138940527282</v>
      </c>
      <c r="D45" s="23" t="n">
        <f aca="false">INDEX('06 Needs-Feature Map'!$F$113:$F$125,$D$4)</f>
        <v>1</v>
      </c>
      <c r="E45" s="23" t="n">
        <f aca="false">INDEX('06 Needs-Feature Map'!$F$113:$F$125,$D$5)</f>
        <v>0.25</v>
      </c>
      <c r="F45" s="23" t="n">
        <f aca="false">INDEX('06 Needs-Feature Map'!$F$113:$F$125,$D$6)</f>
        <v>0.25</v>
      </c>
      <c r="G45" s="12" t="str">
        <f aca="false">IF(ABS(E45-D45)&lt;0.005,"Same",IF(E45&gt;D45,"Better","Worse"))</f>
        <v>Worse</v>
      </c>
      <c r="H45" s="12" t="str">
        <f aca="false">IF(ABS(F45-D45)&lt;0.005,"Same",IF(F45&gt;D45,"Better","Worse"))</f>
        <v>Worse</v>
      </c>
    </row>
    <row r="46" customFormat="false" ht="15" hidden="false" customHeight="false" outlineLevel="0" collapsed="false">
      <c r="B46" s="20" t="s">
        <v>1016</v>
      </c>
      <c r="C46" s="109" t="n">
        <f aca="false">'06 Needs-Feature Map'!$L$17</f>
        <v>0.147869093484185</v>
      </c>
      <c r="D46" s="23" t="n">
        <f aca="false">INDEX('06 Needs-Feature Map'!$G$113:$G$125,$D$4)</f>
        <v>0.55</v>
      </c>
      <c r="E46" s="23" t="n">
        <f aca="false">INDEX('06 Needs-Feature Map'!$G$113:$G$125,$D$5)</f>
        <v>0.73</v>
      </c>
      <c r="F46" s="23" t="n">
        <f aca="false">INDEX('06 Needs-Feature Map'!$G$113:$G$125,$D$6)</f>
        <v>0.2875</v>
      </c>
      <c r="G46" s="12" t="str">
        <f aca="false">IF(ABS(E46-D46)&lt;0.005,"Same",IF(E46&gt;D46,"Better","Worse"))</f>
        <v>Better</v>
      </c>
      <c r="H46" s="12" t="str">
        <f aca="false">IF(ABS(F46-D46)&lt;0.005,"Same",IF(F46&gt;D46,"Better","Worse"))</f>
        <v>Worse</v>
      </c>
    </row>
    <row r="47" customFormat="false" ht="15" hidden="false" customHeight="false" outlineLevel="0" collapsed="false">
      <c r="B47" s="20" t="s">
        <v>1019</v>
      </c>
      <c r="C47" s="109" t="n">
        <f aca="false">'06 Needs-Feature Map'!$L$18</f>
        <v>0.1197410754697</v>
      </c>
      <c r="D47" s="23" t="n">
        <f aca="false">INDEX('06 Needs-Feature Map'!$H$113:$H$125,$D$4)</f>
        <v>1</v>
      </c>
      <c r="E47" s="23" t="n">
        <f aca="false">INDEX('06 Needs-Feature Map'!$H$113:$H$125,$D$5)</f>
        <v>1</v>
      </c>
      <c r="F47" s="23" t="n">
        <f aca="false">INDEX('06 Needs-Feature Map'!$H$113:$H$125,$D$6)</f>
        <v>0.25</v>
      </c>
      <c r="G47" s="12" t="str">
        <f aca="false">IF(ABS(E47-D47)&lt;0.005,"Same",IF(E47&gt;D47,"Better","Worse"))</f>
        <v>Same</v>
      </c>
      <c r="H47" s="12" t="str">
        <f aca="false">IF(ABS(F47-D47)&lt;0.005,"Same",IF(F47&gt;D47,"Better","Worse"))</f>
        <v>Worse</v>
      </c>
    </row>
    <row r="48" customFormat="false" ht="15" hidden="false" customHeight="false" outlineLevel="0" collapsed="false">
      <c r="B48" s="20" t="s">
        <v>1022</v>
      </c>
      <c r="C48" s="109" t="n">
        <f aca="false">'06 Needs-Feature Map'!$L$19</f>
        <v>0.121051468079564</v>
      </c>
      <c r="D48" s="23" t="n">
        <f aca="false">INDEX('06 Needs-Feature Map'!$I$113:$I$125,$D$4)</f>
        <v>0.775</v>
      </c>
      <c r="E48" s="23" t="n">
        <f aca="false">INDEX('06 Needs-Feature Map'!$I$113:$I$125,$D$5)</f>
        <v>0.25</v>
      </c>
      <c r="F48" s="23" t="n">
        <f aca="false">INDEX('06 Needs-Feature Map'!$I$113:$I$125,$D$6)</f>
        <v>0.25</v>
      </c>
      <c r="G48" s="12" t="str">
        <f aca="false">IF(ABS(E48-D48)&lt;0.005,"Same",IF(E48&gt;D48,"Better","Worse"))</f>
        <v>Worse</v>
      </c>
      <c r="H48" s="12" t="str">
        <f aca="false">IF(ABS(F48-D48)&lt;0.005,"Same",IF(F48&gt;D48,"Better","Worse"))</f>
        <v>Worse</v>
      </c>
    </row>
    <row r="49" customFormat="false" ht="15" hidden="false" customHeight="false" outlineLevel="0" collapsed="false">
      <c r="B49" s="20" t="s">
        <v>1025</v>
      </c>
      <c r="C49" s="109" t="n">
        <f aca="false">'06 Needs-Feature Map'!$L$20</f>
        <v>0.111812008503223</v>
      </c>
      <c r="D49" s="23" t="n">
        <f aca="false">INDEX('06 Needs-Feature Map'!$J$113:$J$125,$D$4)</f>
        <v>1</v>
      </c>
      <c r="E49" s="23" t="n">
        <f aca="false">INDEX('06 Needs-Feature Map'!$J$113:$J$125,$D$5)</f>
        <v>0.25</v>
      </c>
      <c r="F49" s="23" t="n">
        <f aca="false">INDEX('06 Needs-Feature Map'!$J$113:$J$125,$D$6)</f>
        <v>0.25</v>
      </c>
      <c r="G49" s="12" t="str">
        <f aca="false">IF(ABS(E49-D49)&lt;0.005,"Same",IF(E49&gt;D49,"Better","Worse"))</f>
        <v>Worse</v>
      </c>
      <c r="H49" s="12" t="str">
        <f aca="false">IF(ABS(F49-D49)&lt;0.005,"Same",IF(F49&gt;D49,"Better","Worse"))</f>
        <v>Worse</v>
      </c>
    </row>
    <row r="50" customFormat="false" ht="15" hidden="false" customHeight="false" outlineLevel="0" collapsed="false">
      <c r="B50" s="20" t="s">
        <v>1027</v>
      </c>
      <c r="C50" s="109" t="n">
        <f aca="false">'06 Needs-Feature Map'!$L$21</f>
        <v>0.0665224107320992</v>
      </c>
      <c r="D50" s="23" t="n">
        <f aca="false">INDEX('06 Needs-Feature Map'!$K$113:$K$125,$D$4)</f>
        <v>0.25</v>
      </c>
      <c r="E50" s="23" t="n">
        <f aca="false">INDEX('06 Needs-Feature Map'!$K$113:$K$125,$D$5)</f>
        <v>0.25</v>
      </c>
      <c r="F50" s="23" t="n">
        <f aca="false">INDEX('06 Needs-Feature Map'!$K$113:$K$125,$D$6)</f>
        <v>0.25</v>
      </c>
      <c r="G50" s="12" t="str">
        <f aca="false">IF(ABS(E50-D50)&lt;0.005,"Same",IF(E50&gt;D50,"Better","Worse"))</f>
        <v>Same</v>
      </c>
      <c r="H50" s="12" t="str">
        <f aca="false">IF(ABS(F50-D50)&lt;0.005,"Same",IF(F50&gt;D50,"Better","Worse"))</f>
        <v>Same</v>
      </c>
    </row>
    <row r="51" customFormat="false" ht="15" hidden="false" customHeight="false" outlineLevel="0" collapsed="false">
      <c r="B51" s="20" t="s">
        <v>1029</v>
      </c>
      <c r="C51" s="109" t="n">
        <f aca="false">'06 Needs-Feature Map'!$L$22</f>
        <v>0.00473939402192901</v>
      </c>
      <c r="D51" s="23" t="n">
        <f aca="false">INDEX('06 Needs-Feature Map'!$L$113:$L$125,$D$4)</f>
        <v>0</v>
      </c>
      <c r="E51" s="23" t="n">
        <f aca="false">INDEX('06 Needs-Feature Map'!$L$113:$L$125,$D$5)</f>
        <v>0.7</v>
      </c>
      <c r="F51" s="23" t="n">
        <f aca="false">INDEX('06 Needs-Feature Map'!$L$113:$L$125,$D$6)</f>
        <v>0.25</v>
      </c>
      <c r="G51" s="12" t="str">
        <f aca="false">IF(ABS(E51-D51)&lt;0.005,"Same",IF(E51&gt;D51,"Better","Worse"))</f>
        <v>Better</v>
      </c>
      <c r="H51" s="12" t="str">
        <f aca="false">IF(ABS(F51-D51)&lt;0.005,"Same",IF(F51&gt;D51,"Better","Worse"))</f>
        <v>Better</v>
      </c>
    </row>
    <row r="54" customFormat="false" ht="15" hidden="false" customHeight="false" outlineLevel="0" collapsed="false">
      <c r="B54" s="7" t="s">
        <v>1405</v>
      </c>
      <c r="C54" s="7"/>
      <c r="D54" s="7"/>
      <c r="E54" s="7"/>
      <c r="F54" s="7"/>
      <c r="G54" s="7"/>
      <c r="H54" s="7"/>
      <c r="I54" s="7"/>
      <c r="J54" s="7"/>
    </row>
    <row r="55" customFormat="false" ht="27.75" hidden="false" customHeight="true" outlineLevel="0" collapsed="false">
      <c r="B55" s="8" t="s">
        <v>981</v>
      </c>
      <c r="C55" s="8" t="s">
        <v>412</v>
      </c>
      <c r="D55" s="8" t="s">
        <v>1406</v>
      </c>
      <c r="E55" s="8" t="str">
        <f aca="false">C4</f>
        <v>VB10</v>
      </c>
      <c r="F55" s="8" t="str">
        <f aca="false">C5</f>
        <v>CT34</v>
      </c>
      <c r="G55" s="8" t="str">
        <f aca="false">C6</f>
        <v>CT29</v>
      </c>
      <c r="H55" s="8" t="s">
        <v>1400</v>
      </c>
      <c r="I55" s="8" t="s">
        <v>1401</v>
      </c>
      <c r="J55" s="8" t="s">
        <v>1407</v>
      </c>
    </row>
    <row r="56" customFormat="false" ht="15" hidden="false" customHeight="false" outlineLevel="0" collapsed="false">
      <c r="B56" s="42" t="s">
        <v>380</v>
      </c>
      <c r="C56" s="54" t="s">
        <v>436</v>
      </c>
      <c r="D56" s="83" t="n">
        <f aca="false">'06 Needs-Feature Map'!$M$36</f>
        <v>0.170618184789444</v>
      </c>
      <c r="E56" s="128" t="str">
        <f aca="false">INDEX('03 Feature Comparison'!$O$6:$O$18,$D$4)</f>
        <v>Unknown</v>
      </c>
      <c r="F56" s="128" t="str">
        <f aca="false">INDEX('03 Feature Comparison'!$O$6:$O$18,$D$5)</f>
        <v>Yes</v>
      </c>
      <c r="G56" s="128" t="str">
        <f aca="false">INDEX('03 Feature Comparison'!$O$6:$O$18,$D$6)</f>
        <v>Yes</v>
      </c>
      <c r="H56" s="128" t="str">
        <f aca="false">IF(AND(E56="",F56=""),"",IF(E56=F56,IF(E56="Yes","Shared","Same"),IF(AND(E56="Yes",F56="No"),"LOST",IF(AND(E56="No",F56="Yes"),"GAINED",IF(AND(E56="Unknown",OR(F56="Yes",F56="Conditional")),"Confirmed (A unknown)",IF(AND(E56="Unknown",F56="No"),"Absent (A unknown)",IF(OR(E56="Unknown",F56="Unknown"),"Unknown — verify",IF(AND(E56="Yes",F56="Conditional"),"Weaker",IF(AND(E56="Conditional",F56="Yes"),"Stronger",IF(AND(E56="Conditional",F56="No"),"LOST",IF(AND(E56="No",F56="Conditional"),"GAINED (conditional)",IF(OR(E56="N/A",F56="N/A"),"Not comparable","Different"))))))))))))</f>
        <v>Confirmed (A unknown)</v>
      </c>
      <c r="I56" s="128" t="str">
        <f aca="false">IF(AND(E56="",G56=""),"",IF(E56=G56,IF(E56="Yes","Shared","Same"),IF(AND(E56="Yes",G56="No"),"LOST",IF(AND(E56="No",G56="Yes"),"GAINED",IF(AND(E56="Unknown",OR(G56="Yes",G56="Conditional")),"Confirmed (A unknown)",IF(AND(E56="Unknown",G56="No"),"Absent (A unknown)",IF(OR(E56="Unknown",G56="Unknown"),"Unknown — verify",IF(AND(E56="Yes",G56="Conditional"),"Weaker",IF(AND(E56="Conditional",G56="Yes"),"Stronger",IF(AND(E56="Conditional",G56="No"),"LOST",IF(AND(E56="No",G56="Conditional"),"GAINED (conditional)",IF(OR(E56="N/A",G56="N/A"),"Not comparable","Different"))))))))))))</f>
        <v>Confirmed (A unknown)</v>
      </c>
      <c r="J56" s="129" t="str">
        <f aca="false">IF(AND(D56&gt;=$J$4,OR(LEFT(H56,4)="LOST",LEFT(H56,6)="GAINED",LEFT(I56,4)="LOST",LEFT(I56,6)="GAINED")),"◆ "&amp;IF(OR(LEFT(H56,4)="LOST",LEFT(I56,4)="LOST"),"loss","gain")&amp;" on a high-weight feature","")</f>
        <v/>
      </c>
    </row>
    <row r="57" customFormat="false" ht="15" hidden="false" customHeight="false" outlineLevel="0" collapsed="false">
      <c r="B57" s="42" t="s">
        <v>378</v>
      </c>
      <c r="C57" s="54" t="s">
        <v>432</v>
      </c>
      <c r="D57" s="83" t="n">
        <f aca="false">'06 Needs-Feature Map'!$M$34</f>
        <v>0.132082849582316</v>
      </c>
      <c r="E57" s="128" t="str">
        <f aca="false">INDEX('03 Feature Comparison'!$M$6:$M$18,$D$4)</f>
        <v>Yes</v>
      </c>
      <c r="F57" s="128" t="str">
        <f aca="false">INDEX('03 Feature Comparison'!$M$6:$M$18,$D$5)</f>
        <v>Unknown</v>
      </c>
      <c r="G57" s="128" t="str">
        <f aca="false">INDEX('03 Feature Comparison'!$M$6:$M$18,$D$6)</f>
        <v>Unknown</v>
      </c>
      <c r="H57" s="128" t="str">
        <f aca="false">IF(AND(E57="",F57=""),"",IF(E57=F57,IF(E57="Yes","Shared","Same"),IF(AND(E57="Yes",F57="No"),"LOST",IF(AND(E57="No",F57="Yes"),"GAINED",IF(AND(E57="Unknown",OR(F57="Yes",F57="Conditional")),"Confirmed (A unknown)",IF(AND(E57="Unknown",F57="No"),"Absent (A unknown)",IF(OR(E57="Unknown",F57="Unknown"),"Unknown — verify",IF(AND(E57="Yes",F57="Conditional"),"Weaker",IF(AND(E57="Conditional",F57="Yes"),"Stronger",IF(AND(E57="Conditional",F57="No"),"LOST",IF(AND(E57="No",F57="Conditional"),"GAINED (conditional)",IF(OR(E57="N/A",F57="N/A"),"Not comparable","Different"))))))))))))</f>
        <v>Unknown — verify</v>
      </c>
      <c r="I57" s="128" t="str">
        <f aca="false">IF(AND(E57="",G57=""),"",IF(E57=G57,IF(E57="Yes","Shared","Same"),IF(AND(E57="Yes",G57="No"),"LOST",IF(AND(E57="No",G57="Yes"),"GAINED",IF(AND(E57="Unknown",OR(G57="Yes",G57="Conditional")),"Confirmed (A unknown)",IF(AND(E57="Unknown",G57="No"),"Absent (A unknown)",IF(OR(E57="Unknown",G57="Unknown"),"Unknown — verify",IF(AND(E57="Yes",G57="Conditional"),"Weaker",IF(AND(E57="Conditional",G57="Yes"),"Stronger",IF(AND(E57="Conditional",G57="No"),"LOST",IF(AND(E57="No",G57="Conditional"),"GAINED (conditional)",IF(OR(E57="N/A",G57="N/A"),"Not comparable","Different"))))))))))))</f>
        <v>Unknown — verify</v>
      </c>
      <c r="J57" s="129" t="str">
        <f aca="false">IF(AND(D57&gt;=$J$4,OR(LEFT(H57,4)="LOST",LEFT(H57,6)="GAINED",LEFT(I57,4)="LOST",LEFT(I57,6)="GAINED")),"◆ "&amp;IF(OR(LEFT(H57,4)="LOST",LEFT(I57,4)="LOST"),"loss","gain")&amp;" on a high-weight feature","")</f>
        <v/>
      </c>
    </row>
    <row r="58" customFormat="false" ht="15" hidden="false" customHeight="false" outlineLevel="0" collapsed="false">
      <c r="B58" s="42" t="s">
        <v>390</v>
      </c>
      <c r="C58" s="54" t="s">
        <v>451</v>
      </c>
      <c r="D58" s="83" t="n">
        <f aca="false">'06 Needs-Feature Map'!$M$46</f>
        <v>0.1197410754697</v>
      </c>
      <c r="E58" s="128" t="str">
        <f aca="false">INDEX('03 Feature Comparison'!$Y$6:$Y$18,$D$4)</f>
        <v>Yes</v>
      </c>
      <c r="F58" s="128" t="str">
        <f aca="false">INDEX('03 Feature Comparison'!$Y$6:$Y$18,$D$5)</f>
        <v>Yes</v>
      </c>
      <c r="G58" s="128" t="str">
        <f aca="false">INDEX('03 Feature Comparison'!$Y$6:$Y$18,$D$6)</f>
        <v>Unknown</v>
      </c>
      <c r="H58" s="128" t="str">
        <f aca="false">IF(AND(E58="",F58=""),"",IF(E58=F58,IF(E58="Yes","Shared","Same"),IF(AND(E58="Yes",F58="No"),"LOST",IF(AND(E58="No",F58="Yes"),"GAINED",IF(AND(E58="Unknown",OR(F58="Yes",F58="Conditional")),"Confirmed (A unknown)",IF(AND(E58="Unknown",F58="No"),"Absent (A unknown)",IF(OR(E58="Unknown",F58="Unknown"),"Unknown — verify",IF(AND(E58="Yes",F58="Conditional"),"Weaker",IF(AND(E58="Conditional",F58="Yes"),"Stronger",IF(AND(E58="Conditional",F58="No"),"LOST",IF(AND(E58="No",F58="Conditional"),"GAINED (conditional)",IF(OR(E58="N/A",F58="N/A"),"Not comparable","Different"))))))))))))</f>
        <v>Shared</v>
      </c>
      <c r="I58" s="128" t="str">
        <f aca="false">IF(AND(E58="",G58=""),"",IF(E58=G58,IF(E58="Yes","Shared","Same"),IF(AND(E58="Yes",G58="No"),"LOST",IF(AND(E58="No",G58="Yes"),"GAINED",IF(AND(E58="Unknown",OR(G58="Yes",G58="Conditional")),"Confirmed (A unknown)",IF(AND(E58="Unknown",G58="No"),"Absent (A unknown)",IF(OR(E58="Unknown",G58="Unknown"),"Unknown — verify",IF(AND(E58="Yes",G58="Conditional"),"Weaker",IF(AND(E58="Conditional",G58="Yes"),"Stronger",IF(AND(E58="Conditional",G58="No"),"LOST",IF(AND(E58="No",G58="Conditional"),"GAINED (conditional)",IF(OR(E58="N/A",G58="N/A"),"Not comparable","Different"))))))))))))</f>
        <v>Unknown — verify</v>
      </c>
      <c r="J58" s="129" t="str">
        <f aca="false">IF(AND(D58&gt;=$J$4,OR(LEFT(H58,4)="LOST",LEFT(H58,6)="GAINED",LEFT(I58,4)="LOST",LEFT(I58,6)="GAINED")),"◆ "&amp;IF(OR(LEFT(H58,4)="LOST",LEFT(I58,4)="LOST"),"loss","gain")&amp;" on a high-weight feature","")</f>
        <v/>
      </c>
    </row>
    <row r="59" customFormat="false" ht="15" hidden="false" customHeight="false" outlineLevel="0" collapsed="false">
      <c r="B59" s="42" t="s">
        <v>388</v>
      </c>
      <c r="C59" s="54" t="s">
        <v>448</v>
      </c>
      <c r="D59" s="83" t="n">
        <f aca="false">'06 Needs-Feature Map'!$M$44</f>
        <v>0.0665224107320992</v>
      </c>
      <c r="E59" s="128" t="str">
        <f aca="false">INDEX('03 Feature Comparison'!$W$6:$W$18,$D$4)</f>
        <v>Unknown</v>
      </c>
      <c r="F59" s="128" t="str">
        <f aca="false">INDEX('03 Feature Comparison'!$W$6:$W$18,$D$5)</f>
        <v>Unknown</v>
      </c>
      <c r="G59" s="128" t="str">
        <f aca="false">INDEX('03 Feature Comparison'!$W$6:$W$18,$D$6)</f>
        <v>Unknown</v>
      </c>
      <c r="H59" s="128" t="str">
        <f aca="false">IF(AND(E59="",F59=""),"",IF(E59=F59,IF(E59="Yes","Shared","Same"),IF(AND(E59="Yes",F59="No"),"LOST",IF(AND(E59="No",F59="Yes"),"GAINED",IF(AND(E59="Unknown",OR(F59="Yes",F59="Conditional")),"Confirmed (A unknown)",IF(AND(E59="Unknown",F59="No"),"Absent (A unknown)",IF(OR(E59="Unknown",F59="Unknown"),"Unknown — verify",IF(AND(E59="Yes",F59="Conditional"),"Weaker",IF(AND(E59="Conditional",F59="Yes"),"Stronger",IF(AND(E59="Conditional",F59="No"),"LOST",IF(AND(E59="No",F59="Conditional"),"GAINED (conditional)",IF(OR(E59="N/A",F59="N/A"),"Not comparable","Different"))))))))))))</f>
        <v>Same</v>
      </c>
      <c r="I59" s="128" t="str">
        <f aca="false">IF(AND(E59="",G59=""),"",IF(E59=G59,IF(E59="Yes","Shared","Same"),IF(AND(E59="Yes",G59="No"),"LOST",IF(AND(E59="No",G59="Yes"),"GAINED",IF(AND(E59="Unknown",OR(G59="Yes",G59="Conditional")),"Confirmed (A unknown)",IF(AND(E59="Unknown",G59="No"),"Absent (A unknown)",IF(OR(E59="Unknown",G59="Unknown"),"Unknown — verify",IF(AND(E59="Yes",G59="Conditional"),"Weaker",IF(AND(E59="Conditional",G59="Yes"),"Stronger",IF(AND(E59="Conditional",G59="No"),"LOST",IF(AND(E59="No",G59="Conditional"),"GAINED (conditional)",IF(OR(E59="N/A",G59="N/A"),"Not comparable","Different"))))))))))))</f>
        <v>Same</v>
      </c>
      <c r="J59" s="129" t="str">
        <f aca="false">IF(AND(D59&gt;=$J$4,OR(LEFT(H59,4)="LOST",LEFT(H59,6)="GAINED",LEFT(I59,4)="LOST",LEFT(I59,6)="GAINED")),"◆ "&amp;IF(OR(LEFT(H59,4)="LOST",LEFT(I59,4)="LOST"),"loss","gain")&amp;" on a high-weight feature","")</f>
        <v/>
      </c>
    </row>
    <row r="60" customFormat="false" ht="15" hidden="false" customHeight="false" outlineLevel="0" collapsed="false">
      <c r="B60" s="42" t="s">
        <v>381</v>
      </c>
      <c r="C60" s="54" t="s">
        <v>437</v>
      </c>
      <c r="D60" s="83" t="n">
        <f aca="false">'06 Needs-Feature Map'!$M$37</f>
        <v>0.0490029697570289</v>
      </c>
      <c r="E60" s="128" t="str">
        <f aca="false">INDEX('03 Feature Comparison'!$P$6:$P$18,$D$4)</f>
        <v>Unknown</v>
      </c>
      <c r="F60" s="128" t="str">
        <f aca="false">INDEX('03 Feature Comparison'!$P$6:$P$18,$D$5)</f>
        <v>Yes</v>
      </c>
      <c r="G60" s="128" t="str">
        <f aca="false">INDEX('03 Feature Comparison'!$P$6:$P$18,$D$6)</f>
        <v>Unknown</v>
      </c>
      <c r="H60" s="128" t="str">
        <f aca="false">IF(AND(E60="",F60=""),"",IF(E60=F60,IF(E60="Yes","Shared","Same"),IF(AND(E60="Yes",F60="No"),"LOST",IF(AND(E60="No",F60="Yes"),"GAINED",IF(AND(E60="Unknown",OR(F60="Yes",F60="Conditional")),"Confirmed (A unknown)",IF(AND(E60="Unknown",F60="No"),"Absent (A unknown)",IF(OR(E60="Unknown",F60="Unknown"),"Unknown — verify",IF(AND(E60="Yes",F60="Conditional"),"Weaker",IF(AND(E60="Conditional",F60="Yes"),"Stronger",IF(AND(E60="Conditional",F60="No"),"LOST",IF(AND(E60="No",F60="Conditional"),"GAINED (conditional)",IF(OR(E60="N/A",F60="N/A"),"Not comparable","Different"))))))))))))</f>
        <v>Confirmed (A unknown)</v>
      </c>
      <c r="I60" s="128" t="str">
        <f aca="false">IF(AND(E60="",G60=""),"",IF(E60=G60,IF(E60="Yes","Shared","Same"),IF(AND(E60="Yes",G60="No"),"LOST",IF(AND(E60="No",G60="Yes"),"GAINED",IF(AND(E60="Unknown",OR(G60="Yes",G60="Conditional")),"Confirmed (A unknown)",IF(AND(E60="Unknown",G60="No"),"Absent (A unknown)",IF(OR(E60="Unknown",G60="Unknown"),"Unknown — verify",IF(AND(E60="Yes",G60="Conditional"),"Weaker",IF(AND(E60="Conditional",G60="Yes"),"Stronger",IF(AND(E60="Conditional",G60="No"),"LOST",IF(AND(E60="No",G60="Conditional"),"GAINED (conditional)",IF(OR(E60="N/A",G60="N/A"),"Not comparable","Different"))))))))))))</f>
        <v>Same</v>
      </c>
      <c r="J60" s="129" t="str">
        <f aca="false">IF(AND(D60&gt;=$J$4,OR(LEFT(H60,4)="LOST",LEFT(H60,6)="GAINED",LEFT(I60,4)="LOST",LEFT(I60,6)="GAINED")),"◆ "&amp;IF(OR(LEFT(H60,4)="LOST",LEFT(I60,4)="LOST"),"loss","gain")&amp;" on a high-weight feature","")</f>
        <v/>
      </c>
    </row>
    <row r="61" customFormat="false" ht="15" hidden="false" customHeight="false" outlineLevel="0" collapsed="false">
      <c r="B61" s="42" t="s">
        <v>386</v>
      </c>
      <c r="C61" s="54" t="s">
        <v>445</v>
      </c>
      <c r="D61" s="83" t="n">
        <f aca="false">'06 Needs-Feature Map'!$M$42</f>
        <v>0.0405564776815136</v>
      </c>
      <c r="E61" s="128" t="str">
        <f aca="false">INDEX('03 Feature Comparison'!$U$6:$U$18,$D$4)</f>
        <v>No</v>
      </c>
      <c r="F61" s="128" t="str">
        <f aca="false">INDEX('03 Feature Comparison'!$U$6:$U$18,$D$5)</f>
        <v>Yes</v>
      </c>
      <c r="G61" s="128" t="str">
        <f aca="false">INDEX('03 Feature Comparison'!$U$6:$U$18,$D$6)</f>
        <v>Conditional</v>
      </c>
      <c r="H61" s="128" t="str">
        <f aca="false">IF(AND(E61="",F61=""),"",IF(E61=F61,IF(E61="Yes","Shared","Same"),IF(AND(E61="Yes",F61="No"),"LOST",IF(AND(E61="No",F61="Yes"),"GAINED",IF(AND(E61="Unknown",OR(F61="Yes",F61="Conditional")),"Confirmed (A unknown)",IF(AND(E61="Unknown",F61="No"),"Absent (A unknown)",IF(OR(E61="Unknown",F61="Unknown"),"Unknown — verify",IF(AND(E61="Yes",F61="Conditional"),"Weaker",IF(AND(E61="Conditional",F61="Yes"),"Stronger",IF(AND(E61="Conditional",F61="No"),"LOST",IF(AND(E61="No",F61="Conditional"),"GAINED (conditional)",IF(OR(E61="N/A",F61="N/A"),"Not comparable","Different"))))))))))))</f>
        <v>GAINED</v>
      </c>
      <c r="I61" s="128" t="str">
        <f aca="false">IF(AND(E61="",G61=""),"",IF(E61=G61,IF(E61="Yes","Shared","Same"),IF(AND(E61="Yes",G61="No"),"LOST",IF(AND(E61="No",G61="Yes"),"GAINED",IF(AND(E61="Unknown",OR(G61="Yes",G61="Conditional")),"Confirmed (A unknown)",IF(AND(E61="Unknown",G61="No"),"Absent (A unknown)",IF(OR(E61="Unknown",G61="Unknown"),"Unknown — verify",IF(AND(E61="Yes",G61="Conditional"),"Weaker",IF(AND(E61="Conditional",G61="Yes"),"Stronger",IF(AND(E61="Conditional",G61="No"),"LOST",IF(AND(E61="No",G61="Conditional"),"GAINED (conditional)",IF(OR(E61="N/A",G61="N/A"),"Not comparable","Different"))))))))))))</f>
        <v>GAINED (conditional)</v>
      </c>
      <c r="J61" s="129" t="str">
        <f aca="false">IF(AND(D61&gt;=$J$4,OR(LEFT(H61,4)="LOST",LEFT(H61,6)="GAINED",LEFT(I61,4)="LOST",LEFT(I61,6)="GAINED")),"◆ "&amp;IF(OR(LEFT(H61,4)="LOST",LEFT(I61,4)="LOST"),"loss","gain")&amp;" on a high-weight feature","")</f>
        <v>◆ gain on a high-weight feature</v>
      </c>
    </row>
    <row r="62" customFormat="false" ht="15" hidden="false" customHeight="false" outlineLevel="0" collapsed="false">
      <c r="B62" s="42" t="s">
        <v>387</v>
      </c>
      <c r="C62" s="54" t="s">
        <v>447</v>
      </c>
      <c r="D62" s="83" t="n">
        <f aca="false">'06 Needs-Feature Map'!$M$43</f>
        <v>0.0369672733710463</v>
      </c>
      <c r="E62" s="128" t="str">
        <f aca="false">INDEX('03 Feature Comparison'!$V$6:$V$18,$D$4)</f>
        <v>Yes</v>
      </c>
      <c r="F62" s="128" t="str">
        <f aca="false">INDEX('03 Feature Comparison'!$V$6:$V$18,$D$5)</f>
        <v>Yes</v>
      </c>
      <c r="G62" s="128" t="str">
        <f aca="false">INDEX('03 Feature Comparison'!$V$6:$V$18,$D$6)</f>
        <v>Unknown</v>
      </c>
      <c r="H62" s="128" t="str">
        <f aca="false">IF(AND(E62="",F62=""),"",IF(E62=F62,IF(E62="Yes","Shared","Same"),IF(AND(E62="Yes",F62="No"),"LOST",IF(AND(E62="No",F62="Yes"),"GAINED",IF(AND(E62="Unknown",OR(F62="Yes",F62="Conditional")),"Confirmed (A unknown)",IF(AND(E62="Unknown",F62="No"),"Absent (A unknown)",IF(OR(E62="Unknown",F62="Unknown"),"Unknown — verify",IF(AND(E62="Yes",F62="Conditional"),"Weaker",IF(AND(E62="Conditional",F62="Yes"),"Stronger",IF(AND(E62="Conditional",F62="No"),"LOST",IF(AND(E62="No",F62="Conditional"),"GAINED (conditional)",IF(OR(E62="N/A",F62="N/A"),"Not comparable","Different"))))))))))))</f>
        <v>Shared</v>
      </c>
      <c r="I62" s="128" t="str">
        <f aca="false">IF(AND(E62="",G62=""),"",IF(E62=G62,IF(E62="Yes","Shared","Same"),IF(AND(E62="Yes",G62="No"),"LOST",IF(AND(E62="No",G62="Yes"),"GAINED",IF(AND(E62="Unknown",OR(G62="Yes",G62="Conditional")),"Confirmed (A unknown)",IF(AND(E62="Unknown",G62="No"),"Absent (A unknown)",IF(OR(E62="Unknown",G62="Unknown"),"Unknown — verify",IF(AND(E62="Yes",G62="Conditional"),"Weaker",IF(AND(E62="Conditional",G62="Yes"),"Stronger",IF(AND(E62="Conditional",G62="No"),"LOST",IF(AND(E62="No",G62="Conditional"),"GAINED (conditional)",IF(OR(E62="N/A",G62="N/A"),"Not comparable","Different"))))))))))))</f>
        <v>Unknown — verify</v>
      </c>
      <c r="J62" s="129" t="str">
        <f aca="false">IF(AND(D62&gt;=$J$4,OR(LEFT(H62,4)="LOST",LEFT(H62,6)="GAINED",LEFT(I62,4)="LOST",LEFT(I62,6)="GAINED")),"◆ "&amp;IF(OR(LEFT(H62,4)="LOST",LEFT(I62,4)="LOST"),"loss","gain")&amp;" on a high-weight feature","")</f>
        <v/>
      </c>
    </row>
    <row r="63" customFormat="false" ht="15" hidden="false" customHeight="false" outlineLevel="0" collapsed="false">
      <c r="B63" s="42" t="s">
        <v>374</v>
      </c>
      <c r="C63" s="54" t="s">
        <v>424</v>
      </c>
      <c r="D63" s="83" t="n">
        <f aca="false">'06 Needs-Feature Map'!$M$30</f>
        <v>0.037724187668641</v>
      </c>
      <c r="E63" s="128" t="str">
        <f aca="false">INDEX('03 Feature Comparison'!$I$6:$I$18,$D$4)</f>
        <v>Yes</v>
      </c>
      <c r="F63" s="128" t="str">
        <f aca="false">INDEX('03 Feature Comparison'!$I$6:$I$18,$D$5)</f>
        <v>Unknown</v>
      </c>
      <c r="G63" s="128" t="str">
        <f aca="false">INDEX('03 Feature Comparison'!$I$6:$I$18,$D$6)</f>
        <v>Unknown</v>
      </c>
      <c r="H63" s="128" t="str">
        <f aca="false">IF(AND(E63="",F63=""),"",IF(E63=F63,IF(E63="Yes","Shared","Same"),IF(AND(E63="Yes",F63="No"),"LOST",IF(AND(E63="No",F63="Yes"),"GAINED",IF(AND(E63="Unknown",OR(F63="Yes",F63="Conditional")),"Confirmed (A unknown)",IF(AND(E63="Unknown",F63="No"),"Absent (A unknown)",IF(OR(E63="Unknown",F63="Unknown"),"Unknown — verify",IF(AND(E63="Yes",F63="Conditional"),"Weaker",IF(AND(E63="Conditional",F63="Yes"),"Stronger",IF(AND(E63="Conditional",F63="No"),"LOST",IF(AND(E63="No",F63="Conditional"),"GAINED (conditional)",IF(OR(E63="N/A",F63="N/A"),"Not comparable","Different"))))))))))))</f>
        <v>Unknown — verify</v>
      </c>
      <c r="I63" s="128" t="str">
        <f aca="false">IF(AND(E63="",G63=""),"",IF(E63=G63,IF(E63="Yes","Shared","Same"),IF(AND(E63="Yes",G63="No"),"LOST",IF(AND(E63="No",G63="Yes"),"GAINED",IF(AND(E63="Unknown",OR(G63="Yes",G63="Conditional")),"Confirmed (A unknown)",IF(AND(E63="Unknown",G63="No"),"Absent (A unknown)",IF(OR(E63="Unknown",G63="Unknown"),"Unknown — verify",IF(AND(E63="Yes",G63="Conditional"),"Weaker",IF(AND(E63="Conditional",G63="Yes"),"Stronger",IF(AND(E63="Conditional",G63="No"),"LOST",IF(AND(E63="No",G63="Conditional"),"GAINED (conditional)",IF(OR(E63="N/A",G63="N/A"),"Not comparable","Different"))))))))))))</f>
        <v>Unknown — verify</v>
      </c>
      <c r="J63" s="129" t="str">
        <f aca="false">IF(AND(D63&gt;=$J$4,OR(LEFT(H63,4)="LOST",LEFT(H63,6)="GAINED",LEFT(I63,4)="LOST",LEFT(I63,6)="GAINED")),"◆ "&amp;IF(OR(LEFT(H63,4)="LOST",LEFT(I63,4)="LOST"),"loss","gain")&amp;" on a high-weight feature","")</f>
        <v/>
      </c>
    </row>
    <row r="64" customFormat="false" ht="15" hidden="false" customHeight="false" outlineLevel="0" collapsed="false">
      <c r="B64" s="42" t="s">
        <v>373</v>
      </c>
      <c r="C64" s="54" t="s">
        <v>422</v>
      </c>
      <c r="D64" s="83" t="n">
        <f aca="false">'06 Needs-Feature Map'!$M$29</f>
        <v>0.0363154404238692</v>
      </c>
      <c r="E64" s="128" t="str">
        <f aca="false">INDEX('03 Feature Comparison'!$H$6:$H$18,$D$4)</f>
        <v>Yes</v>
      </c>
      <c r="F64" s="128" t="str">
        <f aca="false">INDEX('03 Feature Comparison'!$H$6:$H$18,$D$5)</f>
        <v>Unknown</v>
      </c>
      <c r="G64" s="128" t="str">
        <f aca="false">INDEX('03 Feature Comparison'!$H$6:$H$18,$D$6)</f>
        <v>Unknown</v>
      </c>
      <c r="H64" s="128" t="str">
        <f aca="false">IF(AND(E64="",F64=""),"",IF(E64=F64,IF(E64="Yes","Shared","Same"),IF(AND(E64="Yes",F64="No"),"LOST",IF(AND(E64="No",F64="Yes"),"GAINED",IF(AND(E64="Unknown",OR(F64="Yes",F64="Conditional")),"Confirmed (A unknown)",IF(AND(E64="Unknown",F64="No"),"Absent (A unknown)",IF(OR(E64="Unknown",F64="Unknown"),"Unknown — verify",IF(AND(E64="Yes",F64="Conditional"),"Weaker",IF(AND(E64="Conditional",F64="Yes"),"Stronger",IF(AND(E64="Conditional",F64="No"),"LOST",IF(AND(E64="No",F64="Conditional"),"GAINED (conditional)",IF(OR(E64="N/A",F64="N/A"),"Not comparable","Different"))))))))))))</f>
        <v>Unknown — verify</v>
      </c>
      <c r="I64" s="128" t="str">
        <f aca="false">IF(AND(E64="",G64=""),"",IF(E64=G64,IF(E64="Yes","Shared","Same"),IF(AND(E64="Yes",G64="No"),"LOST",IF(AND(E64="No",G64="Yes"),"GAINED",IF(AND(E64="Unknown",OR(G64="Yes",G64="Conditional")),"Confirmed (A unknown)",IF(AND(E64="Unknown",G64="No"),"Absent (A unknown)",IF(OR(E64="Unknown",G64="Unknown"),"Unknown — verify",IF(AND(E64="Yes",G64="Conditional"),"Weaker",IF(AND(E64="Conditional",G64="Yes"),"Stronger",IF(AND(E64="Conditional",G64="No"),"LOST",IF(AND(E64="No",G64="Conditional"),"GAINED (conditional)",IF(OR(E64="N/A",G64="N/A"),"Not comparable","Different"))))))))))))</f>
        <v>Unknown — verify</v>
      </c>
      <c r="J64" s="129" t="str">
        <f aca="false">IF(AND(D64&gt;=$J$4,OR(LEFT(H64,4)="LOST",LEFT(H64,6)="GAINED",LEFT(I64,4)="LOST",LEFT(I64,6)="GAINED")),"◆ "&amp;IF(OR(LEFT(H64,4)="LOST",LEFT(I64,4)="LOST"),"loss","gain")&amp;" on a high-weight feature","")</f>
        <v/>
      </c>
    </row>
    <row r="65" customFormat="false" ht="15" hidden="false" customHeight="false" outlineLevel="0" collapsed="false">
      <c r="B65" s="42" t="s">
        <v>375</v>
      </c>
      <c r="C65" s="54" t="s">
        <v>426</v>
      </c>
      <c r="D65" s="83" t="n">
        <f aca="false">'06 Needs-Feature Map'!$M$31</f>
        <v>0.0363154404238692</v>
      </c>
      <c r="E65" s="128" t="str">
        <f aca="false">INDEX('03 Feature Comparison'!$J$6:$J$18,$D$4)</f>
        <v>Unknown</v>
      </c>
      <c r="F65" s="128" t="str">
        <f aca="false">INDEX('03 Feature Comparison'!$J$6:$J$18,$D$5)</f>
        <v>Unknown</v>
      </c>
      <c r="G65" s="128" t="str">
        <f aca="false">INDEX('03 Feature Comparison'!$J$6:$J$18,$D$6)</f>
        <v>Unknown</v>
      </c>
      <c r="H65" s="128" t="str">
        <f aca="false">IF(AND(E65="",F65=""),"",IF(E65=F65,IF(E65="Yes","Shared","Same"),IF(AND(E65="Yes",F65="No"),"LOST",IF(AND(E65="No",F65="Yes"),"GAINED",IF(AND(E65="Unknown",OR(F65="Yes",F65="Conditional")),"Confirmed (A unknown)",IF(AND(E65="Unknown",F65="No"),"Absent (A unknown)",IF(OR(E65="Unknown",F65="Unknown"),"Unknown — verify",IF(AND(E65="Yes",F65="Conditional"),"Weaker",IF(AND(E65="Conditional",F65="Yes"),"Stronger",IF(AND(E65="Conditional",F65="No"),"LOST",IF(AND(E65="No",F65="Conditional"),"GAINED (conditional)",IF(OR(E65="N/A",F65="N/A"),"Not comparable","Different"))))))))))))</f>
        <v>Same</v>
      </c>
      <c r="I65" s="128" t="str">
        <f aca="false">IF(AND(E65="",G65=""),"",IF(E65=G65,IF(E65="Yes","Shared","Same"),IF(AND(E65="Yes",G65="No"),"LOST",IF(AND(E65="No",G65="Yes"),"GAINED",IF(AND(E65="Unknown",OR(G65="Yes",G65="Conditional")),"Confirmed (A unknown)",IF(AND(E65="Unknown",G65="No"),"Absent (A unknown)",IF(OR(E65="Unknown",G65="Unknown"),"Unknown — verify",IF(AND(E65="Yes",G65="Conditional"),"Weaker",IF(AND(E65="Conditional",G65="Yes"),"Stronger",IF(AND(E65="Conditional",G65="No"),"LOST",IF(AND(E65="No",G65="Conditional"),"GAINED (conditional)",IF(OR(E65="N/A",G65="N/A"),"Not comparable","Different"))))))))))))</f>
        <v>Same</v>
      </c>
      <c r="J65" s="129" t="str">
        <f aca="false">IF(AND(D65&gt;=$J$4,OR(LEFT(H65,4)="LOST",LEFT(H65,6)="GAINED",LEFT(I65,4)="LOST",LEFT(I65,6)="GAINED")),"◆ "&amp;IF(OR(LEFT(H65,4)="LOST",LEFT(I65,4)="LOST"),"loss","gain")&amp;" on a high-weight feature","")</f>
        <v/>
      </c>
    </row>
    <row r="66" customFormat="false" ht="15" hidden="false" customHeight="false" outlineLevel="0" collapsed="false">
      <c r="B66" s="42" t="s">
        <v>382</v>
      </c>
      <c r="C66" s="54" t="s">
        <v>438</v>
      </c>
      <c r="D66" s="83" t="n">
        <f aca="false">'06 Needs-Feature Map'!$M$38</f>
        <v>0.0367522273177717</v>
      </c>
      <c r="E66" s="128" t="str">
        <f aca="false">INDEX('03 Feature Comparison'!$Q$6:$Q$18,$D$4)</f>
        <v>Unknown</v>
      </c>
      <c r="F66" s="128" t="str">
        <f aca="false">INDEX('03 Feature Comparison'!$Q$6:$Q$18,$D$5)</f>
        <v>Conditional</v>
      </c>
      <c r="G66" s="128" t="str">
        <f aca="false">INDEX('03 Feature Comparison'!$Q$6:$Q$18,$D$6)</f>
        <v>Unknown</v>
      </c>
      <c r="H66" s="128" t="str">
        <f aca="false">IF(AND(E66="",F66=""),"",IF(E66=F66,IF(E66="Yes","Shared","Same"),IF(AND(E66="Yes",F66="No"),"LOST",IF(AND(E66="No",F66="Yes"),"GAINED",IF(AND(E66="Unknown",OR(F66="Yes",F66="Conditional")),"Confirmed (A unknown)",IF(AND(E66="Unknown",F66="No"),"Absent (A unknown)",IF(OR(E66="Unknown",F66="Unknown"),"Unknown — verify",IF(AND(E66="Yes",F66="Conditional"),"Weaker",IF(AND(E66="Conditional",F66="Yes"),"Stronger",IF(AND(E66="Conditional",F66="No"),"LOST",IF(AND(E66="No",F66="Conditional"),"GAINED (conditional)",IF(OR(E66="N/A",F66="N/A"),"Not comparable","Different"))))))))))))</f>
        <v>Confirmed (A unknown)</v>
      </c>
      <c r="I66" s="128" t="str">
        <f aca="false">IF(AND(E66="",G66=""),"",IF(E66=G66,IF(E66="Yes","Shared","Same"),IF(AND(E66="Yes",G66="No"),"LOST",IF(AND(E66="No",G66="Yes"),"GAINED",IF(AND(E66="Unknown",OR(G66="Yes",G66="Conditional")),"Confirmed (A unknown)",IF(AND(E66="Unknown",G66="No"),"Absent (A unknown)",IF(OR(E66="Unknown",G66="Unknown"),"Unknown — verify",IF(AND(E66="Yes",G66="Conditional"),"Weaker",IF(AND(E66="Conditional",G66="Yes"),"Stronger",IF(AND(E66="Conditional",G66="No"),"LOST",IF(AND(E66="No",G66="Conditional"),"GAINED (conditional)",IF(OR(E66="N/A",G66="N/A"),"Not comparable","Different"))))))))))))</f>
        <v>Same</v>
      </c>
      <c r="J66" s="129" t="str">
        <f aca="false">IF(AND(D66&gt;=$J$4,OR(LEFT(H66,4)="LOST",LEFT(H66,6)="GAINED",LEFT(I66,4)="LOST",LEFT(I66,6)="GAINED")),"◆ "&amp;IF(OR(LEFT(H66,4)="LOST",LEFT(I66,4)="LOST"),"loss","gain")&amp;" on a high-weight feature","")</f>
        <v/>
      </c>
    </row>
    <row r="67" customFormat="false" ht="15" hidden="false" customHeight="false" outlineLevel="0" collapsed="false">
      <c r="B67" s="42" t="s">
        <v>371</v>
      </c>
      <c r="C67" s="54" t="s">
        <v>417</v>
      </c>
      <c r="D67" s="83" t="n">
        <f aca="false">'06 Needs-Feature Map'!$M$27</f>
        <v>0.0323759878870487</v>
      </c>
      <c r="E67" s="128" t="str">
        <f aca="false">INDEX('03 Feature Comparison'!$F$6:$F$18,$D$4)</f>
        <v>Yes</v>
      </c>
      <c r="F67" s="128" t="str">
        <f aca="false">INDEX('03 Feature Comparison'!$F$6:$F$18,$D$5)</f>
        <v>Unknown</v>
      </c>
      <c r="G67" s="128" t="str">
        <f aca="false">INDEX('03 Feature Comparison'!$F$6:$F$18,$D$6)</f>
        <v>Unknown</v>
      </c>
      <c r="H67" s="128" t="str">
        <f aca="false">IF(AND(E67="",F67=""),"",IF(E67=F67,IF(E67="Yes","Shared","Same"),IF(AND(E67="Yes",F67="No"),"LOST",IF(AND(E67="No",F67="Yes"),"GAINED",IF(AND(E67="Unknown",OR(F67="Yes",F67="Conditional")),"Confirmed (A unknown)",IF(AND(E67="Unknown",F67="No"),"Absent (A unknown)",IF(OR(E67="Unknown",F67="Unknown"),"Unknown — verify",IF(AND(E67="Yes",F67="Conditional"),"Weaker",IF(AND(E67="Conditional",F67="Yes"),"Stronger",IF(AND(E67="Conditional",F67="No"),"LOST",IF(AND(E67="No",F67="Conditional"),"GAINED (conditional)",IF(OR(E67="N/A",F67="N/A"),"Not comparable","Different"))))))))))))</f>
        <v>Unknown — verify</v>
      </c>
      <c r="I67" s="128" t="str">
        <f aca="false">IF(AND(E67="",G67=""),"",IF(E67=G67,IF(E67="Yes","Shared","Same"),IF(AND(E67="Yes",G67="No"),"LOST",IF(AND(E67="No",G67="Yes"),"GAINED",IF(AND(E67="Unknown",OR(G67="Yes",G67="Conditional")),"Confirmed (A unknown)",IF(AND(E67="Unknown",G67="No"),"Absent (A unknown)",IF(OR(E67="Unknown",G67="Unknown"),"Unknown — verify",IF(AND(E67="Yes",G67="Conditional"),"Weaker",IF(AND(E67="Conditional",G67="Yes"),"Stronger",IF(AND(E67="Conditional",G67="No"),"LOST",IF(AND(E67="No",G67="Conditional"),"GAINED (conditional)",IF(OR(E67="N/A",G67="N/A"),"Not comparable","Different"))))))))))))</f>
        <v>Unknown — verify</v>
      </c>
      <c r="J67" s="129" t="str">
        <f aca="false">IF(AND(D67&gt;=$J$4,OR(LEFT(H67,4)="LOST",LEFT(H67,6)="GAINED",LEFT(I67,4)="LOST",LEFT(I67,6)="GAINED")),"◆ "&amp;IF(OR(LEFT(H67,4)="LOST",LEFT(I67,4)="LOST"),"loss","gain")&amp;" on a high-weight feature","")</f>
        <v/>
      </c>
    </row>
    <row r="68" customFormat="false" ht="15" hidden="false" customHeight="false" outlineLevel="0" collapsed="false">
      <c r="B68" s="42" t="s">
        <v>377</v>
      </c>
      <c r="C68" s="54" t="s">
        <v>430</v>
      </c>
      <c r="D68" s="83" t="n">
        <f aca="false">'06 Needs-Feature Map'!$M$33</f>
        <v>0.0270277881054564</v>
      </c>
      <c r="E68" s="128" t="str">
        <f aca="false">INDEX('03 Feature Comparison'!$L$6:$L$18,$D$4)</f>
        <v>Yes</v>
      </c>
      <c r="F68" s="128" t="str">
        <f aca="false">INDEX('03 Feature Comparison'!$L$6:$L$18,$D$5)</f>
        <v>Unknown</v>
      </c>
      <c r="G68" s="128" t="str">
        <f aca="false">INDEX('03 Feature Comparison'!$L$6:$L$18,$D$6)</f>
        <v>Unknown</v>
      </c>
      <c r="H68" s="128" t="str">
        <f aca="false">IF(AND(E68="",F68=""),"",IF(E68=F68,IF(E68="Yes","Shared","Same"),IF(AND(E68="Yes",F68="No"),"LOST",IF(AND(E68="No",F68="Yes"),"GAINED",IF(AND(E68="Unknown",OR(F68="Yes",F68="Conditional")),"Confirmed (A unknown)",IF(AND(E68="Unknown",F68="No"),"Absent (A unknown)",IF(OR(E68="Unknown",F68="Unknown"),"Unknown — verify",IF(AND(E68="Yes",F68="Conditional"),"Weaker",IF(AND(E68="Conditional",F68="Yes"),"Stronger",IF(AND(E68="Conditional",F68="No"),"LOST",IF(AND(E68="No",F68="Conditional"),"GAINED (conditional)",IF(OR(E68="N/A",F68="N/A"),"Not comparable","Different"))))))))))))</f>
        <v>Unknown — verify</v>
      </c>
      <c r="I68" s="128" t="str">
        <f aca="false">IF(AND(E68="",G68=""),"",IF(E68=G68,IF(E68="Yes","Shared","Same"),IF(AND(E68="Yes",G68="No"),"LOST",IF(AND(E68="No",G68="Yes"),"GAINED",IF(AND(E68="Unknown",OR(G68="Yes",G68="Conditional")),"Confirmed (A unknown)",IF(AND(E68="Unknown",G68="No"),"Absent (A unknown)",IF(OR(E68="Unknown",G68="Unknown"),"Unknown — verify",IF(AND(E68="Yes",G68="Conditional"),"Weaker",IF(AND(E68="Conditional",G68="Yes"),"Stronger",IF(AND(E68="Conditional",G68="No"),"LOST",IF(AND(E68="No",G68="Conditional"),"GAINED (conditional)",IF(OR(E68="N/A",G68="N/A"),"Not comparable","Different"))))))))))))</f>
        <v>Unknown — verify</v>
      </c>
      <c r="J68" s="129" t="str">
        <f aca="false">IF(AND(D68&gt;=$J$4,OR(LEFT(H68,4)="LOST",LEFT(H68,6)="GAINED",LEFT(I68,4)="LOST",LEFT(I68,6)="GAINED")),"◆ "&amp;IF(OR(LEFT(H68,4)="LOST",LEFT(I68,4)="LOST"),"loss","gain")&amp;" on a high-weight feature","")</f>
        <v/>
      </c>
    </row>
    <row r="69" customFormat="false" ht="15" hidden="false" customHeight="false" outlineLevel="0" collapsed="false">
      <c r="B69" s="42" t="s">
        <v>376</v>
      </c>
      <c r="C69" s="54" t="s">
        <v>428</v>
      </c>
      <c r="D69" s="83" t="n">
        <f aca="false">'06 Needs-Feature Map'!$M$32</f>
        <v>0.0256190408606846</v>
      </c>
      <c r="E69" s="128" t="str">
        <f aca="false">INDEX('03 Feature Comparison'!$K$6:$K$18,$D$4)</f>
        <v>Yes</v>
      </c>
      <c r="F69" s="128" t="str">
        <f aca="false">INDEX('03 Feature Comparison'!$K$6:$K$18,$D$5)</f>
        <v>Unknown</v>
      </c>
      <c r="G69" s="128" t="str">
        <f aca="false">INDEX('03 Feature Comparison'!$K$6:$K$18,$D$6)</f>
        <v>Unknown</v>
      </c>
      <c r="H69" s="128" t="str">
        <f aca="false">IF(AND(E69="",F69=""),"",IF(E69=F69,IF(E69="Yes","Shared","Same"),IF(AND(E69="Yes",F69="No"),"LOST",IF(AND(E69="No",F69="Yes"),"GAINED",IF(AND(E69="Unknown",OR(F69="Yes",F69="Conditional")),"Confirmed (A unknown)",IF(AND(E69="Unknown",F69="No"),"Absent (A unknown)",IF(OR(E69="Unknown",F69="Unknown"),"Unknown — verify",IF(AND(E69="Yes",F69="Conditional"),"Weaker",IF(AND(E69="Conditional",F69="Yes"),"Stronger",IF(AND(E69="Conditional",F69="No"),"LOST",IF(AND(E69="No",F69="Conditional"),"GAINED (conditional)",IF(OR(E69="N/A",F69="N/A"),"Not comparable","Different"))))))))))))</f>
        <v>Unknown — verify</v>
      </c>
      <c r="I69" s="128" t="str">
        <f aca="false">IF(AND(E69="",G69=""),"",IF(E69=G69,IF(E69="Yes","Shared","Same"),IF(AND(E69="Yes",G69="No"),"LOST",IF(AND(E69="No",G69="Yes"),"GAINED",IF(AND(E69="Unknown",OR(G69="Yes",G69="Conditional")),"Confirmed (A unknown)",IF(AND(E69="Unknown",G69="No"),"Absent (A unknown)",IF(OR(E69="Unknown",G69="Unknown"),"Unknown — verify",IF(AND(E69="Yes",G69="Conditional"),"Weaker",IF(AND(E69="Conditional",G69="Yes"),"Stronger",IF(AND(E69="Conditional",G69="No"),"LOST",IF(AND(E69="No",G69="Conditional"),"GAINED (conditional)",IF(OR(E69="N/A",G69="N/A"),"Not comparable","Different"))))))))))))</f>
        <v>Unknown — verify</v>
      </c>
      <c r="J69" s="129" t="str">
        <f aca="false">IF(AND(D69&gt;=$J$4,OR(LEFT(H69,4)="LOST",LEFT(H69,6)="GAINED",LEFT(I69,4)="LOST",LEFT(I69,6)="GAINED")),"◆ "&amp;IF(OR(LEFT(H69,4)="LOST",LEFT(I69,4)="LOST"),"loss","gain")&amp;" on a high-weight feature","")</f>
        <v/>
      </c>
    </row>
    <row r="70" customFormat="false" ht="15" hidden="false" customHeight="false" outlineLevel="0" collapsed="false">
      <c r="B70" s="42" t="s">
        <v>383</v>
      </c>
      <c r="C70" s="54" t="s">
        <v>439</v>
      </c>
      <c r="D70" s="83" t="n">
        <f aca="false">'06 Needs-Feature Map'!$M$39</f>
        <v>0.0212197500720433</v>
      </c>
      <c r="E70" s="128" t="str">
        <f aca="false">INDEX('03 Feature Comparison'!$R$6:$R$18,$D$4)</f>
        <v>No</v>
      </c>
      <c r="F70" s="128" t="str">
        <f aca="false">INDEX('03 Feature Comparison'!$R$6:$R$18,$D$5)</f>
        <v>Yes</v>
      </c>
      <c r="G70" s="128" t="str">
        <f aca="false">INDEX('03 Feature Comparison'!$R$6:$R$18,$D$6)</f>
        <v>Unknown</v>
      </c>
      <c r="H70" s="128" t="str">
        <f aca="false">IF(AND(E70="",F70=""),"",IF(E70=F70,IF(E70="Yes","Shared","Same"),IF(AND(E70="Yes",F70="No"),"LOST",IF(AND(E70="No",F70="Yes"),"GAINED",IF(AND(E70="Unknown",OR(F70="Yes",F70="Conditional")),"Confirmed (A unknown)",IF(AND(E70="Unknown",F70="No"),"Absent (A unknown)",IF(OR(E70="Unknown",F70="Unknown"),"Unknown — verify",IF(AND(E70="Yes",F70="Conditional"),"Weaker",IF(AND(E70="Conditional",F70="Yes"),"Stronger",IF(AND(E70="Conditional",F70="No"),"LOST",IF(AND(E70="No",F70="Conditional"),"GAINED (conditional)",IF(OR(E70="N/A",F70="N/A"),"Not comparable","Different"))))))))))))</f>
        <v>GAINED</v>
      </c>
      <c r="I70" s="128" t="str">
        <f aca="false">IF(AND(E70="",G70=""),"",IF(E70=G70,IF(E70="Yes","Shared","Same"),IF(AND(E70="Yes",G70="No"),"LOST",IF(AND(E70="No",G70="Yes"),"GAINED",IF(AND(E70="Unknown",OR(G70="Yes",G70="Conditional")),"Confirmed (A unknown)",IF(AND(E70="Unknown",G70="No"),"Absent (A unknown)",IF(OR(E70="Unknown",G70="Unknown"),"Unknown — verify",IF(AND(E70="Yes",G70="Conditional"),"Weaker",IF(AND(E70="Conditional",G70="Yes"),"Stronger",IF(AND(E70="Conditional",G70="No"),"LOST",IF(AND(E70="No",G70="Conditional"),"GAINED (conditional)",IF(OR(E70="N/A",G70="N/A"),"Not comparable","Different"))))))))))))</f>
        <v>Unknown — verify</v>
      </c>
      <c r="J70" s="129" t="str">
        <f aca="false">IF(AND(D70&gt;=$J$4,OR(LEFT(H70,4)="LOST",LEFT(H70,6)="GAINED",LEFT(I70,4)="LOST",LEFT(I70,6)="GAINED")),"◆ "&amp;IF(OR(LEFT(H70,4)="LOST",LEFT(I70,4)="LOST"),"loss","gain")&amp;" on a high-weight feature","")</f>
        <v/>
      </c>
    </row>
    <row r="71" customFormat="false" ht="15" hidden="false" customHeight="false" outlineLevel="0" collapsed="false">
      <c r="B71" s="42" t="s">
        <v>372</v>
      </c>
      <c r="C71" s="54" t="s">
        <v>420</v>
      </c>
      <c r="D71" s="83" t="n">
        <f aca="false">'06 Needs-Feature Map'!$M$28</f>
        <v>0.0202708410790923</v>
      </c>
      <c r="E71" s="128" t="str">
        <f aca="false">INDEX('03 Feature Comparison'!$G$6:$G$18,$D$4)</f>
        <v>Yes</v>
      </c>
      <c r="F71" s="128" t="str">
        <f aca="false">INDEX('03 Feature Comparison'!$G$6:$G$18,$D$5)</f>
        <v>Unknown</v>
      </c>
      <c r="G71" s="128" t="str">
        <f aca="false">INDEX('03 Feature Comparison'!$G$6:$G$18,$D$6)</f>
        <v>Unknown</v>
      </c>
      <c r="H71" s="128" t="str">
        <f aca="false">IF(AND(E71="",F71=""),"",IF(E71=F71,IF(E71="Yes","Shared","Same"),IF(AND(E71="Yes",F71="No"),"LOST",IF(AND(E71="No",F71="Yes"),"GAINED",IF(AND(E71="Unknown",OR(F71="Yes",F71="Conditional")),"Confirmed (A unknown)",IF(AND(E71="Unknown",F71="No"),"Absent (A unknown)",IF(OR(E71="Unknown",F71="Unknown"),"Unknown — verify",IF(AND(E71="Yes",F71="Conditional"),"Weaker",IF(AND(E71="Conditional",F71="Yes"),"Stronger",IF(AND(E71="Conditional",F71="No"),"LOST",IF(AND(E71="No",F71="Conditional"),"GAINED (conditional)",IF(OR(E71="N/A",F71="N/A"),"Not comparable","Different"))))))))))))</f>
        <v>Unknown — verify</v>
      </c>
      <c r="I71" s="128" t="str">
        <f aca="false">IF(AND(E71="",G71=""),"",IF(E71=G71,IF(E71="Yes","Shared","Same"),IF(AND(E71="Yes",G71="No"),"LOST",IF(AND(E71="No",G71="Yes"),"GAINED",IF(AND(E71="Unknown",OR(G71="Yes",G71="Conditional")),"Confirmed (A unknown)",IF(AND(E71="Unknown",G71="No"),"Absent (A unknown)",IF(OR(E71="Unknown",G71="Unknown"),"Unknown — verify",IF(AND(E71="Yes",G71="Conditional"),"Weaker",IF(AND(E71="Conditional",G71="Yes"),"Stronger",IF(AND(E71="Conditional",G71="No"),"LOST",IF(AND(E71="No",G71="Conditional"),"GAINED (conditional)",IF(OR(E71="N/A",G71="N/A"),"Not comparable","Different"))))))))))))</f>
        <v>Unknown — verify</v>
      </c>
      <c r="J71" s="129" t="str">
        <f aca="false">IF(AND(D71&gt;=$J$4,OR(LEFT(H71,4)="LOST",LEFT(H71,6)="GAINED",LEFT(I71,4)="LOST",LEFT(I71,6)="GAINED")),"◆ "&amp;IF(OR(LEFT(H71,4)="LOST",LEFT(I71,4)="LOST"),"loss","gain")&amp;" on a high-weight feature","")</f>
        <v/>
      </c>
    </row>
    <row r="72" customFormat="false" ht="15" hidden="false" customHeight="false" outlineLevel="0" collapsed="false">
      <c r="B72" s="42" t="s">
        <v>379</v>
      </c>
      <c r="C72" s="54" t="s">
        <v>434</v>
      </c>
      <c r="D72" s="83" t="n">
        <f aca="false">'06 Needs-Feature Map'!$M$35</f>
        <v>0.0202708410790923</v>
      </c>
      <c r="E72" s="128" t="str">
        <f aca="false">INDEX('03 Feature Comparison'!$N$6:$N$18,$D$4)</f>
        <v>Yes</v>
      </c>
      <c r="F72" s="128" t="str">
        <f aca="false">INDEX('03 Feature Comparison'!$N$6:$N$18,$D$5)</f>
        <v>Unknown</v>
      </c>
      <c r="G72" s="128" t="str">
        <f aca="false">INDEX('03 Feature Comparison'!$N$6:$N$18,$D$6)</f>
        <v>Unknown</v>
      </c>
      <c r="H72" s="128" t="str">
        <f aca="false">IF(AND(E72="",F72=""),"",IF(E72=F72,IF(E72="Yes","Shared","Same"),IF(AND(E72="Yes",F72="No"),"LOST",IF(AND(E72="No",F72="Yes"),"GAINED",IF(AND(E72="Unknown",OR(F72="Yes",F72="Conditional")),"Confirmed (A unknown)",IF(AND(E72="Unknown",F72="No"),"Absent (A unknown)",IF(OR(E72="Unknown",F72="Unknown"),"Unknown — verify",IF(AND(E72="Yes",F72="Conditional"),"Weaker",IF(AND(E72="Conditional",F72="Yes"),"Stronger",IF(AND(E72="Conditional",F72="No"),"LOST",IF(AND(E72="No",F72="Conditional"),"GAINED (conditional)",IF(OR(E72="N/A",F72="N/A"),"Not comparable","Different"))))))))))))</f>
        <v>Unknown — verify</v>
      </c>
      <c r="I72" s="128" t="str">
        <f aca="false">IF(AND(E72="",G72=""),"",IF(E72=G72,IF(E72="Yes","Shared","Same"),IF(AND(E72="Yes",G72="No"),"LOST",IF(AND(E72="No",G72="Yes"),"GAINED",IF(AND(E72="Unknown",OR(G72="Yes",G72="Conditional")),"Confirmed (A unknown)",IF(AND(E72="Unknown",G72="No"),"Absent (A unknown)",IF(OR(E72="Unknown",G72="Unknown"),"Unknown — verify",IF(AND(E72="Yes",G72="Conditional"),"Weaker",IF(AND(E72="Conditional",G72="Yes"),"Stronger",IF(AND(E72="Conditional",G72="No"),"LOST",IF(AND(E72="No",G72="Conditional"),"GAINED (conditional)",IF(OR(E72="N/A",G72="N/A"),"Not comparable","Different"))))))))))))</f>
        <v>Unknown — verify</v>
      </c>
      <c r="J72" s="129" t="str">
        <f aca="false">IF(AND(D72&gt;=$J$4,OR(LEFT(H72,4)="LOST",LEFT(H72,6)="GAINED",LEFT(I72,4)="LOST",LEFT(I72,6)="GAINED")),"◆ "&amp;IF(OR(LEFT(H72,4)="LOST",LEFT(I72,4)="LOST"),"loss","gain")&amp;" on a high-weight feature","")</f>
        <v/>
      </c>
    </row>
    <row r="73" customFormat="false" ht="15" hidden="false" customHeight="false" outlineLevel="0" collapsed="false">
      <c r="B73" s="42" t="s">
        <v>392</v>
      </c>
      <c r="C73" s="54" t="s">
        <v>454</v>
      </c>
      <c r="D73" s="83" t="n">
        <f aca="false">'06 Needs-Feature Map'!$M$48</f>
        <v>0.0147869093484185</v>
      </c>
      <c r="E73" s="128" t="str">
        <f aca="false">INDEX('03 Feature Comparison'!$AA$6:$AA$18,$D$4)</f>
        <v>Yes</v>
      </c>
      <c r="F73" s="128" t="str">
        <f aca="false">INDEX('03 Feature Comparison'!$AA$6:$AA$18,$D$5)</f>
        <v>Yes</v>
      </c>
      <c r="G73" s="128" t="str">
        <f aca="false">INDEX('03 Feature Comparison'!$AA$6:$AA$18,$D$6)</f>
        <v>Unknown</v>
      </c>
      <c r="H73" s="128" t="str">
        <f aca="false">IF(AND(E73="",F73=""),"",IF(E73=F73,IF(E73="Yes","Shared","Same"),IF(AND(E73="Yes",F73="No"),"LOST",IF(AND(E73="No",F73="Yes"),"GAINED",IF(AND(E73="Unknown",OR(F73="Yes",F73="Conditional")),"Confirmed (A unknown)",IF(AND(E73="Unknown",F73="No"),"Absent (A unknown)",IF(OR(E73="Unknown",F73="Unknown"),"Unknown — verify",IF(AND(E73="Yes",F73="Conditional"),"Weaker",IF(AND(E73="Conditional",F73="Yes"),"Stronger",IF(AND(E73="Conditional",F73="No"),"LOST",IF(AND(E73="No",F73="Conditional"),"GAINED (conditional)",IF(OR(E73="N/A",F73="N/A"),"Not comparable","Different"))))))))))))</f>
        <v>Shared</v>
      </c>
      <c r="I73" s="128" t="str">
        <f aca="false">IF(AND(E73="",G73=""),"",IF(E73=G73,IF(E73="Yes","Shared","Same"),IF(AND(E73="Yes",G73="No"),"LOST",IF(AND(E73="No",G73="Yes"),"GAINED",IF(AND(E73="Unknown",OR(G73="Yes",G73="Conditional")),"Confirmed (A unknown)",IF(AND(E73="Unknown",G73="No"),"Absent (A unknown)",IF(OR(E73="Unknown",G73="Unknown"),"Unknown — verify",IF(AND(E73="Yes",G73="Conditional"),"Weaker",IF(AND(E73="Conditional",G73="Yes"),"Stronger",IF(AND(E73="Conditional",G73="No"),"LOST",IF(AND(E73="No",G73="Conditional"),"GAINED (conditional)",IF(OR(E73="N/A",G73="N/A"),"Not comparable","Different"))))))))))))</f>
        <v>Unknown — verify</v>
      </c>
      <c r="J73" s="129" t="str">
        <f aca="false">IF(AND(D73&gt;=$J$4,OR(LEFT(H73,4)="LOST",LEFT(H73,6)="GAINED",LEFT(I73,4)="LOST",LEFT(I73,6)="GAINED")),"◆ "&amp;IF(OR(LEFT(H73,4)="LOST",LEFT(I73,4)="LOST"),"loss","gain")&amp;" on a high-weight feature","")</f>
        <v/>
      </c>
    </row>
    <row r="74" customFormat="false" ht="15" hidden="false" customHeight="false" outlineLevel="0" collapsed="false">
      <c r="B74" s="42" t="s">
        <v>384</v>
      </c>
      <c r="C74" s="54" t="s">
        <v>441</v>
      </c>
      <c r="D74" s="83" t="n">
        <f aca="false">'06 Needs-Feature Map'!$M$40</f>
        <v>0.0018957576087716</v>
      </c>
      <c r="E74" s="128" t="str">
        <f aca="false">INDEX('03 Feature Comparison'!$S$6:$S$18,$D$4)</f>
        <v>No</v>
      </c>
      <c r="F74" s="128" t="str">
        <f aca="false">INDEX('03 Feature Comparison'!$S$6:$S$18,$D$5)</f>
        <v>Unknown</v>
      </c>
      <c r="G74" s="128" t="str">
        <f aca="false">INDEX('03 Feature Comparison'!$S$6:$S$18,$D$6)</f>
        <v>Unknown</v>
      </c>
      <c r="H74" s="128" t="str">
        <f aca="false">IF(AND(E74="",F74=""),"",IF(E74=F74,IF(E74="Yes","Shared","Same"),IF(AND(E74="Yes",F74="No"),"LOST",IF(AND(E74="No",F74="Yes"),"GAINED",IF(AND(E74="Unknown",OR(F74="Yes",F74="Conditional")),"Confirmed (A unknown)",IF(AND(E74="Unknown",F74="No"),"Absent (A unknown)",IF(OR(E74="Unknown",F74="Unknown"),"Unknown — verify",IF(AND(E74="Yes",F74="Conditional"),"Weaker",IF(AND(E74="Conditional",F74="Yes"),"Stronger",IF(AND(E74="Conditional",F74="No"),"LOST",IF(AND(E74="No",F74="Conditional"),"GAINED (conditional)",IF(OR(E74="N/A",F74="N/A"),"Not comparable","Different"))))))))))))</f>
        <v>Unknown — verify</v>
      </c>
      <c r="I74" s="128" t="str">
        <f aca="false">IF(AND(E74="",G74=""),"",IF(E74=G74,IF(E74="Yes","Shared","Same"),IF(AND(E74="Yes",G74="No"),"LOST",IF(AND(E74="No",G74="Yes"),"GAINED",IF(AND(E74="Unknown",OR(G74="Yes",G74="Conditional")),"Confirmed (A unknown)",IF(AND(E74="Unknown",G74="No"),"Absent (A unknown)",IF(OR(E74="Unknown",G74="Unknown"),"Unknown — verify",IF(AND(E74="Yes",G74="Conditional"),"Weaker",IF(AND(E74="Conditional",G74="Yes"),"Stronger",IF(AND(E74="Conditional",G74="No"),"LOST",IF(AND(E74="No",G74="Conditional"),"GAINED (conditional)",IF(OR(E74="N/A",G74="N/A"),"Not comparable","Different"))))))))))))</f>
        <v>Unknown — verify</v>
      </c>
      <c r="J74" s="129" t="str">
        <f aca="false">IF(AND(D74&gt;=$J$4,OR(LEFT(H74,4)="LOST",LEFT(H74,6)="GAINED",LEFT(I74,4)="LOST",LEFT(I74,6)="GAINED")),"◆ "&amp;IF(OR(LEFT(H74,4)="LOST",LEFT(I74,4)="LOST"),"loss","gain")&amp;" on a high-weight feature","")</f>
        <v/>
      </c>
    </row>
    <row r="75" customFormat="false" ht="15" hidden="false" customHeight="false" outlineLevel="0" collapsed="false">
      <c r="B75" s="42" t="s">
        <v>385</v>
      </c>
      <c r="C75" s="54" t="s">
        <v>443</v>
      </c>
      <c r="D75" s="83" t="n">
        <f aca="false">'06 Needs-Feature Map'!$M$41</f>
        <v>0</v>
      </c>
      <c r="E75" s="128" t="str">
        <f aca="false">INDEX('03 Feature Comparison'!$T$6:$T$18,$D$4)</f>
        <v>No</v>
      </c>
      <c r="F75" s="128" t="str">
        <f aca="false">INDEX('03 Feature Comparison'!$T$6:$T$18,$D$5)</f>
        <v>Yes</v>
      </c>
      <c r="G75" s="128" t="str">
        <f aca="false">INDEX('03 Feature Comparison'!$T$6:$T$18,$D$6)</f>
        <v>Yes</v>
      </c>
      <c r="H75" s="128" t="str">
        <f aca="false">IF(AND(E75="",F75=""),"",IF(E75=F75,IF(E75="Yes","Shared","Same"),IF(AND(E75="Yes",F75="No"),"LOST",IF(AND(E75="No",F75="Yes"),"GAINED",IF(AND(E75="Unknown",OR(F75="Yes",F75="Conditional")),"Confirmed (A unknown)",IF(AND(E75="Unknown",F75="No"),"Absent (A unknown)",IF(OR(E75="Unknown",F75="Unknown"),"Unknown — verify",IF(AND(E75="Yes",F75="Conditional"),"Weaker",IF(AND(E75="Conditional",F75="Yes"),"Stronger",IF(AND(E75="Conditional",F75="No"),"LOST",IF(AND(E75="No",F75="Conditional"),"GAINED (conditional)",IF(OR(E75="N/A",F75="N/A"),"Not comparable","Different"))))))))))))</f>
        <v>GAINED</v>
      </c>
      <c r="I75" s="128" t="str">
        <f aca="false">IF(AND(E75="",G75=""),"",IF(E75=G75,IF(E75="Yes","Shared","Same"),IF(AND(E75="Yes",G75="No"),"LOST",IF(AND(E75="No",G75="Yes"),"GAINED",IF(AND(E75="Unknown",OR(G75="Yes",G75="Conditional")),"Confirmed (A unknown)",IF(AND(E75="Unknown",G75="No"),"Absent (A unknown)",IF(OR(E75="Unknown",G75="Unknown"),"Unknown — verify",IF(AND(E75="Yes",G75="Conditional"),"Weaker",IF(AND(E75="Conditional",G75="Yes"),"Stronger",IF(AND(E75="Conditional",G75="No"),"LOST",IF(AND(E75="No",G75="Conditional"),"GAINED (conditional)",IF(OR(E75="N/A",G75="N/A"),"Not comparable","Different"))))))))))))</f>
        <v>GAINED</v>
      </c>
      <c r="J75" s="129" t="str">
        <f aca="false">IF(AND(D75&gt;=$J$4,OR(LEFT(H75,4)="LOST",LEFT(H75,6)="GAINED",LEFT(I75,4)="LOST",LEFT(I75,6)="GAINED")),"◆ "&amp;IF(OR(LEFT(H75,4)="LOST",LEFT(I75,4)="LOST"),"loss","gain")&amp;" on a high-weight feature","")</f>
        <v/>
      </c>
    </row>
    <row r="76" customFormat="false" ht="15" hidden="false" customHeight="false" outlineLevel="0" collapsed="false">
      <c r="B76" s="42" t="s">
        <v>389</v>
      </c>
      <c r="C76" s="54" t="s">
        <v>449</v>
      </c>
      <c r="D76" s="83" t="n">
        <f aca="false">'06 Needs-Feature Map'!$M$45</f>
        <v>0</v>
      </c>
      <c r="E76" s="128" t="str">
        <f aca="false">INDEX('03 Feature Comparison'!$X$6:$X$18,$D$4)</f>
        <v>Yes</v>
      </c>
      <c r="F76" s="128" t="str">
        <f aca="false">INDEX('03 Feature Comparison'!$X$6:$X$18,$D$5)</f>
        <v>Unknown</v>
      </c>
      <c r="G76" s="128" t="str">
        <f aca="false">INDEX('03 Feature Comparison'!$X$6:$X$18,$D$6)</f>
        <v>Unknown</v>
      </c>
      <c r="H76" s="128" t="str">
        <f aca="false">IF(AND(E76="",F76=""),"",IF(E76=F76,IF(E76="Yes","Shared","Same"),IF(AND(E76="Yes",F76="No"),"LOST",IF(AND(E76="No",F76="Yes"),"GAINED",IF(AND(E76="Unknown",OR(F76="Yes",F76="Conditional")),"Confirmed (A unknown)",IF(AND(E76="Unknown",F76="No"),"Absent (A unknown)",IF(OR(E76="Unknown",F76="Unknown"),"Unknown — verify",IF(AND(E76="Yes",F76="Conditional"),"Weaker",IF(AND(E76="Conditional",F76="Yes"),"Stronger",IF(AND(E76="Conditional",F76="No"),"LOST",IF(AND(E76="No",F76="Conditional"),"GAINED (conditional)",IF(OR(E76="N/A",F76="N/A"),"Not comparable","Different"))))))))))))</f>
        <v>Unknown — verify</v>
      </c>
      <c r="I76" s="128" t="str">
        <f aca="false">IF(AND(E76="",G76=""),"",IF(E76=G76,IF(E76="Yes","Shared","Same"),IF(AND(E76="Yes",G76="No"),"LOST",IF(AND(E76="No",G76="Yes"),"GAINED",IF(AND(E76="Unknown",OR(G76="Yes",G76="Conditional")),"Confirmed (A unknown)",IF(AND(E76="Unknown",G76="No"),"Absent (A unknown)",IF(OR(E76="Unknown",G76="Unknown"),"Unknown — verify",IF(AND(E76="Yes",G76="Conditional"),"Weaker",IF(AND(E76="Conditional",G76="Yes"),"Stronger",IF(AND(E76="Conditional",G76="No"),"LOST",IF(AND(E76="No",G76="Conditional"),"GAINED (conditional)",IF(OR(E76="N/A",G76="N/A"),"Not comparable","Different"))))))))))))</f>
        <v>Unknown — verify</v>
      </c>
      <c r="J76" s="129" t="str">
        <f aca="false">IF(AND(D76&gt;=$J$4,OR(LEFT(H76,4)="LOST",LEFT(H76,6)="GAINED",LEFT(I76,4)="LOST",LEFT(I76,6)="GAINED")),"◆ "&amp;IF(OR(LEFT(H76,4)="LOST",LEFT(I76,4)="LOST"),"loss","gain")&amp;" on a high-weight feature","")</f>
        <v/>
      </c>
    </row>
    <row r="77" customFormat="false" ht="15" hidden="false" customHeight="false" outlineLevel="0" collapsed="false">
      <c r="B77" s="42" t="s">
        <v>391</v>
      </c>
      <c r="C77" s="54" t="s">
        <v>453</v>
      </c>
      <c r="D77" s="83" t="n">
        <f aca="false">'06 Needs-Feature Map'!$M$47</f>
        <v>0</v>
      </c>
      <c r="E77" s="128" t="str">
        <f aca="false">INDEX('03 Feature Comparison'!$Z$6:$Z$18,$D$4)</f>
        <v>Unknown</v>
      </c>
      <c r="F77" s="128" t="str">
        <f aca="false">INDEX('03 Feature Comparison'!$Z$6:$Z$18,$D$5)</f>
        <v>Unknown</v>
      </c>
      <c r="G77" s="128" t="str">
        <f aca="false">INDEX('03 Feature Comparison'!$Z$6:$Z$18,$D$6)</f>
        <v>Unknown</v>
      </c>
      <c r="H77" s="128" t="str">
        <f aca="false">IF(AND(E77="",F77=""),"",IF(E77=F77,IF(E77="Yes","Shared","Same"),IF(AND(E77="Yes",F77="No"),"LOST",IF(AND(E77="No",F77="Yes"),"GAINED",IF(AND(E77="Unknown",OR(F77="Yes",F77="Conditional")),"Confirmed (A unknown)",IF(AND(E77="Unknown",F77="No"),"Absent (A unknown)",IF(OR(E77="Unknown",F77="Unknown"),"Unknown — verify",IF(AND(E77="Yes",F77="Conditional"),"Weaker",IF(AND(E77="Conditional",F77="Yes"),"Stronger",IF(AND(E77="Conditional",F77="No"),"LOST",IF(AND(E77="No",F77="Conditional"),"GAINED (conditional)",IF(OR(E77="N/A",F77="N/A"),"Not comparable","Different"))))))))))))</f>
        <v>Same</v>
      </c>
      <c r="I77" s="128" t="str">
        <f aca="false">IF(AND(E77="",G77=""),"",IF(E77=G77,IF(E77="Yes","Shared","Same"),IF(AND(E77="Yes",G77="No"),"LOST",IF(AND(E77="No",G77="Yes"),"GAINED",IF(AND(E77="Unknown",OR(G77="Yes",G77="Conditional")),"Confirmed (A unknown)",IF(AND(E77="Unknown",G77="No"),"Absent (A unknown)",IF(OR(E77="Unknown",G77="Unknown"),"Unknown — verify",IF(AND(E77="Yes",G77="Conditional"),"Weaker",IF(AND(E77="Conditional",G77="Yes"),"Stronger",IF(AND(E77="Conditional",G77="No"),"LOST",IF(AND(E77="No",G77="Conditional"),"GAINED (conditional)",IF(OR(E77="N/A",G77="N/A"),"Not comparable","Different"))))))))))))</f>
        <v>Same</v>
      </c>
      <c r="J77" s="129" t="str">
        <f aca="false">IF(AND(D77&gt;=$J$4,OR(LEFT(H77,4)="LOST",LEFT(H77,6)="GAINED",LEFT(I77,4)="LOST",LEFT(I77,6)="GAINED")),"◆ "&amp;IF(OR(LEFT(H77,4)="LOST",LEFT(I77,4)="LOST"),"loss","gain")&amp;" on a high-weight feature","")</f>
        <v/>
      </c>
    </row>
    <row r="80" customFormat="false" ht="15" hidden="false" customHeight="false" outlineLevel="0" collapsed="false">
      <c r="B80" s="7" t="s">
        <v>1408</v>
      </c>
      <c r="C80" s="7"/>
      <c r="D80" s="7"/>
      <c r="E80" s="7"/>
      <c r="F80" s="7"/>
      <c r="G80" s="7"/>
      <c r="H80" s="7"/>
      <c r="I80" s="7"/>
    </row>
    <row r="81" customFormat="false" ht="15" hidden="false" customHeight="false" outlineLevel="0" collapsed="false">
      <c r="B81" s="8" t="s">
        <v>981</v>
      </c>
      <c r="C81" s="8" t="s">
        <v>1409</v>
      </c>
      <c r="D81" s="8" t="str">
        <f aca="false">C4</f>
        <v>VB10</v>
      </c>
      <c r="E81" s="8" t="str">
        <f aca="false">C5</f>
        <v>CT34</v>
      </c>
      <c r="F81" s="8" t="str">
        <f aca="false">C6</f>
        <v>CT29</v>
      </c>
      <c r="G81" s="8" t="s">
        <v>1400</v>
      </c>
      <c r="H81" s="8" t="s">
        <v>1401</v>
      </c>
    </row>
    <row r="82" customFormat="false" ht="15" hidden="false" customHeight="false" outlineLevel="0" collapsed="false">
      <c r="B82" s="42" t="s">
        <v>1410</v>
      </c>
      <c r="C82" s="54" t="s">
        <v>613</v>
      </c>
      <c r="D82" s="128" t="str">
        <f aca="false">INDEX('04 API &amp; Integration'!$D$41:$D$53,$D$4)</f>
        <v>Unknown</v>
      </c>
      <c r="E82" s="128" t="str">
        <f aca="false">INDEX('04 API &amp; Integration'!$D$41:$D$53,$D$5)</f>
        <v>Conditional</v>
      </c>
      <c r="F82" s="128" t="str">
        <f aca="false">INDEX('04 API &amp; Integration'!$D$41:$D$53,$D$6)</f>
        <v>Unknown</v>
      </c>
      <c r="G82" s="128" t="str">
        <f aca="false">IF(AND(D82="",E82=""),"",IF(D82=E82,IF(D82="Yes","Shared","Same"),IF(AND(D82="Yes",E82="No"),"LOST",IF(AND(D82="No",E82="Yes"),"GAINED",IF(AND(D82="Unknown",OR(E82="Yes",E82="Conditional")),"Confirmed (A unknown)",IF(AND(D82="Unknown",E82="No"),"Absent (A unknown)",IF(OR(D82="Unknown",E82="Unknown"),"Unknown — verify",IF(AND(D82="Yes",E82="Conditional"),"Weaker",IF(AND(D82="Conditional",E82="Yes"),"Stronger",IF(AND(D82="Conditional",E82="No"),"LOST",IF(AND(D82="No",E82="Conditional"),"GAINED (conditional)",IF(OR(D82="N/A",E82="N/A"),"Not comparable","Different"))))))))))))</f>
        <v>Confirmed (A unknown)</v>
      </c>
      <c r="H82" s="128" t="str">
        <f aca="false">IF(AND(D82="",F82=""),"",IF(D82=F82,IF(D82="Yes","Shared","Same"),IF(AND(D82="Yes",F82="No"),"LOST",IF(AND(D82="No",F82="Yes"),"GAINED",IF(AND(D82="Unknown",OR(F82="Yes",F82="Conditional")),"Confirmed (A unknown)",IF(AND(D82="Unknown",F82="No"),"Absent (A unknown)",IF(OR(D82="Unknown",F82="Unknown"),"Unknown — verify",IF(AND(D82="Yes",F82="Conditional"),"Weaker",IF(AND(D82="Conditional",F82="Yes"),"Stronger",IF(AND(D82="Conditional",F82="No"),"LOST",IF(AND(D82="No",F82="Conditional"),"GAINED (conditional)",IF(OR(D82="N/A",F82="N/A"),"Not comparable","Different"))))))))))))</f>
        <v>Same</v>
      </c>
    </row>
    <row r="83" customFormat="false" ht="15" hidden="false" customHeight="false" outlineLevel="0" collapsed="false">
      <c r="B83" s="42" t="s">
        <v>1411</v>
      </c>
      <c r="C83" s="54" t="s">
        <v>614</v>
      </c>
      <c r="D83" s="128" t="str">
        <f aca="false">INDEX('04 API &amp; Integration'!$E$41:$E$53,$D$4)</f>
        <v>Unknown</v>
      </c>
      <c r="E83" s="128" t="str">
        <f aca="false">INDEX('04 API &amp; Integration'!$E$41:$E$53,$D$5)</f>
        <v>Conditional</v>
      </c>
      <c r="F83" s="128" t="str">
        <f aca="false">INDEX('04 API &amp; Integration'!$E$41:$E$53,$D$6)</f>
        <v>Unknown</v>
      </c>
      <c r="G83" s="128" t="str">
        <f aca="false">IF(AND(D83="",E83=""),"",IF(D83=E83,IF(D83="Yes","Shared","Same"),IF(AND(D83="Yes",E83="No"),"LOST",IF(AND(D83="No",E83="Yes"),"GAINED",IF(AND(D83="Unknown",OR(E83="Yes",E83="Conditional")),"Confirmed (A unknown)",IF(AND(D83="Unknown",E83="No"),"Absent (A unknown)",IF(OR(D83="Unknown",E83="Unknown"),"Unknown — verify",IF(AND(D83="Yes",E83="Conditional"),"Weaker",IF(AND(D83="Conditional",E83="Yes"),"Stronger",IF(AND(D83="Conditional",E83="No"),"LOST",IF(AND(D83="No",E83="Conditional"),"GAINED (conditional)",IF(OR(D83="N/A",E83="N/A"),"Not comparable","Different"))))))))))))</f>
        <v>Confirmed (A unknown)</v>
      </c>
      <c r="H83" s="128" t="str">
        <f aca="false">IF(AND(D83="",F83=""),"",IF(D83=F83,IF(D83="Yes","Shared","Same"),IF(AND(D83="Yes",F83="No"),"LOST",IF(AND(D83="No",F83="Yes"),"GAINED",IF(AND(D83="Unknown",OR(F83="Yes",F83="Conditional")),"Confirmed (A unknown)",IF(AND(D83="Unknown",F83="No"),"Absent (A unknown)",IF(OR(D83="Unknown",F83="Unknown"),"Unknown — verify",IF(AND(D83="Yes",F83="Conditional"),"Weaker",IF(AND(D83="Conditional",F83="Yes"),"Stronger",IF(AND(D83="Conditional",F83="No"),"LOST",IF(AND(D83="No",F83="Conditional"),"GAINED (conditional)",IF(OR(D83="N/A",F83="N/A"),"Not comparable","Different"))))))))))))</f>
        <v>Same</v>
      </c>
    </row>
    <row r="84" customFormat="false" ht="15" hidden="false" customHeight="false" outlineLevel="0" collapsed="false">
      <c r="B84" s="42" t="s">
        <v>1412</v>
      </c>
      <c r="C84" s="54" t="s">
        <v>615</v>
      </c>
      <c r="D84" s="128" t="str">
        <f aca="false">INDEX('04 API &amp; Integration'!$F$41:$F$53,$D$4)</f>
        <v>N/A</v>
      </c>
      <c r="E84" s="128" t="str">
        <f aca="false">INDEX('04 API &amp; Integration'!$F$41:$F$53,$D$5)</f>
        <v>Conditional</v>
      </c>
      <c r="F84" s="128" t="str">
        <f aca="false">INDEX('04 API &amp; Integration'!$F$41:$F$53,$D$6)</f>
        <v>Unknown</v>
      </c>
      <c r="G84" s="128" t="str">
        <f aca="false">IF(AND(D84="",E84=""),"",IF(D84=E84,IF(D84="Yes","Shared","Same"),IF(AND(D84="Yes",E84="No"),"LOST",IF(AND(D84="No",E84="Yes"),"GAINED",IF(AND(D84="Unknown",OR(E84="Yes",E84="Conditional")),"Confirmed (A unknown)",IF(AND(D84="Unknown",E84="No"),"Absent (A unknown)",IF(OR(D84="Unknown",E84="Unknown"),"Unknown — verify",IF(AND(D84="Yes",E84="Conditional"),"Weaker",IF(AND(D84="Conditional",E84="Yes"),"Stronger",IF(AND(D84="Conditional",E84="No"),"LOST",IF(AND(D84="No",E84="Conditional"),"GAINED (conditional)",IF(OR(D84="N/A",E84="N/A"),"Not comparable","Different"))))))))))))</f>
        <v>Not comparable</v>
      </c>
      <c r="H84" s="128" t="str">
        <f aca="false">IF(AND(D84="",F84=""),"",IF(D84=F84,IF(D84="Yes","Shared","Same"),IF(AND(D84="Yes",F84="No"),"LOST",IF(AND(D84="No",F84="Yes"),"GAINED",IF(AND(D84="Unknown",OR(F84="Yes",F84="Conditional")),"Confirmed (A unknown)",IF(AND(D84="Unknown",F84="No"),"Absent (A unknown)",IF(OR(D84="Unknown",F84="Unknown"),"Unknown — verify",IF(AND(D84="Yes",F84="Conditional"),"Weaker",IF(AND(D84="Conditional",F84="Yes"),"Stronger",IF(AND(D84="Conditional",F84="No"),"LOST",IF(AND(D84="No",F84="Conditional"),"GAINED (conditional)",IF(OR(D84="N/A",F84="N/A"),"Not comparable","Different"))))))))))))</f>
        <v>Unknown — verify</v>
      </c>
    </row>
    <row r="85" customFormat="false" ht="15" hidden="false" customHeight="false" outlineLevel="0" collapsed="false">
      <c r="B85" s="42" t="s">
        <v>1413</v>
      </c>
      <c r="C85" s="54" t="s">
        <v>417</v>
      </c>
      <c r="D85" s="128" t="str">
        <f aca="false">INDEX('04 API &amp; Integration'!$G$41:$G$53,$D$4)</f>
        <v>Conditional</v>
      </c>
      <c r="E85" s="128" t="str">
        <f aca="false">INDEX('04 API &amp; Integration'!$G$41:$G$53,$D$5)</f>
        <v>Unknown</v>
      </c>
      <c r="F85" s="128" t="str">
        <f aca="false">INDEX('04 API &amp; Integration'!$G$41:$G$53,$D$6)</f>
        <v>Unknown</v>
      </c>
      <c r="G85" s="128" t="str">
        <f aca="false">IF(AND(D85="",E85=""),"",IF(D85=E85,IF(D85="Yes","Shared","Same"),IF(AND(D85="Yes",E85="No"),"LOST",IF(AND(D85="No",E85="Yes"),"GAINED",IF(AND(D85="Unknown",OR(E85="Yes",E85="Conditional")),"Confirmed (A unknown)",IF(AND(D85="Unknown",E85="No"),"Absent (A unknown)",IF(OR(D85="Unknown",E85="Unknown"),"Unknown — verify",IF(AND(D85="Yes",E85="Conditional"),"Weaker",IF(AND(D85="Conditional",E85="Yes"),"Stronger",IF(AND(D85="Conditional",E85="No"),"LOST",IF(AND(D85="No",E85="Conditional"),"GAINED (conditional)",IF(OR(D85="N/A",E85="N/A"),"Not comparable","Different"))))))))))))</f>
        <v>Unknown — verify</v>
      </c>
      <c r="H85" s="128" t="str">
        <f aca="false">IF(AND(D85="",F85=""),"",IF(D85=F85,IF(D85="Yes","Shared","Same"),IF(AND(D85="Yes",F85="No"),"LOST",IF(AND(D85="No",F85="Yes"),"GAINED",IF(AND(D85="Unknown",OR(F85="Yes",F85="Conditional")),"Confirmed (A unknown)",IF(AND(D85="Unknown",F85="No"),"Absent (A unknown)",IF(OR(D85="Unknown",F85="Unknown"),"Unknown — verify",IF(AND(D85="Yes",F85="Conditional"),"Weaker",IF(AND(D85="Conditional",F85="Yes"),"Stronger",IF(AND(D85="Conditional",F85="No"),"LOST",IF(AND(D85="No",F85="Conditional"),"GAINED (conditional)",IF(OR(D85="N/A",F85="N/A"),"Not comparable","Different"))))))))))))</f>
        <v>Unknown — verify</v>
      </c>
    </row>
    <row r="86" customFormat="false" ht="15" hidden="false" customHeight="false" outlineLevel="0" collapsed="false">
      <c r="B86" s="42" t="s">
        <v>1414</v>
      </c>
      <c r="C86" s="54" t="s">
        <v>616</v>
      </c>
      <c r="D86" s="128" t="str">
        <f aca="false">INDEX('04 API &amp; Integration'!$H$41:$H$53,$D$4)</f>
        <v>Conditional</v>
      </c>
      <c r="E86" s="128" t="str">
        <f aca="false">INDEX('04 API &amp; Integration'!$H$41:$H$53,$D$5)</f>
        <v>Unknown</v>
      </c>
      <c r="F86" s="128" t="str">
        <f aca="false">INDEX('04 API &amp; Integration'!$H$41:$H$53,$D$6)</f>
        <v>Unknown</v>
      </c>
      <c r="G86" s="128" t="str">
        <f aca="false">IF(AND(D86="",E86=""),"",IF(D86=E86,IF(D86="Yes","Shared","Same"),IF(AND(D86="Yes",E86="No"),"LOST",IF(AND(D86="No",E86="Yes"),"GAINED",IF(AND(D86="Unknown",OR(E86="Yes",E86="Conditional")),"Confirmed (A unknown)",IF(AND(D86="Unknown",E86="No"),"Absent (A unknown)",IF(OR(D86="Unknown",E86="Unknown"),"Unknown — verify",IF(AND(D86="Yes",E86="Conditional"),"Weaker",IF(AND(D86="Conditional",E86="Yes"),"Stronger",IF(AND(D86="Conditional",E86="No"),"LOST",IF(AND(D86="No",E86="Conditional"),"GAINED (conditional)",IF(OR(D86="N/A",E86="N/A"),"Not comparable","Different"))))))))))))</f>
        <v>Unknown — verify</v>
      </c>
      <c r="H86" s="128" t="str">
        <f aca="false">IF(AND(D86="",F86=""),"",IF(D86=F86,IF(D86="Yes","Shared","Same"),IF(AND(D86="Yes",F86="No"),"LOST",IF(AND(D86="No",F86="Yes"),"GAINED",IF(AND(D86="Unknown",OR(F86="Yes",F86="Conditional")),"Confirmed (A unknown)",IF(AND(D86="Unknown",F86="No"),"Absent (A unknown)",IF(OR(D86="Unknown",F86="Unknown"),"Unknown — verify",IF(AND(D86="Yes",F86="Conditional"),"Weaker",IF(AND(D86="Conditional",F86="Yes"),"Stronger",IF(AND(D86="Conditional",F86="No"),"LOST",IF(AND(D86="No",F86="Conditional"),"GAINED (conditional)",IF(OR(D86="N/A",F86="N/A"),"Not comparable","Different"))))))))))))</f>
        <v>Unknown — verify</v>
      </c>
    </row>
    <row r="87" customFormat="false" ht="15" hidden="false" customHeight="false" outlineLevel="0" collapsed="false">
      <c r="B87" s="42" t="s">
        <v>1415</v>
      </c>
      <c r="C87" s="54" t="s">
        <v>617</v>
      </c>
      <c r="D87" s="128" t="str">
        <f aca="false">INDEX('04 API &amp; Integration'!$I$41:$I$53,$D$4)</f>
        <v>Conditional</v>
      </c>
      <c r="E87" s="128" t="str">
        <f aca="false">INDEX('04 API &amp; Integration'!$I$41:$I$53,$D$5)</f>
        <v>Unknown</v>
      </c>
      <c r="F87" s="128" t="str">
        <f aca="false">INDEX('04 API &amp; Integration'!$I$41:$I$53,$D$6)</f>
        <v>Unknown</v>
      </c>
      <c r="G87" s="128" t="str">
        <f aca="false">IF(AND(D87="",E87=""),"",IF(D87=E87,IF(D87="Yes","Shared","Same"),IF(AND(D87="Yes",E87="No"),"LOST",IF(AND(D87="No",E87="Yes"),"GAINED",IF(AND(D87="Unknown",OR(E87="Yes",E87="Conditional")),"Confirmed (A unknown)",IF(AND(D87="Unknown",E87="No"),"Absent (A unknown)",IF(OR(D87="Unknown",E87="Unknown"),"Unknown — verify",IF(AND(D87="Yes",E87="Conditional"),"Weaker",IF(AND(D87="Conditional",E87="Yes"),"Stronger",IF(AND(D87="Conditional",E87="No"),"LOST",IF(AND(D87="No",E87="Conditional"),"GAINED (conditional)",IF(OR(D87="N/A",E87="N/A"),"Not comparable","Different"))))))))))))</f>
        <v>Unknown — verify</v>
      </c>
      <c r="H87" s="128" t="str">
        <f aca="false">IF(AND(D87="",F87=""),"",IF(D87=F87,IF(D87="Yes","Shared","Same"),IF(AND(D87="Yes",F87="No"),"LOST",IF(AND(D87="No",F87="Yes"),"GAINED",IF(AND(D87="Unknown",OR(F87="Yes",F87="Conditional")),"Confirmed (A unknown)",IF(AND(D87="Unknown",F87="No"),"Absent (A unknown)",IF(OR(D87="Unknown",F87="Unknown"),"Unknown — verify",IF(AND(D87="Yes",F87="Conditional"),"Weaker",IF(AND(D87="Conditional",F87="Yes"),"Stronger",IF(AND(D87="Conditional",F87="No"),"LOST",IF(AND(D87="No",F87="Conditional"),"GAINED (conditional)",IF(OR(D87="N/A",F87="N/A"),"Not comparable","Different"))))))))))))</f>
        <v>Unknown — verify</v>
      </c>
    </row>
    <row r="88" customFormat="false" ht="15" hidden="false" customHeight="false" outlineLevel="0" collapsed="false">
      <c r="B88" s="42" t="s">
        <v>1416</v>
      </c>
      <c r="C88" s="54" t="s">
        <v>424</v>
      </c>
      <c r="D88" s="128" t="str">
        <f aca="false">INDEX('04 API &amp; Integration'!$J$41:$J$53,$D$4)</f>
        <v>Conditional</v>
      </c>
      <c r="E88" s="128" t="str">
        <f aca="false">INDEX('04 API &amp; Integration'!$J$41:$J$53,$D$5)</f>
        <v>Unknown</v>
      </c>
      <c r="F88" s="128" t="str">
        <f aca="false">INDEX('04 API &amp; Integration'!$J$41:$J$53,$D$6)</f>
        <v>Unknown</v>
      </c>
      <c r="G88" s="128" t="str">
        <f aca="false">IF(AND(D88="",E88=""),"",IF(D88=E88,IF(D88="Yes","Shared","Same"),IF(AND(D88="Yes",E88="No"),"LOST",IF(AND(D88="No",E88="Yes"),"GAINED",IF(AND(D88="Unknown",OR(E88="Yes",E88="Conditional")),"Confirmed (A unknown)",IF(AND(D88="Unknown",E88="No"),"Absent (A unknown)",IF(OR(D88="Unknown",E88="Unknown"),"Unknown — verify",IF(AND(D88="Yes",E88="Conditional"),"Weaker",IF(AND(D88="Conditional",E88="Yes"),"Stronger",IF(AND(D88="Conditional",E88="No"),"LOST",IF(AND(D88="No",E88="Conditional"),"GAINED (conditional)",IF(OR(D88="N/A",E88="N/A"),"Not comparable","Different"))))))))))))</f>
        <v>Unknown — verify</v>
      </c>
      <c r="H88" s="128" t="str">
        <f aca="false">IF(AND(D88="",F88=""),"",IF(D88=F88,IF(D88="Yes","Shared","Same"),IF(AND(D88="Yes",F88="No"),"LOST",IF(AND(D88="No",F88="Yes"),"GAINED",IF(AND(D88="Unknown",OR(F88="Yes",F88="Conditional")),"Confirmed (A unknown)",IF(AND(D88="Unknown",F88="No"),"Absent (A unknown)",IF(OR(D88="Unknown",F88="Unknown"),"Unknown — verify",IF(AND(D88="Yes",F88="Conditional"),"Weaker",IF(AND(D88="Conditional",F88="Yes"),"Stronger",IF(AND(D88="Conditional",F88="No"),"LOST",IF(AND(D88="No",F88="Conditional"),"GAINED (conditional)",IF(OR(D88="N/A",F88="N/A"),"Not comparable","Different"))))))))))))</f>
        <v>Unknown — verify</v>
      </c>
    </row>
    <row r="89" customFormat="false" ht="15" hidden="false" customHeight="false" outlineLevel="0" collapsed="false">
      <c r="B89" s="42" t="s">
        <v>1417</v>
      </c>
      <c r="C89" s="54" t="s">
        <v>426</v>
      </c>
      <c r="D89" s="128" t="str">
        <f aca="false">INDEX('04 API &amp; Integration'!$K$41:$K$53,$D$4)</f>
        <v>Unknown</v>
      </c>
      <c r="E89" s="128" t="str">
        <f aca="false">INDEX('04 API &amp; Integration'!$K$41:$K$53,$D$5)</f>
        <v>Unknown</v>
      </c>
      <c r="F89" s="128" t="str">
        <f aca="false">INDEX('04 API &amp; Integration'!$K$41:$K$53,$D$6)</f>
        <v>Unknown</v>
      </c>
      <c r="G89" s="128" t="str">
        <f aca="false">IF(AND(D89="",E89=""),"",IF(D89=E89,IF(D89="Yes","Shared","Same"),IF(AND(D89="Yes",E89="No"),"LOST",IF(AND(D89="No",E89="Yes"),"GAINED",IF(AND(D89="Unknown",OR(E89="Yes",E89="Conditional")),"Confirmed (A unknown)",IF(AND(D89="Unknown",E89="No"),"Absent (A unknown)",IF(OR(D89="Unknown",E89="Unknown"),"Unknown — verify",IF(AND(D89="Yes",E89="Conditional"),"Weaker",IF(AND(D89="Conditional",E89="Yes"),"Stronger",IF(AND(D89="Conditional",E89="No"),"LOST",IF(AND(D89="No",E89="Conditional"),"GAINED (conditional)",IF(OR(D89="N/A",E89="N/A"),"Not comparable","Different"))))))))))))</f>
        <v>Same</v>
      </c>
      <c r="H89" s="128" t="str">
        <f aca="false">IF(AND(D89="",F89=""),"",IF(D89=F89,IF(D89="Yes","Shared","Same"),IF(AND(D89="Yes",F89="No"),"LOST",IF(AND(D89="No",F89="Yes"),"GAINED",IF(AND(D89="Unknown",OR(F89="Yes",F89="Conditional")),"Confirmed (A unknown)",IF(AND(D89="Unknown",F89="No"),"Absent (A unknown)",IF(OR(D89="Unknown",F89="Unknown"),"Unknown — verify",IF(AND(D89="Yes",F89="Conditional"),"Weaker",IF(AND(D89="Conditional",F89="Yes"),"Stronger",IF(AND(D89="Conditional",F89="No"),"LOST",IF(AND(D89="No",F89="Conditional"),"GAINED (conditional)",IF(OR(D89="N/A",F89="N/A"),"Not comparable","Different"))))))))))))</f>
        <v>Same</v>
      </c>
    </row>
    <row r="90" customFormat="false" ht="15" hidden="false" customHeight="false" outlineLevel="0" collapsed="false">
      <c r="B90" s="42" t="s">
        <v>1418</v>
      </c>
      <c r="C90" s="54" t="s">
        <v>618</v>
      </c>
      <c r="D90" s="128" t="str">
        <f aca="false">INDEX('04 API &amp; Integration'!$L$41:$L$53,$D$4)</f>
        <v>Unknown</v>
      </c>
      <c r="E90" s="128" t="str">
        <f aca="false">INDEX('04 API &amp; Integration'!$L$41:$L$53,$D$5)</f>
        <v>Unknown</v>
      </c>
      <c r="F90" s="128" t="str">
        <f aca="false">INDEX('04 API &amp; Integration'!$L$41:$L$53,$D$6)</f>
        <v>Unknown</v>
      </c>
      <c r="G90" s="128" t="str">
        <f aca="false">IF(AND(D90="",E90=""),"",IF(D90=E90,IF(D90="Yes","Shared","Same"),IF(AND(D90="Yes",E90="No"),"LOST",IF(AND(D90="No",E90="Yes"),"GAINED",IF(AND(D90="Unknown",OR(E90="Yes",E90="Conditional")),"Confirmed (A unknown)",IF(AND(D90="Unknown",E90="No"),"Absent (A unknown)",IF(OR(D90="Unknown",E90="Unknown"),"Unknown — verify",IF(AND(D90="Yes",E90="Conditional"),"Weaker",IF(AND(D90="Conditional",E90="Yes"),"Stronger",IF(AND(D90="Conditional",E90="No"),"LOST",IF(AND(D90="No",E90="Conditional"),"GAINED (conditional)",IF(OR(D90="N/A",E90="N/A"),"Not comparable","Different"))))))))))))</f>
        <v>Same</v>
      </c>
      <c r="H90" s="128" t="str">
        <f aca="false">IF(AND(D90="",F90=""),"",IF(D90=F90,IF(D90="Yes","Shared","Same"),IF(AND(D90="Yes",F90="No"),"LOST",IF(AND(D90="No",F90="Yes"),"GAINED",IF(AND(D90="Unknown",OR(F90="Yes",F90="Conditional")),"Confirmed (A unknown)",IF(AND(D90="Unknown",F90="No"),"Absent (A unknown)",IF(OR(D90="Unknown",F90="Unknown"),"Unknown — verify",IF(AND(D90="Yes",F90="Conditional"),"Weaker",IF(AND(D90="Conditional",F90="Yes"),"Stronger",IF(AND(D90="Conditional",F90="No"),"LOST",IF(AND(D90="No",F90="Conditional"),"GAINED (conditional)",IF(OR(D90="N/A",F90="N/A"),"Not comparable","Different"))))))))))))</f>
        <v>Same</v>
      </c>
    </row>
    <row r="91" customFormat="false" ht="15" hidden="false" customHeight="false" outlineLevel="0" collapsed="false">
      <c r="B91" s="42" t="s">
        <v>1419</v>
      </c>
      <c r="C91" s="54" t="s">
        <v>619</v>
      </c>
      <c r="D91" s="128" t="str">
        <f aca="false">INDEX('04 API &amp; Integration'!$M$41:$M$53,$D$4)</f>
        <v>Unknown</v>
      </c>
      <c r="E91" s="128" t="str">
        <f aca="false">INDEX('04 API &amp; Integration'!$M$41:$M$53,$D$5)</f>
        <v>Unknown</v>
      </c>
      <c r="F91" s="128" t="str">
        <f aca="false">INDEX('04 API &amp; Integration'!$M$41:$M$53,$D$6)</f>
        <v>Unknown</v>
      </c>
      <c r="G91" s="128" t="str">
        <f aca="false">IF(AND(D91="",E91=""),"",IF(D91=E91,IF(D91="Yes","Shared","Same"),IF(AND(D91="Yes",E91="No"),"LOST",IF(AND(D91="No",E91="Yes"),"GAINED",IF(AND(D91="Unknown",OR(E91="Yes",E91="Conditional")),"Confirmed (A unknown)",IF(AND(D91="Unknown",E91="No"),"Absent (A unknown)",IF(OR(D91="Unknown",E91="Unknown"),"Unknown — verify",IF(AND(D91="Yes",E91="Conditional"),"Weaker",IF(AND(D91="Conditional",E91="Yes"),"Stronger",IF(AND(D91="Conditional",E91="No"),"LOST",IF(AND(D91="No",E91="Conditional"),"GAINED (conditional)",IF(OR(D91="N/A",E91="N/A"),"Not comparable","Different"))))))))))))</f>
        <v>Same</v>
      </c>
      <c r="H91" s="128" t="str">
        <f aca="false">IF(AND(D91="",F91=""),"",IF(D91=F91,IF(D91="Yes","Shared","Same"),IF(AND(D91="Yes",F91="No"),"LOST",IF(AND(D91="No",F91="Yes"),"GAINED",IF(AND(D91="Unknown",OR(F91="Yes",F91="Conditional")),"Confirmed (A unknown)",IF(AND(D91="Unknown",F91="No"),"Absent (A unknown)",IF(OR(D91="Unknown",F91="Unknown"),"Unknown — verify",IF(AND(D91="Yes",F91="Conditional"),"Weaker",IF(AND(D91="Conditional",F91="Yes"),"Stronger",IF(AND(D91="Conditional",F91="No"),"LOST",IF(AND(D91="No",F91="Conditional"),"GAINED (conditional)",IF(OR(D91="N/A",F91="N/A"),"Not comparable","Different"))))))))))))</f>
        <v>Same</v>
      </c>
    </row>
    <row r="92" customFormat="false" ht="15" hidden="false" customHeight="false" outlineLevel="0" collapsed="false">
      <c r="B92" s="42" t="s">
        <v>1420</v>
      </c>
      <c r="C92" s="54" t="s">
        <v>620</v>
      </c>
      <c r="D92" s="128" t="str">
        <f aca="false">INDEX('04 API &amp; Integration'!$N$41:$N$53,$D$4)</f>
        <v>Unknown</v>
      </c>
      <c r="E92" s="128" t="str">
        <f aca="false">INDEX('04 API &amp; Integration'!$N$41:$N$53,$D$5)</f>
        <v>Unknown</v>
      </c>
      <c r="F92" s="128" t="str">
        <f aca="false">INDEX('04 API &amp; Integration'!$N$41:$N$53,$D$6)</f>
        <v>Unknown</v>
      </c>
      <c r="G92" s="128" t="str">
        <f aca="false">IF(AND(D92="",E92=""),"",IF(D92=E92,IF(D92="Yes","Shared","Same"),IF(AND(D92="Yes",E92="No"),"LOST",IF(AND(D92="No",E92="Yes"),"GAINED",IF(AND(D92="Unknown",OR(E92="Yes",E92="Conditional")),"Confirmed (A unknown)",IF(AND(D92="Unknown",E92="No"),"Absent (A unknown)",IF(OR(D92="Unknown",E92="Unknown"),"Unknown — verify",IF(AND(D92="Yes",E92="Conditional"),"Weaker",IF(AND(D92="Conditional",E92="Yes"),"Stronger",IF(AND(D92="Conditional",E92="No"),"LOST",IF(AND(D92="No",E92="Conditional"),"GAINED (conditional)",IF(OR(D92="N/A",E92="N/A"),"Not comparable","Different"))))))))))))</f>
        <v>Same</v>
      </c>
      <c r="H92" s="128" t="str">
        <f aca="false">IF(AND(D92="",F92=""),"",IF(D92=F92,IF(D92="Yes","Shared","Same"),IF(AND(D92="Yes",F92="No"),"LOST",IF(AND(D92="No",F92="Yes"),"GAINED",IF(AND(D92="Unknown",OR(F92="Yes",F92="Conditional")),"Confirmed (A unknown)",IF(AND(D92="Unknown",F92="No"),"Absent (A unknown)",IF(OR(D92="Unknown",F92="Unknown"),"Unknown — verify",IF(AND(D92="Yes",F92="Conditional"),"Weaker",IF(AND(D92="Conditional",F92="Yes"),"Stronger",IF(AND(D92="Conditional",F92="No"),"LOST",IF(AND(D92="No",F92="Conditional"),"GAINED (conditional)",IF(OR(D92="N/A",F92="N/A"),"Not comparable","Different"))))))))))))</f>
        <v>Same</v>
      </c>
    </row>
    <row r="93" customFormat="false" ht="15" hidden="false" customHeight="false" outlineLevel="0" collapsed="false">
      <c r="B93" s="42" t="s">
        <v>1421</v>
      </c>
      <c r="C93" s="54" t="s">
        <v>621</v>
      </c>
      <c r="D93" s="128" t="str">
        <f aca="false">INDEX('04 API &amp; Integration'!$O$41:$O$53,$D$4)</f>
        <v>Unknown</v>
      </c>
      <c r="E93" s="128" t="str">
        <f aca="false">INDEX('04 API &amp; Integration'!$O$41:$O$53,$D$5)</f>
        <v>Conditional</v>
      </c>
      <c r="F93" s="128" t="str">
        <f aca="false">INDEX('04 API &amp; Integration'!$O$41:$O$53,$D$6)</f>
        <v>Unknown</v>
      </c>
      <c r="G93" s="128" t="str">
        <f aca="false">IF(AND(D93="",E93=""),"",IF(D93=E93,IF(D93="Yes","Shared","Same"),IF(AND(D93="Yes",E93="No"),"LOST",IF(AND(D93="No",E93="Yes"),"GAINED",IF(AND(D93="Unknown",OR(E93="Yes",E93="Conditional")),"Confirmed (A unknown)",IF(AND(D93="Unknown",E93="No"),"Absent (A unknown)",IF(OR(D93="Unknown",E93="Unknown"),"Unknown — verify",IF(AND(D93="Yes",E93="Conditional"),"Weaker",IF(AND(D93="Conditional",E93="Yes"),"Stronger",IF(AND(D93="Conditional",E93="No"),"LOST",IF(AND(D93="No",E93="Conditional"),"GAINED (conditional)",IF(OR(D93="N/A",E93="N/A"),"Not comparable","Different"))))))))))))</f>
        <v>Confirmed (A unknown)</v>
      </c>
      <c r="H93" s="128" t="str">
        <f aca="false">IF(AND(D93="",F93=""),"",IF(D93=F93,IF(D93="Yes","Shared","Same"),IF(AND(D93="Yes",F93="No"),"LOST",IF(AND(D93="No",F93="Yes"),"GAINED",IF(AND(D93="Unknown",OR(F93="Yes",F93="Conditional")),"Confirmed (A unknown)",IF(AND(D93="Unknown",F93="No"),"Absent (A unknown)",IF(OR(D93="Unknown",F93="Unknown"),"Unknown — verify",IF(AND(D93="Yes",F93="Conditional"),"Weaker",IF(AND(D93="Conditional",F93="Yes"),"Stronger",IF(AND(D93="Conditional",F93="No"),"LOST",IF(AND(D93="No",F93="Conditional"),"GAINED (conditional)",IF(OR(D93="N/A",F93="N/A"),"Not comparable","Different"))))))))))))</f>
        <v>Same</v>
      </c>
    </row>
    <row r="96" customFormat="false" ht="15" hidden="false" customHeight="false" outlineLevel="0" collapsed="false">
      <c r="B96" s="7" t="s">
        <v>1422</v>
      </c>
      <c r="C96" s="7"/>
      <c r="D96" s="7"/>
      <c r="E96" s="7"/>
      <c r="F96" s="7"/>
      <c r="G96" s="7"/>
      <c r="H96" s="7"/>
      <c r="I96" s="7"/>
      <c r="J96" s="7"/>
    </row>
    <row r="97" customFormat="false" ht="15" hidden="false" customHeight="false" outlineLevel="0" collapsed="false">
      <c r="B97" s="8" t="s">
        <v>1423</v>
      </c>
      <c r="C97" s="8" t="s">
        <v>1400</v>
      </c>
      <c r="D97" s="8" t="s">
        <v>1401</v>
      </c>
    </row>
    <row r="98" customFormat="false" ht="15" hidden="false" customHeight="false" outlineLevel="0" collapsed="false">
      <c r="B98" s="20" t="s">
        <v>1424</v>
      </c>
      <c r="C98" s="130" t="n">
        <f aca="false">COUNTIF(H56:H77,"GAINED*")+COUNTIF(H56:H77,"Stronger")</f>
        <v>3</v>
      </c>
      <c r="D98" s="130" t="n">
        <f aca="false">COUNTIF(I56:I77,"GAINED*")+COUNTIF(I56:I77,"Stronger")</f>
        <v>2</v>
      </c>
    </row>
    <row r="99" customFormat="false" ht="15" hidden="false" customHeight="false" outlineLevel="0" collapsed="false">
      <c r="B99" s="20" t="s">
        <v>1425</v>
      </c>
      <c r="C99" s="130" t="n">
        <f aca="false">COUNTIF(H56:H77,"LOST")+COUNTIF(H56:H77,"Weaker")</f>
        <v>0</v>
      </c>
      <c r="D99" s="130" t="n">
        <f aca="false">COUNTIF(I56:I77,"LOST")+COUNTIF(I56:I77,"Weaker")</f>
        <v>0</v>
      </c>
    </row>
    <row r="100" customFormat="false" ht="15" hidden="false" customHeight="false" outlineLevel="0" collapsed="false">
      <c r="B100" s="20" t="s">
        <v>1426</v>
      </c>
      <c r="C100" s="130" t="n">
        <f aca="false">COUNTIF(H56:H77,"Unknown*")+COUNTIF(H56:H77,"*(A unknown)")</f>
        <v>13</v>
      </c>
      <c r="D100" s="130" t="n">
        <f aca="false">COUNTIF(I56:I77,"Unknown*")+COUNTIF(I56:I77,"*(A unknown)")</f>
        <v>15</v>
      </c>
    </row>
    <row r="101" customFormat="false" ht="15" hidden="false" customHeight="false" outlineLevel="0" collapsed="false">
      <c r="B101" s="20" t="s">
        <v>1427</v>
      </c>
      <c r="C101" s="131" t="n">
        <f aca="false">SUMIF(H56:H77,"GAINED*",D56:D77)+SUMIF(H56:H77,"Stronger",D56:D77)</f>
        <v>0.0617762277535569</v>
      </c>
      <c r="D101" s="131" t="n">
        <f aca="false">SUMIF(I56:I77,"GAINED*",D56:D77)+SUMIF(I56:I77,"Stronger",D56:D77)</f>
        <v>0.0405564776815136</v>
      </c>
    </row>
    <row r="102" customFormat="false" ht="15" hidden="false" customHeight="false" outlineLevel="0" collapsed="false">
      <c r="B102" s="20" t="s">
        <v>1428</v>
      </c>
      <c r="C102" s="131" t="n">
        <f aca="false">SUMIF(H56:H77,"LOST",D56:D77)+SUMIF(H56:H77,"Weaker",D56:D77)</f>
        <v>0</v>
      </c>
      <c r="D102" s="131" t="n">
        <f aca="false">SUMIF(I56:I77,"LOST",D56:D77)+SUMIF(I56:I77,"Weaker",D56:D77)</f>
        <v>0</v>
      </c>
    </row>
    <row r="104" customFormat="false" ht="33.75" hidden="false" customHeight="true" outlineLevel="0" collapsed="false">
      <c r="B104" s="132" t="str">
        <f aca="false">"Choosing "&amp;C5&amp;" instead of "&amp;C4&amp;": overall "&amp;IF(F15&gt;=0,"+","")&amp;ROUND(F15,1)&amp;" points; gains "&amp;C98&amp;" capabilities ("&amp;ROUND(C101*100,0)&amp;"% of research weight), loses "&amp;C99&amp;" ("&amp;ROUND(C102*100,0)&amp;"%); "&amp;C100&amp;" differences are unknown and must be verified — they are not counted as losses. Eligibility: "&amp;C21&amp;" → "&amp;D21&amp;"."</f>
        <v>Choosing CT34 instead of VB10: overall +1.8 points; gains 3 capabilities (6% of research weight), loses 0 (0%); 13 differences are unknown and must be verified — they are not counted as losses. Eligibility: Conditionally eligible → Conditionally eligible.</v>
      </c>
      <c r="C104" s="132"/>
      <c r="D104" s="132"/>
      <c r="E104" s="132"/>
      <c r="F104" s="132"/>
      <c r="G104" s="132"/>
      <c r="H104" s="132"/>
      <c r="I104" s="132"/>
      <c r="J104" s="132"/>
    </row>
    <row r="105" customFormat="false" ht="33.75" hidden="false" customHeight="true" outlineLevel="0" collapsed="false">
      <c r="B105" s="132" t="str">
        <f aca="false">"Choosing "&amp;C6&amp;" instead of "&amp;C4&amp;": overall "&amp;IF(G15&gt;=0,"+","")&amp;ROUND(G15,1)&amp;" points; gains "&amp;D98&amp;" capabilities ("&amp;ROUND(D101*100,0)&amp;"% of research weight), loses "&amp;D99&amp;" ("&amp;ROUND(D102*100,0)&amp;"%); "&amp;D100&amp;" differences are unknown and must be verified — they are not counted as losses. Eligibility: "&amp;C21&amp;" → "&amp;E21&amp;"."</f>
        <v>Choosing CT29 instead of VB10: overall -19.9 points; gains 2 capabilities (4% of research weight), loses 0 (0%); 15 differences are unknown and must be verified — they are not counted as losses. Eligibility: Conditionally eligible → Pending verification.</v>
      </c>
      <c r="C105" s="132"/>
      <c r="D105" s="132"/>
      <c r="E105" s="132"/>
      <c r="F105" s="132"/>
      <c r="G105" s="132"/>
      <c r="H105" s="132"/>
      <c r="I105" s="132"/>
      <c r="J105" s="132"/>
    </row>
    <row r="108" customFormat="false" ht="15" hidden="false" customHeight="false" outlineLevel="0" collapsed="false">
      <c r="B108" s="7" t="s">
        <v>1429</v>
      </c>
      <c r="C108" s="7"/>
      <c r="D108" s="7"/>
      <c r="E108" s="7"/>
      <c r="F108" s="7"/>
      <c r="G108" s="7"/>
      <c r="H108" s="7"/>
      <c r="I108" s="7"/>
    </row>
    <row r="109" customFormat="false" ht="15" hidden="false" customHeight="false" outlineLevel="0" collapsed="false">
      <c r="B109" s="8" t="s">
        <v>671</v>
      </c>
      <c r="C109" s="8" t="s">
        <v>50</v>
      </c>
      <c r="D109" s="8" t="s">
        <v>60</v>
      </c>
      <c r="E109" s="8" t="s">
        <v>66</v>
      </c>
      <c r="F109" s="8" t="s">
        <v>1430</v>
      </c>
      <c r="G109" s="8" t="s">
        <v>1431</v>
      </c>
      <c r="H109" s="8" t="s">
        <v>1432</v>
      </c>
    </row>
    <row r="110" customFormat="false" ht="15" hidden="false" customHeight="false" outlineLevel="0" collapsed="false">
      <c r="B110" s="54" t="s">
        <v>1358</v>
      </c>
      <c r="C110" s="82" t="n">
        <f aca="false">IF(INDEX('10 Scoring &amp; Weights'!$I$87:$I$99,1)="","n/a",INDEX('10 Scoring &amp; Weights'!$I$87:$I$99,1))</f>
        <v>53.207128006923</v>
      </c>
      <c r="D110" s="82" t="n">
        <f aca="false">IF(INDEX('10 Scoring &amp; Weights'!$I$87:$I$99,2)="","n/a",INDEX('10 Scoring &amp; Weights'!$I$87:$I$99,2))</f>
        <v>33.3518129426167</v>
      </c>
      <c r="E110" s="82" t="n">
        <f aca="false">IF(INDEX('10 Scoring &amp; Weights'!$I$87:$I$99,3)="","n/a",INDEX('10 Scoring &amp; Weights'!$I$87:$I$99,3))</f>
        <v>55.0341491326068</v>
      </c>
      <c r="F110" s="126" t="n">
        <f aca="false">IF(AND(ISNUMBER(C110),ISNUMBER(D110)),D110-C110,"unknown")</f>
        <v>-19.8553150643063</v>
      </c>
      <c r="G110" s="126" t="n">
        <f aca="false">IF(AND(ISNUMBER(C110),ISNUMBER(E110)),E110-C110,"unknown")</f>
        <v>1.82702112568381</v>
      </c>
      <c r="H110" s="126" t="n">
        <f aca="false">IF(AND(ISNUMBER(D110),ISNUMBER(E110)),E110-D110,"unknown")</f>
        <v>21.6823361899901</v>
      </c>
    </row>
    <row r="111" customFormat="false" ht="15" hidden="false" customHeight="false" outlineLevel="0" collapsed="false">
      <c r="B111" s="54" t="s">
        <v>23</v>
      </c>
      <c r="C111" s="82" t="n">
        <f aca="false">IF(INDEX('10 Scoring &amp; Weights'!$D$87:$D$99,1)="","n/a",INDEX('10 Scoring &amp; Weights'!$D$87:$D$99,1))</f>
        <v>62.2558861827256</v>
      </c>
      <c r="D111" s="82" t="n">
        <f aca="false">IF(INDEX('10 Scoring &amp; Weights'!$D$87:$D$99,2)="","n/a",INDEX('10 Scoring &amp; Weights'!$D$87:$D$99,2))</f>
        <v>38.8102758012462</v>
      </c>
      <c r="E111" s="82" t="n">
        <f aca="false">IF(INDEX('10 Scoring &amp; Weights'!$D$87:$D$99,3)="","n/a",INDEX('10 Scoring &amp; Weights'!$D$87:$D$99,3))</f>
        <v>61.4383792012179</v>
      </c>
      <c r="F111" s="126" t="n">
        <f aca="false">IF(AND(ISNUMBER(C111),ISNUMBER(D111)),D111-C111,"unknown")</f>
        <v>-23.4456103814794</v>
      </c>
      <c r="G111" s="126" t="n">
        <f aca="false">IF(AND(ISNUMBER(C111),ISNUMBER(E111)),E111-C111,"unknown")</f>
        <v>-0.817506981507684</v>
      </c>
      <c r="H111" s="126" t="n">
        <f aca="false">IF(AND(ISNUMBER(D111),ISNUMBER(E111)),E111-D111,"unknown")</f>
        <v>22.6281033999717</v>
      </c>
    </row>
    <row r="112" customFormat="false" ht="15" hidden="false" customHeight="false" outlineLevel="0" collapsed="false">
      <c r="B112" s="54" t="s">
        <v>1433</v>
      </c>
      <c r="C112" s="82" t="n">
        <f aca="false">IF(INDEX('10 Scoring &amp; Weights'!$F$87:$F$99,1)="","n/a",INDEX('10 Scoring &amp; Weights'!$F$87:$F$99,1))</f>
        <v>40</v>
      </c>
      <c r="D112" s="82" t="n">
        <f aca="false">IF(INDEX('10 Scoring &amp; Weights'!$F$87:$F$99,2)="","n/a",INDEX('10 Scoring &amp; Weights'!$F$87:$F$99,2))</f>
        <v>27.5</v>
      </c>
      <c r="E112" s="82" t="n">
        <f aca="false">IF(INDEX('10 Scoring &amp; Weights'!$F$87:$F$99,3)="","n/a",INDEX('10 Scoring &amp; Weights'!$F$87:$F$99,3))</f>
        <v>50</v>
      </c>
      <c r="F112" s="126" t="n">
        <f aca="false">IF(AND(ISNUMBER(C112),ISNUMBER(D112)),D112-C112,"unknown")</f>
        <v>-12.5</v>
      </c>
      <c r="G112" s="126" t="n">
        <f aca="false">IF(AND(ISNUMBER(C112),ISNUMBER(E112)),E112-C112,"unknown")</f>
        <v>10</v>
      </c>
      <c r="H112" s="126" t="n">
        <f aca="false">IF(AND(ISNUMBER(D112),ISNUMBER(E112)),E112-D112,"unknown")</f>
        <v>22.5</v>
      </c>
    </row>
    <row r="113" customFormat="false" ht="15" hidden="false" customHeight="false" outlineLevel="0" collapsed="false">
      <c r="B113" s="54" t="s">
        <v>19</v>
      </c>
      <c r="C113" s="128" t="str">
        <f aca="false">IF(INDEX('10 Scoring &amp; Weights'!$S$87:$S$99,1)="","n/a",INDEX('10 Scoring &amp; Weights'!$S$87:$S$99,1))</f>
        <v>Conditionally eligible</v>
      </c>
      <c r="D113" s="128" t="str">
        <f aca="false">IF(INDEX('10 Scoring &amp; Weights'!$S$87:$S$99,2)="","n/a",INDEX('10 Scoring &amp; Weights'!$S$87:$S$99,2))</f>
        <v>Pending verification</v>
      </c>
      <c r="E113" s="128" t="str">
        <f aca="false">IF(INDEX('10 Scoring &amp; Weights'!$S$87:$S$99,3)="","n/a",INDEX('10 Scoring &amp; Weights'!$S$87:$S$99,3))</f>
        <v>Conditionally eligible</v>
      </c>
      <c r="F113" s="128" t="str">
        <f aca="false">IF(C113=D113,"Same",C113&amp;" → "&amp;D113)</f>
        <v>Conditionally eligible → Pending verification</v>
      </c>
      <c r="G113" s="128" t="str">
        <f aca="false">IF(C113=E113,"Same",C113&amp;" → "&amp;E113)</f>
        <v>Same</v>
      </c>
      <c r="H113" s="128" t="str">
        <f aca="false">IF(D113=E113,"Same",D113&amp;" → "&amp;E113)</f>
        <v>Pending verification → Conditionally eligible</v>
      </c>
    </row>
    <row r="114" customFormat="false" ht="15" hidden="false" customHeight="false" outlineLevel="0" collapsed="false">
      <c r="B114" s="54" t="s">
        <v>1360</v>
      </c>
      <c r="C114" s="64" t="n">
        <f aca="false">IF(INDEX('10 Scoring &amp; Weights'!$L$87:$L$99,1)="","n/a",INDEX('10 Scoring &amp; Weights'!$L$87:$L$99,1))</f>
        <v>0.722222222222222</v>
      </c>
      <c r="D114" s="64" t="n">
        <f aca="false">IF(INDEX('10 Scoring &amp; Weights'!$L$87:$L$99,2)="","n/a",INDEX('10 Scoring &amp; Weights'!$L$87:$L$99,2))</f>
        <v>0.135135135135135</v>
      </c>
      <c r="E114" s="64" t="n">
        <f aca="false">IF(INDEX('10 Scoring &amp; Weights'!$L$87:$L$99,3)="","n/a",INDEX('10 Scoring &amp; Weights'!$L$87:$L$99,3))</f>
        <v>0.513513513513514</v>
      </c>
      <c r="F114" s="133" t="n">
        <f aca="false">IF(AND(ISNUMBER(C114),ISNUMBER(D114)),D114-C114,"unknown")</f>
        <v>-0.587087087087087</v>
      </c>
      <c r="G114" s="133" t="n">
        <f aca="false">IF(AND(ISNUMBER(C114),ISNUMBER(E114)),E114-C114,"unknown")</f>
        <v>-0.208708708708709</v>
      </c>
      <c r="H114" s="133" t="n">
        <f aca="false">IF(AND(ISNUMBER(D114),ISNUMBER(E114)),E114-D114,"unknown")</f>
        <v>0.378378378378378</v>
      </c>
    </row>
    <row r="115" customFormat="false" ht="15" hidden="false" customHeight="false" outlineLevel="0" collapsed="false">
      <c r="B115" s="54" t="s">
        <v>1434</v>
      </c>
      <c r="C115" s="82" t="n">
        <f aca="false">IF(INDEX('03 Feature Comparison'!$AG$6:$AG$18,1)="","n/a",INDEX('03 Feature Comparison'!$AG$6:$AG$18,1))</f>
        <v>10</v>
      </c>
      <c r="D115" s="82" t="str">
        <f aca="false">IF(INDEX('03 Feature Comparison'!$AG$6:$AG$18,2)="","n/a",INDEX('03 Feature Comparison'!$AG$6:$AG$18,2))</f>
        <v>n/a</v>
      </c>
      <c r="E115" s="82" t="n">
        <f aca="false">IF(INDEX('03 Feature Comparison'!$AG$6:$AG$18,3)="","n/a",INDEX('03 Feature Comparison'!$AG$6:$AG$18,3))</f>
        <v>3</v>
      </c>
      <c r="F115" s="126" t="str">
        <f aca="false">IF(AND(ISNUMBER(C115),ISNUMBER(D115)),D115-C115,"unknown")</f>
        <v>unknown</v>
      </c>
      <c r="G115" s="126" t="n">
        <f aca="false">IF(AND(ISNUMBER(C115),ISNUMBER(E115)),E115-C115,"unknown")</f>
        <v>-7</v>
      </c>
      <c r="H115" s="126" t="str">
        <f aca="false">IF(AND(ISNUMBER(D115),ISNUMBER(E115)),E115-D115,"unknown")</f>
        <v>unknown</v>
      </c>
    </row>
    <row r="116" customFormat="false" ht="15" hidden="false" customHeight="false" outlineLevel="0" collapsed="false">
      <c r="B116" s="54" t="s">
        <v>1382</v>
      </c>
      <c r="C116" s="82" t="n">
        <f aca="false">IF(INDEX('08 TCO Model'!$Y$32:$Y$44,1)="","n/a",INDEX('08 TCO Model'!$Y$32:$Y$44,1))</f>
        <v>93.23</v>
      </c>
      <c r="D116" s="82" t="n">
        <f aca="false">IF(INDEX('08 TCO Model'!$Y$32:$Y$44,2)="","n/a",INDEX('08 TCO Model'!$Y$32:$Y$44,2))</f>
        <v>140.1386</v>
      </c>
      <c r="E116" s="82" t="n">
        <f aca="false">IF(INDEX('08 TCO Model'!$Y$32:$Y$44,3)="","n/a",INDEX('08 TCO Model'!$Y$32:$Y$44,3))</f>
        <v>140.1386</v>
      </c>
      <c r="F116" s="126" t="n">
        <f aca="false">IF(AND(ISNUMBER(C116),ISNUMBER(D116)),D116-C116,"unknown")</f>
        <v>46.9086</v>
      </c>
      <c r="G116" s="126" t="n">
        <f aca="false">IF(AND(ISNUMBER(C116),ISNUMBER(E116)),E116-C116,"unknown")</f>
        <v>46.9086</v>
      </c>
      <c r="H116" s="126" t="n">
        <f aca="false">IF(AND(ISNUMBER(D116),ISNUMBER(E116)),E116-D116,"unknown")</f>
        <v>0</v>
      </c>
    </row>
    <row r="117" customFormat="false" ht="15" hidden="false" customHeight="false" outlineLevel="0" collapsed="false">
      <c r="B117" s="54" t="s">
        <v>1435</v>
      </c>
      <c r="C117" s="79" t="n">
        <f aca="false">IF(INDEX('06 Needs-Feature Map'!$D$113:$D$125,1)="","n/a",INDEX('06 Needs-Feature Map'!$D$113:$D$125,1))</f>
        <v>0.25</v>
      </c>
      <c r="D117" s="79" t="n">
        <f aca="false">IF(INDEX('06 Needs-Feature Map'!$D$113:$D$125,2)="","n/a",INDEX('06 Needs-Feature Map'!$D$113:$D$125,2))</f>
        <v>1</v>
      </c>
      <c r="E117" s="79" t="n">
        <f aca="false">IF(INDEX('06 Needs-Feature Map'!$D$113:$D$125,3)="","n/a",INDEX('06 Needs-Feature Map'!$D$113:$D$125,3))</f>
        <v>1</v>
      </c>
      <c r="F117" s="134" t="n">
        <f aca="false">IF(AND(ISNUMBER(C117),ISNUMBER(D117)),D117-C117,"unknown")</f>
        <v>0.75</v>
      </c>
      <c r="G117" s="134" t="n">
        <f aca="false">IF(AND(ISNUMBER(C117),ISNUMBER(E117)),E117-C117,"unknown")</f>
        <v>0.75</v>
      </c>
      <c r="H117" s="134" t="n">
        <f aca="false">IF(AND(ISNUMBER(D117),ISNUMBER(E117)),E117-D117,"unknown")</f>
        <v>0</v>
      </c>
    </row>
    <row r="118" customFormat="false" ht="15" hidden="false" customHeight="false" outlineLevel="0" collapsed="false">
      <c r="B118" s="54" t="s">
        <v>1436</v>
      </c>
      <c r="C118" s="79" t="n">
        <f aca="false">IF(INDEX('06 Needs-Feature Map'!$E$113:$E$125,1)="","n/a",INDEX('06 Needs-Feature Map'!$E$113:$E$125,1))</f>
        <v>0.175</v>
      </c>
      <c r="D118" s="79" t="n">
        <f aca="false">IF(INDEX('06 Needs-Feature Map'!$E$113:$E$125,2)="","n/a",INDEX('06 Needs-Feature Map'!$E$113:$E$125,2))</f>
        <v>0.2875</v>
      </c>
      <c r="E118" s="79" t="n">
        <f aca="false">IF(INDEX('06 Needs-Feature Map'!$E$113:$E$125,3)="","n/a",INDEX('06 Needs-Feature Map'!$E$113:$E$125,3))</f>
        <v>0.85</v>
      </c>
      <c r="F118" s="134" t="n">
        <f aca="false">IF(AND(ISNUMBER(C118),ISNUMBER(D118)),D118-C118,"unknown")</f>
        <v>0.1125</v>
      </c>
      <c r="G118" s="134" t="n">
        <f aca="false">IF(AND(ISNUMBER(C118),ISNUMBER(E118)),E118-C118,"unknown")</f>
        <v>0.675</v>
      </c>
      <c r="H118" s="134" t="n">
        <f aca="false">IF(AND(ISNUMBER(D118),ISNUMBER(E118)),E118-D118,"unknown")</f>
        <v>0.5625</v>
      </c>
    </row>
    <row r="119" customFormat="false" ht="15" hidden="false" customHeight="false" outlineLevel="0" collapsed="false">
      <c r="B119" s="54" t="s">
        <v>1437</v>
      </c>
      <c r="C119" s="79" t="n">
        <f aca="false">IF(INDEX('06 Needs-Feature Map'!$F$113:$F$125,1)="","n/a",INDEX('06 Needs-Feature Map'!$F$113:$F$125,1))</f>
        <v>1</v>
      </c>
      <c r="D119" s="79" t="n">
        <f aca="false">IF(INDEX('06 Needs-Feature Map'!$F$113:$F$125,2)="","n/a",INDEX('06 Needs-Feature Map'!$F$113:$F$125,2))</f>
        <v>0.25</v>
      </c>
      <c r="E119" s="79" t="n">
        <f aca="false">IF(INDEX('06 Needs-Feature Map'!$F$113:$F$125,3)="","n/a",INDEX('06 Needs-Feature Map'!$F$113:$F$125,3))</f>
        <v>0.25</v>
      </c>
      <c r="F119" s="134" t="n">
        <f aca="false">IF(AND(ISNUMBER(C119),ISNUMBER(D119)),D119-C119,"unknown")</f>
        <v>-0.75</v>
      </c>
      <c r="G119" s="134" t="n">
        <f aca="false">IF(AND(ISNUMBER(C119),ISNUMBER(E119)),E119-C119,"unknown")</f>
        <v>-0.75</v>
      </c>
      <c r="H119" s="134" t="n">
        <f aca="false">IF(AND(ISNUMBER(D119),ISNUMBER(E119)),E119-D119,"unknown")</f>
        <v>0</v>
      </c>
    </row>
    <row r="120" customFormat="false" ht="15" hidden="false" customHeight="false" outlineLevel="0" collapsed="false">
      <c r="B120" s="54" t="s">
        <v>1438</v>
      </c>
      <c r="C120" s="79" t="n">
        <f aca="false">IF(INDEX('06 Needs-Feature Map'!$G$113:$G$125,1)="","n/a",INDEX('06 Needs-Feature Map'!$G$113:$G$125,1))</f>
        <v>0.55</v>
      </c>
      <c r="D120" s="79" t="n">
        <f aca="false">IF(INDEX('06 Needs-Feature Map'!$G$113:$G$125,2)="","n/a",INDEX('06 Needs-Feature Map'!$G$113:$G$125,2))</f>
        <v>0.2875</v>
      </c>
      <c r="E120" s="79" t="n">
        <f aca="false">IF(INDEX('06 Needs-Feature Map'!$G$113:$G$125,3)="","n/a",INDEX('06 Needs-Feature Map'!$G$113:$G$125,3))</f>
        <v>0.73</v>
      </c>
      <c r="F120" s="134" t="n">
        <f aca="false">IF(AND(ISNUMBER(C120),ISNUMBER(D120)),D120-C120,"unknown")</f>
        <v>-0.2625</v>
      </c>
      <c r="G120" s="134" t="n">
        <f aca="false">IF(AND(ISNUMBER(C120),ISNUMBER(E120)),E120-C120,"unknown")</f>
        <v>0.18</v>
      </c>
      <c r="H120" s="134" t="n">
        <f aca="false">IF(AND(ISNUMBER(D120),ISNUMBER(E120)),E120-D120,"unknown")</f>
        <v>0.4425</v>
      </c>
    </row>
    <row r="121" customFormat="false" ht="15" hidden="false" customHeight="false" outlineLevel="0" collapsed="false">
      <c r="B121" s="54" t="s">
        <v>1439</v>
      </c>
      <c r="C121" s="79" t="n">
        <f aca="false">IF(INDEX('06 Needs-Feature Map'!$H$113:$H$125,1)="","n/a",INDEX('06 Needs-Feature Map'!$H$113:$H$125,1))</f>
        <v>1</v>
      </c>
      <c r="D121" s="79" t="n">
        <f aca="false">IF(INDEX('06 Needs-Feature Map'!$H$113:$H$125,2)="","n/a",INDEX('06 Needs-Feature Map'!$H$113:$H$125,2))</f>
        <v>0.25</v>
      </c>
      <c r="E121" s="79" t="n">
        <f aca="false">IF(INDEX('06 Needs-Feature Map'!$H$113:$H$125,3)="","n/a",INDEX('06 Needs-Feature Map'!$H$113:$H$125,3))</f>
        <v>1</v>
      </c>
      <c r="F121" s="134" t="n">
        <f aca="false">IF(AND(ISNUMBER(C121),ISNUMBER(D121)),D121-C121,"unknown")</f>
        <v>-0.75</v>
      </c>
      <c r="G121" s="134" t="n">
        <f aca="false">IF(AND(ISNUMBER(C121),ISNUMBER(E121)),E121-C121,"unknown")</f>
        <v>0</v>
      </c>
      <c r="H121" s="134" t="n">
        <f aca="false">IF(AND(ISNUMBER(D121),ISNUMBER(E121)),E121-D121,"unknown")</f>
        <v>0.75</v>
      </c>
    </row>
    <row r="122" customFormat="false" ht="15" hidden="false" customHeight="false" outlineLevel="0" collapsed="false">
      <c r="B122" s="54" t="s">
        <v>1440</v>
      </c>
      <c r="C122" s="79" t="n">
        <f aca="false">IF(INDEX('06 Needs-Feature Map'!$I$113:$I$125,1)="","n/a",INDEX('06 Needs-Feature Map'!$I$113:$I$125,1))</f>
        <v>0.775</v>
      </c>
      <c r="D122" s="79" t="n">
        <f aca="false">IF(INDEX('06 Needs-Feature Map'!$I$113:$I$125,2)="","n/a",INDEX('06 Needs-Feature Map'!$I$113:$I$125,2))</f>
        <v>0.25</v>
      </c>
      <c r="E122" s="79" t="n">
        <f aca="false">IF(INDEX('06 Needs-Feature Map'!$I$113:$I$125,3)="","n/a",INDEX('06 Needs-Feature Map'!$I$113:$I$125,3))</f>
        <v>0.25</v>
      </c>
      <c r="F122" s="134" t="n">
        <f aca="false">IF(AND(ISNUMBER(C122),ISNUMBER(D122)),D122-C122,"unknown")</f>
        <v>-0.525</v>
      </c>
      <c r="G122" s="134" t="n">
        <f aca="false">IF(AND(ISNUMBER(C122),ISNUMBER(E122)),E122-C122,"unknown")</f>
        <v>-0.525</v>
      </c>
      <c r="H122" s="134" t="n">
        <f aca="false">IF(AND(ISNUMBER(D122),ISNUMBER(E122)),E122-D122,"unknown")</f>
        <v>0</v>
      </c>
    </row>
    <row r="123" customFormat="false" ht="15" hidden="false" customHeight="false" outlineLevel="0" collapsed="false">
      <c r="B123" s="54" t="s">
        <v>1441</v>
      </c>
      <c r="C123" s="79" t="n">
        <f aca="false">IF(INDEX('06 Needs-Feature Map'!$J$113:$J$125,1)="","n/a",INDEX('06 Needs-Feature Map'!$J$113:$J$125,1))</f>
        <v>1</v>
      </c>
      <c r="D123" s="79" t="n">
        <f aca="false">IF(INDEX('06 Needs-Feature Map'!$J$113:$J$125,2)="","n/a",INDEX('06 Needs-Feature Map'!$J$113:$J$125,2))</f>
        <v>0.25</v>
      </c>
      <c r="E123" s="79" t="n">
        <f aca="false">IF(INDEX('06 Needs-Feature Map'!$J$113:$J$125,3)="","n/a",INDEX('06 Needs-Feature Map'!$J$113:$J$125,3))</f>
        <v>0.25</v>
      </c>
      <c r="F123" s="134" t="n">
        <f aca="false">IF(AND(ISNUMBER(C123),ISNUMBER(D123)),D123-C123,"unknown")</f>
        <v>-0.75</v>
      </c>
      <c r="G123" s="134" t="n">
        <f aca="false">IF(AND(ISNUMBER(C123),ISNUMBER(E123)),E123-C123,"unknown")</f>
        <v>-0.75</v>
      </c>
      <c r="H123" s="134" t="n">
        <f aca="false">IF(AND(ISNUMBER(D123),ISNUMBER(E123)),E123-D123,"unknown")</f>
        <v>0</v>
      </c>
    </row>
    <row r="124" customFormat="false" ht="15" hidden="false" customHeight="false" outlineLevel="0" collapsed="false">
      <c r="B124" s="54" t="s">
        <v>1442</v>
      </c>
      <c r="C124" s="79" t="n">
        <f aca="false">IF(INDEX('06 Needs-Feature Map'!$K$113:$K$125,1)="","n/a",INDEX('06 Needs-Feature Map'!$K$113:$K$125,1))</f>
        <v>0.25</v>
      </c>
      <c r="D124" s="79" t="n">
        <f aca="false">IF(INDEX('06 Needs-Feature Map'!$K$113:$K$125,2)="","n/a",INDEX('06 Needs-Feature Map'!$K$113:$K$125,2))</f>
        <v>0.25</v>
      </c>
      <c r="E124" s="79" t="n">
        <f aca="false">IF(INDEX('06 Needs-Feature Map'!$K$113:$K$125,3)="","n/a",INDEX('06 Needs-Feature Map'!$K$113:$K$125,3))</f>
        <v>0.25</v>
      </c>
      <c r="F124" s="134" t="n">
        <f aca="false">IF(AND(ISNUMBER(C124),ISNUMBER(D124)),D124-C124,"unknown")</f>
        <v>0</v>
      </c>
      <c r="G124" s="134" t="n">
        <f aca="false">IF(AND(ISNUMBER(C124),ISNUMBER(E124)),E124-C124,"unknown")</f>
        <v>0</v>
      </c>
      <c r="H124" s="134" t="n">
        <f aca="false">IF(AND(ISNUMBER(D124),ISNUMBER(E124)),E124-D124,"unknown")</f>
        <v>0</v>
      </c>
    </row>
    <row r="125" customFormat="false" ht="15" hidden="false" customHeight="false" outlineLevel="0" collapsed="false">
      <c r="B125" s="54" t="s">
        <v>1443</v>
      </c>
      <c r="C125" s="79" t="n">
        <f aca="false">IF(INDEX('06 Needs-Feature Map'!$L$113:$L$125,1)="","n/a",INDEX('06 Needs-Feature Map'!$L$113:$L$125,1))</f>
        <v>0</v>
      </c>
      <c r="D125" s="79" t="n">
        <f aca="false">IF(INDEX('06 Needs-Feature Map'!$L$113:$L$125,2)="","n/a",INDEX('06 Needs-Feature Map'!$L$113:$L$125,2))</f>
        <v>0.25</v>
      </c>
      <c r="E125" s="79" t="n">
        <f aca="false">IF(INDEX('06 Needs-Feature Map'!$L$113:$L$125,3)="","n/a",INDEX('06 Needs-Feature Map'!$L$113:$L$125,3))</f>
        <v>0.7</v>
      </c>
      <c r="F125" s="134" t="n">
        <f aca="false">IF(AND(ISNUMBER(C125),ISNUMBER(D125)),D125-C125,"unknown")</f>
        <v>0.25</v>
      </c>
      <c r="G125" s="134" t="n">
        <f aca="false">IF(AND(ISNUMBER(C125),ISNUMBER(E125)),E125-C125,"unknown")</f>
        <v>0.7</v>
      </c>
      <c r="H125" s="134" t="n">
        <f aca="false">IF(AND(ISNUMBER(D125),ISNUMBER(E125)),E125-D125,"unknown")</f>
        <v>0.45</v>
      </c>
    </row>
    <row r="126" customFormat="false" ht="15" hidden="false" customHeight="false" outlineLevel="0" collapsed="false">
      <c r="B126" s="54" t="s">
        <v>270</v>
      </c>
      <c r="C126" s="128" t="str">
        <f aca="false">IF(INDEX('03 Feature Comparison'!$O$6:$O$18,1)="","n/a",INDEX('03 Feature Comparison'!$O$6:$O$18,1))</f>
        <v>Unknown</v>
      </c>
      <c r="D126" s="128" t="str">
        <f aca="false">IF(INDEX('03 Feature Comparison'!$O$6:$O$18,2)="","n/a",INDEX('03 Feature Comparison'!$O$6:$O$18,2))</f>
        <v>Yes</v>
      </c>
      <c r="E126" s="128" t="str">
        <f aca="false">IF(INDEX('03 Feature Comparison'!$O$6:$O$18,3)="","n/a",INDEX('03 Feature Comparison'!$O$6:$O$18,3))</f>
        <v>Yes</v>
      </c>
      <c r="F126" s="128" t="str">
        <f aca="false">IF(AND(C126="",D126=""),"",IF(C126=D126,IF(C126="Yes","Shared","Same"),IF(AND(C126="Yes",D126="No"),"LOST",IF(AND(C126="No",D126="Yes"),"GAINED",IF(AND(C126="Unknown",OR(D126="Yes",D126="Conditional")),"Confirmed (A unknown)",IF(AND(C126="Unknown",D126="No"),"Absent (A unknown)",IF(OR(C126="Unknown",D126="Unknown"),"Unknown — verify",IF(AND(C126="Yes",D126="Conditional"),"Weaker",IF(AND(C126="Conditional",D126="Yes"),"Stronger",IF(AND(C126="Conditional",D126="No"),"LOST",IF(AND(C126="No",D126="Conditional"),"GAINED (conditional)",IF(OR(C126="N/A",D126="N/A"),"Not comparable","Different"))))))))))))</f>
        <v>Confirmed (A unknown)</v>
      </c>
      <c r="G126" s="128" t="str">
        <f aca="false">IF(AND(C126="",E126=""),"",IF(C126=E126,IF(C126="Yes","Shared","Same"),IF(AND(C126="Yes",E126="No"),"LOST",IF(AND(C126="No",E126="Yes"),"GAINED",IF(AND(C126="Unknown",OR(E126="Yes",E126="Conditional")),"Confirmed (A unknown)",IF(AND(C126="Unknown",E126="No"),"Absent (A unknown)",IF(OR(C126="Unknown",E126="Unknown"),"Unknown — verify",IF(AND(C126="Yes",E126="Conditional"),"Weaker",IF(AND(C126="Conditional",E126="Yes"),"Stronger",IF(AND(C126="Conditional",E126="No"),"LOST",IF(AND(C126="No",E126="Conditional"),"GAINED (conditional)",IF(OR(C126="N/A",E126="N/A"),"Not comparable","Different"))))))))))))</f>
        <v>Confirmed (A unknown)</v>
      </c>
      <c r="H126" s="128" t="str">
        <f aca="false">IF(AND(D126="",E126=""),"",IF(D126=E126,IF(D126="Yes","Shared","Same"),IF(AND(D126="Yes",E126="No"),"LOST",IF(AND(D126="No",E126="Yes"),"GAINED",IF(AND(D126="Unknown",OR(E126="Yes",E126="Conditional")),"Confirmed (A unknown)",IF(AND(D126="Unknown",E126="No"),"Absent (A unknown)",IF(OR(D126="Unknown",E126="Unknown"),"Unknown — verify",IF(AND(D126="Yes",E126="Conditional"),"Weaker",IF(AND(D126="Conditional",E126="Yes"),"Stronger",IF(AND(D126="Conditional",E126="No"),"LOST",IF(AND(D126="No",E126="Conditional"),"GAINED (conditional)",IF(OR(D126="N/A",E126="N/A"),"Not comparable","Different"))))))))))))</f>
        <v>Shared</v>
      </c>
    </row>
    <row r="127" customFormat="false" ht="15" hidden="false" customHeight="false" outlineLevel="0" collapsed="false">
      <c r="B127" s="54" t="s">
        <v>271</v>
      </c>
      <c r="C127" s="128" t="str">
        <f aca="false">IF(INDEX('03 Feature Comparison'!$P$6:$P$18,1)="","n/a",INDEX('03 Feature Comparison'!$P$6:$P$18,1))</f>
        <v>Unknown</v>
      </c>
      <c r="D127" s="128" t="str">
        <f aca="false">IF(INDEX('03 Feature Comparison'!$P$6:$P$18,2)="","n/a",INDEX('03 Feature Comparison'!$P$6:$P$18,2))</f>
        <v>Unknown</v>
      </c>
      <c r="E127" s="128" t="str">
        <f aca="false">IF(INDEX('03 Feature Comparison'!$P$6:$P$18,3)="","n/a",INDEX('03 Feature Comparison'!$P$6:$P$18,3))</f>
        <v>Yes</v>
      </c>
      <c r="F127" s="128" t="str">
        <f aca="false">IF(AND(C127="",D127=""),"",IF(C127=D127,IF(C127="Yes","Shared","Same"),IF(AND(C127="Yes",D127="No"),"LOST",IF(AND(C127="No",D127="Yes"),"GAINED",IF(AND(C127="Unknown",OR(D127="Yes",D127="Conditional")),"Confirmed (A unknown)",IF(AND(C127="Unknown",D127="No"),"Absent (A unknown)",IF(OR(C127="Unknown",D127="Unknown"),"Unknown — verify",IF(AND(C127="Yes",D127="Conditional"),"Weaker",IF(AND(C127="Conditional",D127="Yes"),"Stronger",IF(AND(C127="Conditional",D127="No"),"LOST",IF(AND(C127="No",D127="Conditional"),"GAINED (conditional)",IF(OR(C127="N/A",D127="N/A"),"Not comparable","Different"))))))))))))</f>
        <v>Same</v>
      </c>
      <c r="G127" s="128" t="str">
        <f aca="false">IF(AND(C127="",E127=""),"",IF(C127=E127,IF(C127="Yes","Shared","Same"),IF(AND(C127="Yes",E127="No"),"LOST",IF(AND(C127="No",E127="Yes"),"GAINED",IF(AND(C127="Unknown",OR(E127="Yes",E127="Conditional")),"Confirmed (A unknown)",IF(AND(C127="Unknown",E127="No"),"Absent (A unknown)",IF(OR(C127="Unknown",E127="Unknown"),"Unknown — verify",IF(AND(C127="Yes",E127="Conditional"),"Weaker",IF(AND(C127="Conditional",E127="Yes"),"Stronger",IF(AND(C127="Conditional",E127="No"),"LOST",IF(AND(C127="No",E127="Conditional"),"GAINED (conditional)",IF(OR(C127="N/A",E127="N/A"),"Not comparable","Different"))))))))))))</f>
        <v>Confirmed (A unknown)</v>
      </c>
      <c r="H127" s="128" t="str">
        <f aca="false">IF(AND(D127="",E127=""),"",IF(D127=E127,IF(D127="Yes","Shared","Same"),IF(AND(D127="Yes",E127="No"),"LOST",IF(AND(D127="No",E127="Yes"),"GAINED",IF(AND(D127="Unknown",OR(E127="Yes",E127="Conditional")),"Confirmed (A unknown)",IF(AND(D127="Unknown",E127="No"),"Absent (A unknown)",IF(OR(D127="Unknown",E127="Unknown"),"Unknown — verify",IF(AND(D127="Yes",E127="Conditional"),"Weaker",IF(AND(D127="Conditional",E127="Yes"),"Stronger",IF(AND(D127="Conditional",E127="No"),"LOST",IF(AND(D127="No",E127="Conditional"),"GAINED (conditional)",IF(OR(D127="N/A",E127="N/A"),"Not comparable","Different"))))))))))))</f>
        <v>Confirmed (A unknown)</v>
      </c>
    </row>
    <row r="128" customFormat="false" ht="15" hidden="false" customHeight="false" outlineLevel="0" collapsed="false">
      <c r="B128" s="54" t="s">
        <v>272</v>
      </c>
      <c r="C128" s="128" t="str">
        <f aca="false">IF(INDEX('03 Feature Comparison'!$Q$6:$Q$18,1)="","n/a",INDEX('03 Feature Comparison'!$Q$6:$Q$18,1))</f>
        <v>Unknown</v>
      </c>
      <c r="D128" s="128" t="str">
        <f aca="false">IF(INDEX('03 Feature Comparison'!$Q$6:$Q$18,2)="","n/a",INDEX('03 Feature Comparison'!$Q$6:$Q$18,2))</f>
        <v>Unknown</v>
      </c>
      <c r="E128" s="128" t="str">
        <f aca="false">IF(INDEX('03 Feature Comparison'!$Q$6:$Q$18,3)="","n/a",INDEX('03 Feature Comparison'!$Q$6:$Q$18,3))</f>
        <v>Conditional</v>
      </c>
      <c r="F128" s="128" t="str">
        <f aca="false">IF(AND(C128="",D128=""),"",IF(C128=D128,IF(C128="Yes","Shared","Same"),IF(AND(C128="Yes",D128="No"),"LOST",IF(AND(C128="No",D128="Yes"),"GAINED",IF(AND(C128="Unknown",OR(D128="Yes",D128="Conditional")),"Confirmed (A unknown)",IF(AND(C128="Unknown",D128="No"),"Absent (A unknown)",IF(OR(C128="Unknown",D128="Unknown"),"Unknown — verify",IF(AND(C128="Yes",D128="Conditional"),"Weaker",IF(AND(C128="Conditional",D128="Yes"),"Stronger",IF(AND(C128="Conditional",D128="No"),"LOST",IF(AND(C128="No",D128="Conditional"),"GAINED (conditional)",IF(OR(C128="N/A",D128="N/A"),"Not comparable","Different"))))))))))))</f>
        <v>Same</v>
      </c>
      <c r="G128" s="128" t="str">
        <f aca="false">IF(AND(C128="",E128=""),"",IF(C128=E128,IF(C128="Yes","Shared","Same"),IF(AND(C128="Yes",E128="No"),"LOST",IF(AND(C128="No",E128="Yes"),"GAINED",IF(AND(C128="Unknown",OR(E128="Yes",E128="Conditional")),"Confirmed (A unknown)",IF(AND(C128="Unknown",E128="No"),"Absent (A unknown)",IF(OR(C128="Unknown",E128="Unknown"),"Unknown — verify",IF(AND(C128="Yes",E128="Conditional"),"Weaker",IF(AND(C128="Conditional",E128="Yes"),"Stronger",IF(AND(C128="Conditional",E128="No"),"LOST",IF(AND(C128="No",E128="Conditional"),"GAINED (conditional)",IF(OR(C128="N/A",E128="N/A"),"Not comparable","Different"))))))))))))</f>
        <v>Confirmed (A unknown)</v>
      </c>
      <c r="H128" s="128" t="str">
        <f aca="false">IF(AND(D128="",E128=""),"",IF(D128=E128,IF(D128="Yes","Shared","Same"),IF(AND(D128="Yes",E128="No"),"LOST",IF(AND(D128="No",E128="Yes"),"GAINED",IF(AND(D128="Unknown",OR(E128="Yes",E128="Conditional")),"Confirmed (A unknown)",IF(AND(D128="Unknown",E128="No"),"Absent (A unknown)",IF(OR(D128="Unknown",E128="Unknown"),"Unknown — verify",IF(AND(D128="Yes",E128="Conditional"),"Weaker",IF(AND(D128="Conditional",E128="Yes"),"Stronger",IF(AND(D128="Conditional",E128="No"),"LOST",IF(AND(D128="No",E128="Conditional"),"GAINED (conditional)",IF(OR(D128="N/A",E128="N/A"),"Not comparable","Different"))))))))))))</f>
        <v>Confirmed (A unknown)</v>
      </c>
    </row>
    <row r="129" customFormat="false" ht="15" hidden="false" customHeight="false" outlineLevel="0" collapsed="false">
      <c r="B129" s="54" t="s">
        <v>273</v>
      </c>
      <c r="C129" s="128" t="str">
        <f aca="false">IF(INDEX('03 Feature Comparison'!$R$6:$R$18,1)="","n/a",INDEX('03 Feature Comparison'!$R$6:$R$18,1))</f>
        <v>No</v>
      </c>
      <c r="D129" s="128" t="str">
        <f aca="false">IF(INDEX('03 Feature Comparison'!$R$6:$R$18,2)="","n/a",INDEX('03 Feature Comparison'!$R$6:$R$18,2))</f>
        <v>Unknown</v>
      </c>
      <c r="E129" s="128" t="str">
        <f aca="false">IF(INDEX('03 Feature Comparison'!$R$6:$R$18,3)="","n/a",INDEX('03 Feature Comparison'!$R$6:$R$18,3))</f>
        <v>Yes</v>
      </c>
      <c r="F129" s="128" t="str">
        <f aca="false">IF(AND(C129="",D129=""),"",IF(C129=D129,IF(C129="Yes","Shared","Same"),IF(AND(C129="Yes",D129="No"),"LOST",IF(AND(C129="No",D129="Yes"),"GAINED",IF(AND(C129="Unknown",OR(D129="Yes",D129="Conditional")),"Confirmed (A unknown)",IF(AND(C129="Unknown",D129="No"),"Absent (A unknown)",IF(OR(C129="Unknown",D129="Unknown"),"Unknown — verify",IF(AND(C129="Yes",D129="Conditional"),"Weaker",IF(AND(C129="Conditional",D129="Yes"),"Stronger",IF(AND(C129="Conditional",D129="No"),"LOST",IF(AND(C129="No",D129="Conditional"),"GAINED (conditional)",IF(OR(C129="N/A",D129="N/A"),"Not comparable","Different"))))))))))))</f>
        <v>Unknown — verify</v>
      </c>
      <c r="G129" s="128" t="str">
        <f aca="false">IF(AND(C129="",E129=""),"",IF(C129=E129,IF(C129="Yes","Shared","Same"),IF(AND(C129="Yes",E129="No"),"LOST",IF(AND(C129="No",E129="Yes"),"GAINED",IF(AND(C129="Unknown",OR(E129="Yes",E129="Conditional")),"Confirmed (A unknown)",IF(AND(C129="Unknown",E129="No"),"Absent (A unknown)",IF(OR(C129="Unknown",E129="Unknown"),"Unknown — verify",IF(AND(C129="Yes",E129="Conditional"),"Weaker",IF(AND(C129="Conditional",E129="Yes"),"Stronger",IF(AND(C129="Conditional",E129="No"),"LOST",IF(AND(C129="No",E129="Conditional"),"GAINED (conditional)",IF(OR(C129="N/A",E129="N/A"),"Not comparable","Different"))))))))))))</f>
        <v>GAINED</v>
      </c>
      <c r="H129" s="128" t="str">
        <f aca="false">IF(AND(D129="",E129=""),"",IF(D129=E129,IF(D129="Yes","Shared","Same"),IF(AND(D129="Yes",E129="No"),"LOST",IF(AND(D129="No",E129="Yes"),"GAINED",IF(AND(D129="Unknown",OR(E129="Yes",E129="Conditional")),"Confirmed (A unknown)",IF(AND(D129="Unknown",E129="No"),"Absent (A unknown)",IF(OR(D129="Unknown",E129="Unknown"),"Unknown — verify",IF(AND(D129="Yes",E129="Conditional"),"Weaker",IF(AND(D129="Conditional",E129="Yes"),"Stronger",IF(AND(D129="Conditional",E129="No"),"LOST",IF(AND(D129="No",E129="Conditional"),"GAINED (conditional)",IF(OR(D129="N/A",E129="N/A"),"Not comparable","Different"))))))))))))</f>
        <v>Confirmed (A unknown)</v>
      </c>
    </row>
    <row r="130" customFormat="false" ht="15" hidden="false" customHeight="false" outlineLevel="0" collapsed="false">
      <c r="B130" s="54" t="s">
        <v>276</v>
      </c>
      <c r="C130" s="128" t="str">
        <f aca="false">IF(INDEX('03 Feature Comparison'!$U$6:$U$18,1)="","n/a",INDEX('03 Feature Comparison'!$U$6:$U$18,1))</f>
        <v>No</v>
      </c>
      <c r="D130" s="128" t="str">
        <f aca="false">IF(INDEX('03 Feature Comparison'!$U$6:$U$18,2)="","n/a",INDEX('03 Feature Comparison'!$U$6:$U$18,2))</f>
        <v>Conditional</v>
      </c>
      <c r="E130" s="128" t="str">
        <f aca="false">IF(INDEX('03 Feature Comparison'!$U$6:$U$18,3)="","n/a",INDEX('03 Feature Comparison'!$U$6:$U$18,3))</f>
        <v>Yes</v>
      </c>
      <c r="F130" s="128" t="str">
        <f aca="false">IF(AND(C130="",D130=""),"",IF(C130=D130,IF(C130="Yes","Shared","Same"),IF(AND(C130="Yes",D130="No"),"LOST",IF(AND(C130="No",D130="Yes"),"GAINED",IF(AND(C130="Unknown",OR(D130="Yes",D130="Conditional")),"Confirmed (A unknown)",IF(AND(C130="Unknown",D130="No"),"Absent (A unknown)",IF(OR(C130="Unknown",D130="Unknown"),"Unknown — verify",IF(AND(C130="Yes",D130="Conditional"),"Weaker",IF(AND(C130="Conditional",D130="Yes"),"Stronger",IF(AND(C130="Conditional",D130="No"),"LOST",IF(AND(C130="No",D130="Conditional"),"GAINED (conditional)",IF(OR(C130="N/A",D130="N/A"),"Not comparable","Different"))))))))))))</f>
        <v>GAINED (conditional)</v>
      </c>
      <c r="G130" s="128" t="str">
        <f aca="false">IF(AND(C130="",E130=""),"",IF(C130=E130,IF(C130="Yes","Shared","Same"),IF(AND(C130="Yes",E130="No"),"LOST",IF(AND(C130="No",E130="Yes"),"GAINED",IF(AND(C130="Unknown",OR(E130="Yes",E130="Conditional")),"Confirmed (A unknown)",IF(AND(C130="Unknown",E130="No"),"Absent (A unknown)",IF(OR(C130="Unknown",E130="Unknown"),"Unknown — verify",IF(AND(C130="Yes",E130="Conditional"),"Weaker",IF(AND(C130="Conditional",E130="Yes"),"Stronger",IF(AND(C130="Conditional",E130="No"),"LOST",IF(AND(C130="No",E130="Conditional"),"GAINED (conditional)",IF(OR(C130="N/A",E130="N/A"),"Not comparable","Different"))))))))))))</f>
        <v>GAINED</v>
      </c>
      <c r="H130" s="128" t="str">
        <f aca="false">IF(AND(D130="",E130=""),"",IF(D130=E130,IF(D130="Yes","Shared","Same"),IF(AND(D130="Yes",E130="No"),"LOST",IF(AND(D130="No",E130="Yes"),"GAINED",IF(AND(D130="Unknown",OR(E130="Yes",E130="Conditional")),"Confirmed (A unknown)",IF(AND(D130="Unknown",E130="No"),"Absent (A unknown)",IF(OR(D130="Unknown",E130="Unknown"),"Unknown — verify",IF(AND(D130="Yes",E130="Conditional"),"Weaker",IF(AND(D130="Conditional",E130="Yes"),"Stronger",IF(AND(D130="Conditional",E130="No"),"LOST",IF(AND(D130="No",E130="Conditional"),"GAINED (conditional)",IF(OR(D130="N/A",E130="N/A"),"Not comparable","Different"))))))))))))</f>
        <v>Stronger</v>
      </c>
    </row>
    <row r="131" customFormat="false" ht="15" hidden="false" customHeight="false" outlineLevel="0" collapsed="false">
      <c r="B131" s="54" t="s">
        <v>277</v>
      </c>
      <c r="C131" s="128" t="str">
        <f aca="false">IF(INDEX('03 Feature Comparison'!$V$6:$V$18,1)="","n/a",INDEX('03 Feature Comparison'!$V$6:$V$18,1))</f>
        <v>Yes</v>
      </c>
      <c r="D131" s="128" t="str">
        <f aca="false">IF(INDEX('03 Feature Comparison'!$V$6:$V$18,2)="","n/a",INDEX('03 Feature Comparison'!$V$6:$V$18,2))</f>
        <v>Unknown</v>
      </c>
      <c r="E131" s="128" t="str">
        <f aca="false">IF(INDEX('03 Feature Comparison'!$V$6:$V$18,3)="","n/a",INDEX('03 Feature Comparison'!$V$6:$V$18,3))</f>
        <v>Yes</v>
      </c>
      <c r="F131" s="128" t="str">
        <f aca="false">IF(AND(C131="",D131=""),"",IF(C131=D131,IF(C131="Yes","Shared","Same"),IF(AND(C131="Yes",D131="No"),"LOST",IF(AND(C131="No",D131="Yes"),"GAINED",IF(AND(C131="Unknown",OR(D131="Yes",D131="Conditional")),"Confirmed (A unknown)",IF(AND(C131="Unknown",D131="No"),"Absent (A unknown)",IF(OR(C131="Unknown",D131="Unknown"),"Unknown — verify",IF(AND(C131="Yes",D131="Conditional"),"Weaker",IF(AND(C131="Conditional",D131="Yes"),"Stronger",IF(AND(C131="Conditional",D131="No"),"LOST",IF(AND(C131="No",D131="Conditional"),"GAINED (conditional)",IF(OR(C131="N/A",D131="N/A"),"Not comparable","Different"))))))))))))</f>
        <v>Unknown — verify</v>
      </c>
      <c r="G131" s="128" t="str">
        <f aca="false">IF(AND(C131="",E131=""),"",IF(C131=E131,IF(C131="Yes","Shared","Same"),IF(AND(C131="Yes",E131="No"),"LOST",IF(AND(C131="No",E131="Yes"),"GAINED",IF(AND(C131="Unknown",OR(E131="Yes",E131="Conditional")),"Confirmed (A unknown)",IF(AND(C131="Unknown",E131="No"),"Absent (A unknown)",IF(OR(C131="Unknown",E131="Unknown"),"Unknown — verify",IF(AND(C131="Yes",E131="Conditional"),"Weaker",IF(AND(C131="Conditional",E131="Yes"),"Stronger",IF(AND(C131="Conditional",E131="No"),"LOST",IF(AND(C131="No",E131="Conditional"),"GAINED (conditional)",IF(OR(C131="N/A",E131="N/A"),"Not comparable","Different"))))))))))))</f>
        <v>Shared</v>
      </c>
      <c r="H131" s="128" t="str">
        <f aca="false">IF(AND(D131="",E131=""),"",IF(D131=E131,IF(D131="Yes","Shared","Same"),IF(AND(D131="Yes",E131="No"),"LOST",IF(AND(D131="No",E131="Yes"),"GAINED",IF(AND(D131="Unknown",OR(E131="Yes",E131="Conditional")),"Confirmed (A unknown)",IF(AND(D131="Unknown",E131="No"),"Absent (A unknown)",IF(OR(D131="Unknown",E131="Unknown"),"Unknown — verify",IF(AND(D131="Yes",E131="Conditional"),"Weaker",IF(AND(D131="Conditional",E131="Yes"),"Stronger",IF(AND(D131="Conditional",E131="No"),"LOST",IF(AND(D131="No",E131="Conditional"),"GAINED (conditional)",IF(OR(D131="N/A",E131="N/A"),"Not comparable","Different"))))))))))))</f>
        <v>Confirmed (A unknown)</v>
      </c>
    </row>
    <row r="132" customFormat="false" ht="15" hidden="false" customHeight="false" outlineLevel="0" collapsed="false">
      <c r="B132" s="54" t="s">
        <v>261</v>
      </c>
      <c r="C132" s="128" t="str">
        <f aca="false">IF(INDEX('03 Feature Comparison'!$F$6:$F$18,1)="","n/a",INDEX('03 Feature Comparison'!$F$6:$F$18,1))</f>
        <v>Yes</v>
      </c>
      <c r="D132" s="128" t="str">
        <f aca="false">IF(INDEX('03 Feature Comparison'!$F$6:$F$18,2)="","n/a",INDEX('03 Feature Comparison'!$F$6:$F$18,2))</f>
        <v>Unknown</v>
      </c>
      <c r="E132" s="128" t="str">
        <f aca="false">IF(INDEX('03 Feature Comparison'!$F$6:$F$18,3)="","n/a",INDEX('03 Feature Comparison'!$F$6:$F$18,3))</f>
        <v>Unknown</v>
      </c>
      <c r="F132" s="128" t="str">
        <f aca="false">IF(AND(C132="",D132=""),"",IF(C132=D132,IF(C132="Yes","Shared","Same"),IF(AND(C132="Yes",D132="No"),"LOST",IF(AND(C132="No",D132="Yes"),"GAINED",IF(AND(C132="Unknown",OR(D132="Yes",D132="Conditional")),"Confirmed (A unknown)",IF(AND(C132="Unknown",D132="No"),"Absent (A unknown)",IF(OR(C132="Unknown",D132="Unknown"),"Unknown — verify",IF(AND(C132="Yes",D132="Conditional"),"Weaker",IF(AND(C132="Conditional",D132="Yes"),"Stronger",IF(AND(C132="Conditional",D132="No"),"LOST",IF(AND(C132="No",D132="Conditional"),"GAINED (conditional)",IF(OR(C132="N/A",D132="N/A"),"Not comparable","Different"))))))))))))</f>
        <v>Unknown — verify</v>
      </c>
      <c r="G132" s="128" t="str">
        <f aca="false">IF(AND(C132="",E132=""),"",IF(C132=E132,IF(C132="Yes","Shared","Same"),IF(AND(C132="Yes",E132="No"),"LOST",IF(AND(C132="No",E132="Yes"),"GAINED",IF(AND(C132="Unknown",OR(E132="Yes",E132="Conditional")),"Confirmed (A unknown)",IF(AND(C132="Unknown",E132="No"),"Absent (A unknown)",IF(OR(C132="Unknown",E132="Unknown"),"Unknown — verify",IF(AND(C132="Yes",E132="Conditional"),"Weaker",IF(AND(C132="Conditional",E132="Yes"),"Stronger",IF(AND(C132="Conditional",E132="No"),"LOST",IF(AND(C132="No",E132="Conditional"),"GAINED (conditional)",IF(OR(C132="N/A",E132="N/A"),"Not comparable","Different"))))))))))))</f>
        <v>Unknown — verify</v>
      </c>
      <c r="H132" s="128" t="str">
        <f aca="false">IF(AND(D132="",E132=""),"",IF(D132=E132,IF(D132="Yes","Shared","Same"),IF(AND(D132="Yes",E132="No"),"LOST",IF(AND(D132="No",E132="Yes"),"GAINED",IF(AND(D132="Unknown",OR(E132="Yes",E132="Conditional")),"Confirmed (A unknown)",IF(AND(D132="Unknown",E132="No"),"Absent (A unknown)",IF(OR(D132="Unknown",E132="Unknown"),"Unknown — verify",IF(AND(D132="Yes",E132="Conditional"),"Weaker",IF(AND(D132="Conditional",E132="Yes"),"Stronger",IF(AND(D132="Conditional",E132="No"),"LOST",IF(AND(D132="No",E132="Conditional"),"GAINED (conditional)",IF(OR(D132="N/A",E132="N/A"),"Not comparable","Different"))))))))))))</f>
        <v>Same</v>
      </c>
    </row>
    <row r="133" customFormat="false" ht="15" hidden="false" customHeight="false" outlineLevel="0" collapsed="false">
      <c r="B133" s="54" t="s">
        <v>262</v>
      </c>
      <c r="C133" s="128" t="str">
        <f aca="false">IF(INDEX('03 Feature Comparison'!$G$6:$G$18,1)="","n/a",INDEX('03 Feature Comparison'!$G$6:$G$18,1))</f>
        <v>Yes</v>
      </c>
      <c r="D133" s="128" t="str">
        <f aca="false">IF(INDEX('03 Feature Comparison'!$G$6:$G$18,2)="","n/a",INDEX('03 Feature Comparison'!$G$6:$G$18,2))</f>
        <v>Unknown</v>
      </c>
      <c r="E133" s="128" t="str">
        <f aca="false">IF(INDEX('03 Feature Comparison'!$G$6:$G$18,3)="","n/a",INDEX('03 Feature Comparison'!$G$6:$G$18,3))</f>
        <v>Unknown</v>
      </c>
      <c r="F133" s="128" t="str">
        <f aca="false">IF(AND(C133="",D133=""),"",IF(C133=D133,IF(C133="Yes","Shared","Same"),IF(AND(C133="Yes",D133="No"),"LOST",IF(AND(C133="No",D133="Yes"),"GAINED",IF(AND(C133="Unknown",OR(D133="Yes",D133="Conditional")),"Confirmed (A unknown)",IF(AND(C133="Unknown",D133="No"),"Absent (A unknown)",IF(OR(C133="Unknown",D133="Unknown"),"Unknown — verify",IF(AND(C133="Yes",D133="Conditional"),"Weaker",IF(AND(C133="Conditional",D133="Yes"),"Stronger",IF(AND(C133="Conditional",D133="No"),"LOST",IF(AND(C133="No",D133="Conditional"),"GAINED (conditional)",IF(OR(C133="N/A",D133="N/A"),"Not comparable","Different"))))))))))))</f>
        <v>Unknown — verify</v>
      </c>
      <c r="G133" s="128" t="str">
        <f aca="false">IF(AND(C133="",E133=""),"",IF(C133=E133,IF(C133="Yes","Shared","Same"),IF(AND(C133="Yes",E133="No"),"LOST",IF(AND(C133="No",E133="Yes"),"GAINED",IF(AND(C133="Unknown",OR(E133="Yes",E133="Conditional")),"Confirmed (A unknown)",IF(AND(C133="Unknown",E133="No"),"Absent (A unknown)",IF(OR(C133="Unknown",E133="Unknown"),"Unknown — verify",IF(AND(C133="Yes",E133="Conditional"),"Weaker",IF(AND(C133="Conditional",E133="Yes"),"Stronger",IF(AND(C133="Conditional",E133="No"),"LOST",IF(AND(C133="No",E133="Conditional"),"GAINED (conditional)",IF(OR(C133="N/A",E133="N/A"),"Not comparable","Different"))))))))))))</f>
        <v>Unknown — verify</v>
      </c>
      <c r="H133" s="128" t="str">
        <f aca="false">IF(AND(D133="",E133=""),"",IF(D133=E133,IF(D133="Yes","Shared","Same"),IF(AND(D133="Yes",E133="No"),"LOST",IF(AND(D133="No",E133="Yes"),"GAINED",IF(AND(D133="Unknown",OR(E133="Yes",E133="Conditional")),"Confirmed (A unknown)",IF(AND(D133="Unknown",E133="No"),"Absent (A unknown)",IF(OR(D133="Unknown",E133="Unknown"),"Unknown — verify",IF(AND(D133="Yes",E133="Conditional"),"Weaker",IF(AND(D133="Conditional",E133="Yes"),"Stronger",IF(AND(D133="Conditional",E133="No"),"LOST",IF(AND(D133="No",E133="Conditional"),"GAINED (conditional)",IF(OR(D133="N/A",E133="N/A"),"Not comparable","Different"))))))))))))</f>
        <v>Same</v>
      </c>
    </row>
    <row r="134" customFormat="false" ht="15" hidden="false" customHeight="false" outlineLevel="0" collapsed="false">
      <c r="B134" s="54" t="s">
        <v>263</v>
      </c>
      <c r="C134" s="128" t="str">
        <f aca="false">IF(INDEX('03 Feature Comparison'!$H$6:$H$18,1)="","n/a",INDEX('03 Feature Comparison'!$H$6:$H$18,1))</f>
        <v>Yes</v>
      </c>
      <c r="D134" s="128" t="str">
        <f aca="false">IF(INDEX('03 Feature Comparison'!$H$6:$H$18,2)="","n/a",INDEX('03 Feature Comparison'!$H$6:$H$18,2))</f>
        <v>Unknown</v>
      </c>
      <c r="E134" s="128" t="str">
        <f aca="false">IF(INDEX('03 Feature Comparison'!$H$6:$H$18,3)="","n/a",INDEX('03 Feature Comparison'!$H$6:$H$18,3))</f>
        <v>Unknown</v>
      </c>
      <c r="F134" s="128" t="str">
        <f aca="false">IF(AND(C134="",D134=""),"",IF(C134=D134,IF(C134="Yes","Shared","Same"),IF(AND(C134="Yes",D134="No"),"LOST",IF(AND(C134="No",D134="Yes"),"GAINED",IF(AND(C134="Unknown",OR(D134="Yes",D134="Conditional")),"Confirmed (A unknown)",IF(AND(C134="Unknown",D134="No"),"Absent (A unknown)",IF(OR(C134="Unknown",D134="Unknown"),"Unknown — verify",IF(AND(C134="Yes",D134="Conditional"),"Weaker",IF(AND(C134="Conditional",D134="Yes"),"Stronger",IF(AND(C134="Conditional",D134="No"),"LOST",IF(AND(C134="No",D134="Conditional"),"GAINED (conditional)",IF(OR(C134="N/A",D134="N/A"),"Not comparable","Different"))))))))))))</f>
        <v>Unknown — verify</v>
      </c>
      <c r="G134" s="128" t="str">
        <f aca="false">IF(AND(C134="",E134=""),"",IF(C134=E134,IF(C134="Yes","Shared","Same"),IF(AND(C134="Yes",E134="No"),"LOST",IF(AND(C134="No",E134="Yes"),"GAINED",IF(AND(C134="Unknown",OR(E134="Yes",E134="Conditional")),"Confirmed (A unknown)",IF(AND(C134="Unknown",E134="No"),"Absent (A unknown)",IF(OR(C134="Unknown",E134="Unknown"),"Unknown — verify",IF(AND(C134="Yes",E134="Conditional"),"Weaker",IF(AND(C134="Conditional",E134="Yes"),"Stronger",IF(AND(C134="Conditional",E134="No"),"LOST",IF(AND(C134="No",E134="Conditional"),"GAINED (conditional)",IF(OR(C134="N/A",E134="N/A"),"Not comparable","Different"))))))))))))</f>
        <v>Unknown — verify</v>
      </c>
      <c r="H134" s="128" t="str">
        <f aca="false">IF(AND(D134="",E134=""),"",IF(D134=E134,IF(D134="Yes","Shared","Same"),IF(AND(D134="Yes",E134="No"),"LOST",IF(AND(D134="No",E134="Yes"),"GAINED",IF(AND(D134="Unknown",OR(E134="Yes",E134="Conditional")),"Confirmed (A unknown)",IF(AND(D134="Unknown",E134="No"),"Absent (A unknown)",IF(OR(D134="Unknown",E134="Unknown"),"Unknown — verify",IF(AND(D134="Yes",E134="Conditional"),"Weaker",IF(AND(D134="Conditional",E134="Yes"),"Stronger",IF(AND(D134="Conditional",E134="No"),"LOST",IF(AND(D134="No",E134="Conditional"),"GAINED (conditional)",IF(OR(D134="N/A",E134="N/A"),"Not comparable","Different"))))))))))))</f>
        <v>Same</v>
      </c>
    </row>
    <row r="135" customFormat="false" ht="15" hidden="false" customHeight="false" outlineLevel="0" collapsed="false">
      <c r="B135" s="54" t="s">
        <v>264</v>
      </c>
      <c r="C135" s="128" t="str">
        <f aca="false">IF(INDEX('03 Feature Comparison'!$I$6:$I$18,1)="","n/a",INDEX('03 Feature Comparison'!$I$6:$I$18,1))</f>
        <v>Yes</v>
      </c>
      <c r="D135" s="128" t="str">
        <f aca="false">IF(INDEX('03 Feature Comparison'!$I$6:$I$18,2)="","n/a",INDEX('03 Feature Comparison'!$I$6:$I$18,2))</f>
        <v>Unknown</v>
      </c>
      <c r="E135" s="128" t="str">
        <f aca="false">IF(INDEX('03 Feature Comparison'!$I$6:$I$18,3)="","n/a",INDEX('03 Feature Comparison'!$I$6:$I$18,3))</f>
        <v>Unknown</v>
      </c>
      <c r="F135" s="128" t="str">
        <f aca="false">IF(AND(C135="",D135=""),"",IF(C135=D135,IF(C135="Yes","Shared","Same"),IF(AND(C135="Yes",D135="No"),"LOST",IF(AND(C135="No",D135="Yes"),"GAINED",IF(AND(C135="Unknown",OR(D135="Yes",D135="Conditional")),"Confirmed (A unknown)",IF(AND(C135="Unknown",D135="No"),"Absent (A unknown)",IF(OR(C135="Unknown",D135="Unknown"),"Unknown — verify",IF(AND(C135="Yes",D135="Conditional"),"Weaker",IF(AND(C135="Conditional",D135="Yes"),"Stronger",IF(AND(C135="Conditional",D135="No"),"LOST",IF(AND(C135="No",D135="Conditional"),"GAINED (conditional)",IF(OR(C135="N/A",D135="N/A"),"Not comparable","Different"))))))))))))</f>
        <v>Unknown — verify</v>
      </c>
      <c r="G135" s="128" t="str">
        <f aca="false">IF(AND(C135="",E135=""),"",IF(C135=E135,IF(C135="Yes","Shared","Same"),IF(AND(C135="Yes",E135="No"),"LOST",IF(AND(C135="No",E135="Yes"),"GAINED",IF(AND(C135="Unknown",OR(E135="Yes",E135="Conditional")),"Confirmed (A unknown)",IF(AND(C135="Unknown",E135="No"),"Absent (A unknown)",IF(OR(C135="Unknown",E135="Unknown"),"Unknown — verify",IF(AND(C135="Yes",E135="Conditional"),"Weaker",IF(AND(C135="Conditional",E135="Yes"),"Stronger",IF(AND(C135="Conditional",E135="No"),"LOST",IF(AND(C135="No",E135="Conditional"),"GAINED (conditional)",IF(OR(C135="N/A",E135="N/A"),"Not comparable","Different"))))))))))))</f>
        <v>Unknown — verify</v>
      </c>
      <c r="H135" s="128" t="str">
        <f aca="false">IF(AND(D135="",E135=""),"",IF(D135=E135,IF(D135="Yes","Shared","Same"),IF(AND(D135="Yes",E135="No"),"LOST",IF(AND(D135="No",E135="Yes"),"GAINED",IF(AND(D135="Unknown",OR(E135="Yes",E135="Conditional")),"Confirmed (A unknown)",IF(AND(D135="Unknown",E135="No"),"Absent (A unknown)",IF(OR(D135="Unknown",E135="Unknown"),"Unknown — verify",IF(AND(D135="Yes",E135="Conditional"),"Weaker",IF(AND(D135="Conditional",E135="Yes"),"Stronger",IF(AND(D135="Conditional",E135="No"),"LOST",IF(AND(D135="No",E135="Conditional"),"GAINED (conditional)",IF(OR(D135="N/A",E135="N/A"),"Not comparable","Different"))))))))))))</f>
        <v>Same</v>
      </c>
    </row>
    <row r="136" customFormat="false" ht="15" hidden="false" customHeight="false" outlineLevel="0" collapsed="false">
      <c r="B136" s="54" t="s">
        <v>265</v>
      </c>
      <c r="C136" s="128" t="str">
        <f aca="false">IF(INDEX('03 Feature Comparison'!$J$6:$J$18,1)="","n/a",INDEX('03 Feature Comparison'!$J$6:$J$18,1))</f>
        <v>Unknown</v>
      </c>
      <c r="D136" s="128" t="str">
        <f aca="false">IF(INDEX('03 Feature Comparison'!$J$6:$J$18,2)="","n/a",INDEX('03 Feature Comparison'!$J$6:$J$18,2))</f>
        <v>Unknown</v>
      </c>
      <c r="E136" s="128" t="str">
        <f aca="false">IF(INDEX('03 Feature Comparison'!$J$6:$J$18,3)="","n/a",INDEX('03 Feature Comparison'!$J$6:$J$18,3))</f>
        <v>Unknown</v>
      </c>
      <c r="F136" s="128" t="str">
        <f aca="false">IF(AND(C136="",D136=""),"",IF(C136=D136,IF(C136="Yes","Shared","Same"),IF(AND(C136="Yes",D136="No"),"LOST",IF(AND(C136="No",D136="Yes"),"GAINED",IF(AND(C136="Unknown",OR(D136="Yes",D136="Conditional")),"Confirmed (A unknown)",IF(AND(C136="Unknown",D136="No"),"Absent (A unknown)",IF(OR(C136="Unknown",D136="Unknown"),"Unknown — verify",IF(AND(C136="Yes",D136="Conditional"),"Weaker",IF(AND(C136="Conditional",D136="Yes"),"Stronger",IF(AND(C136="Conditional",D136="No"),"LOST",IF(AND(C136="No",D136="Conditional"),"GAINED (conditional)",IF(OR(C136="N/A",D136="N/A"),"Not comparable","Different"))))))))))))</f>
        <v>Same</v>
      </c>
      <c r="G136" s="128" t="str">
        <f aca="false">IF(AND(C136="",E136=""),"",IF(C136=E136,IF(C136="Yes","Shared","Same"),IF(AND(C136="Yes",E136="No"),"LOST",IF(AND(C136="No",E136="Yes"),"GAINED",IF(AND(C136="Unknown",OR(E136="Yes",E136="Conditional")),"Confirmed (A unknown)",IF(AND(C136="Unknown",E136="No"),"Absent (A unknown)",IF(OR(C136="Unknown",E136="Unknown"),"Unknown — verify",IF(AND(C136="Yes",E136="Conditional"),"Weaker",IF(AND(C136="Conditional",E136="Yes"),"Stronger",IF(AND(C136="Conditional",E136="No"),"LOST",IF(AND(C136="No",E136="Conditional"),"GAINED (conditional)",IF(OR(C136="N/A",E136="N/A"),"Not comparable","Different"))))))))))))</f>
        <v>Same</v>
      </c>
      <c r="H136" s="128" t="str">
        <f aca="false">IF(AND(D136="",E136=""),"",IF(D136=E136,IF(D136="Yes","Shared","Same"),IF(AND(D136="Yes",E136="No"),"LOST",IF(AND(D136="No",E136="Yes"),"GAINED",IF(AND(D136="Unknown",OR(E136="Yes",E136="Conditional")),"Confirmed (A unknown)",IF(AND(D136="Unknown",E136="No"),"Absent (A unknown)",IF(OR(D136="Unknown",E136="Unknown"),"Unknown — verify",IF(AND(D136="Yes",E136="Conditional"),"Weaker",IF(AND(D136="Conditional",E136="Yes"),"Stronger",IF(AND(D136="Conditional",E136="No"),"LOST",IF(AND(D136="No",E136="Conditional"),"GAINED (conditional)",IF(OR(D136="N/A",E136="N/A"),"Not comparable","Different"))))))))))))</f>
        <v>Same</v>
      </c>
    </row>
    <row r="137" customFormat="false" ht="15" hidden="false" customHeight="false" outlineLevel="0" collapsed="false">
      <c r="B137" s="54" t="s">
        <v>267</v>
      </c>
      <c r="C137" s="128" t="str">
        <f aca="false">IF(INDEX('03 Feature Comparison'!$L$6:$L$18,1)="","n/a",INDEX('03 Feature Comparison'!$L$6:$L$18,1))</f>
        <v>Yes</v>
      </c>
      <c r="D137" s="128" t="str">
        <f aca="false">IF(INDEX('03 Feature Comparison'!$L$6:$L$18,2)="","n/a",INDEX('03 Feature Comparison'!$L$6:$L$18,2))</f>
        <v>Unknown</v>
      </c>
      <c r="E137" s="128" t="str">
        <f aca="false">IF(INDEX('03 Feature Comparison'!$L$6:$L$18,3)="","n/a",INDEX('03 Feature Comparison'!$L$6:$L$18,3))</f>
        <v>Unknown</v>
      </c>
      <c r="F137" s="128" t="str">
        <f aca="false">IF(AND(C137="",D137=""),"",IF(C137=D137,IF(C137="Yes","Shared","Same"),IF(AND(C137="Yes",D137="No"),"LOST",IF(AND(C137="No",D137="Yes"),"GAINED",IF(AND(C137="Unknown",OR(D137="Yes",D137="Conditional")),"Confirmed (A unknown)",IF(AND(C137="Unknown",D137="No"),"Absent (A unknown)",IF(OR(C137="Unknown",D137="Unknown"),"Unknown — verify",IF(AND(C137="Yes",D137="Conditional"),"Weaker",IF(AND(C137="Conditional",D137="Yes"),"Stronger",IF(AND(C137="Conditional",D137="No"),"LOST",IF(AND(C137="No",D137="Conditional"),"GAINED (conditional)",IF(OR(C137="N/A",D137="N/A"),"Not comparable","Different"))))))))))))</f>
        <v>Unknown — verify</v>
      </c>
      <c r="G137" s="128" t="str">
        <f aca="false">IF(AND(C137="",E137=""),"",IF(C137=E137,IF(C137="Yes","Shared","Same"),IF(AND(C137="Yes",E137="No"),"LOST",IF(AND(C137="No",E137="Yes"),"GAINED",IF(AND(C137="Unknown",OR(E137="Yes",E137="Conditional")),"Confirmed (A unknown)",IF(AND(C137="Unknown",E137="No"),"Absent (A unknown)",IF(OR(C137="Unknown",E137="Unknown"),"Unknown — verify",IF(AND(C137="Yes",E137="Conditional"),"Weaker",IF(AND(C137="Conditional",E137="Yes"),"Stronger",IF(AND(C137="Conditional",E137="No"),"LOST",IF(AND(C137="No",E137="Conditional"),"GAINED (conditional)",IF(OR(C137="N/A",E137="N/A"),"Not comparable","Different"))))))))))))</f>
        <v>Unknown — verify</v>
      </c>
      <c r="H137" s="128" t="str">
        <f aca="false">IF(AND(D137="",E137=""),"",IF(D137=E137,IF(D137="Yes","Shared","Same"),IF(AND(D137="Yes",E137="No"),"LOST",IF(AND(D137="No",E137="Yes"),"GAINED",IF(AND(D137="Unknown",OR(E137="Yes",E137="Conditional")),"Confirmed (A unknown)",IF(AND(D137="Unknown",E137="No"),"Absent (A unknown)",IF(OR(D137="Unknown",E137="Unknown"),"Unknown — verify",IF(AND(D137="Yes",E137="Conditional"),"Weaker",IF(AND(D137="Conditional",E137="Yes"),"Stronger",IF(AND(D137="Conditional",E137="No"),"LOST",IF(AND(D137="No",E137="Conditional"),"GAINED (conditional)",IF(OR(D137="N/A",E137="N/A"),"Not comparable","Different"))))))))))))</f>
        <v>Same</v>
      </c>
    </row>
    <row r="138" customFormat="false" ht="15" hidden="false" customHeight="false" outlineLevel="0" collapsed="false">
      <c r="B138" s="54" t="s">
        <v>268</v>
      </c>
      <c r="C138" s="128" t="str">
        <f aca="false">IF(INDEX('03 Feature Comparison'!$M$6:$M$18,1)="","n/a",INDEX('03 Feature Comparison'!$M$6:$M$18,1))</f>
        <v>Yes</v>
      </c>
      <c r="D138" s="128" t="str">
        <f aca="false">IF(INDEX('03 Feature Comparison'!$M$6:$M$18,2)="","n/a",INDEX('03 Feature Comparison'!$M$6:$M$18,2))</f>
        <v>Unknown</v>
      </c>
      <c r="E138" s="128" t="str">
        <f aca="false">IF(INDEX('03 Feature Comparison'!$M$6:$M$18,3)="","n/a",INDEX('03 Feature Comparison'!$M$6:$M$18,3))</f>
        <v>Unknown</v>
      </c>
      <c r="F138" s="128" t="str">
        <f aca="false">IF(AND(C138="",D138=""),"",IF(C138=D138,IF(C138="Yes","Shared","Same"),IF(AND(C138="Yes",D138="No"),"LOST",IF(AND(C138="No",D138="Yes"),"GAINED",IF(AND(C138="Unknown",OR(D138="Yes",D138="Conditional")),"Confirmed (A unknown)",IF(AND(C138="Unknown",D138="No"),"Absent (A unknown)",IF(OR(C138="Unknown",D138="Unknown"),"Unknown — verify",IF(AND(C138="Yes",D138="Conditional"),"Weaker",IF(AND(C138="Conditional",D138="Yes"),"Stronger",IF(AND(C138="Conditional",D138="No"),"LOST",IF(AND(C138="No",D138="Conditional"),"GAINED (conditional)",IF(OR(C138="N/A",D138="N/A"),"Not comparable","Different"))))))))))))</f>
        <v>Unknown — verify</v>
      </c>
      <c r="G138" s="128" t="str">
        <f aca="false">IF(AND(C138="",E138=""),"",IF(C138=E138,IF(C138="Yes","Shared","Same"),IF(AND(C138="Yes",E138="No"),"LOST",IF(AND(C138="No",E138="Yes"),"GAINED",IF(AND(C138="Unknown",OR(E138="Yes",E138="Conditional")),"Confirmed (A unknown)",IF(AND(C138="Unknown",E138="No"),"Absent (A unknown)",IF(OR(C138="Unknown",E138="Unknown"),"Unknown — verify",IF(AND(C138="Yes",E138="Conditional"),"Weaker",IF(AND(C138="Conditional",E138="Yes"),"Stronger",IF(AND(C138="Conditional",E138="No"),"LOST",IF(AND(C138="No",E138="Conditional"),"GAINED (conditional)",IF(OR(C138="N/A",E138="N/A"),"Not comparable","Different"))))))))))))</f>
        <v>Unknown — verify</v>
      </c>
      <c r="H138" s="128" t="str">
        <f aca="false">IF(AND(D138="",E138=""),"",IF(D138=E138,IF(D138="Yes","Shared","Same"),IF(AND(D138="Yes",E138="No"),"LOST",IF(AND(D138="No",E138="Yes"),"GAINED",IF(AND(D138="Unknown",OR(E138="Yes",E138="Conditional")),"Confirmed (A unknown)",IF(AND(D138="Unknown",E138="No"),"Absent (A unknown)",IF(OR(D138="Unknown",E138="Unknown"),"Unknown — verify",IF(AND(D138="Yes",E138="Conditional"),"Weaker",IF(AND(D138="Conditional",E138="Yes"),"Stronger",IF(AND(D138="Conditional",E138="No"),"LOST",IF(AND(D138="No",E138="Conditional"),"GAINED (conditional)",IF(OR(D138="N/A",E138="N/A"),"Not comparable","Different"))))))))))))</f>
        <v>Same</v>
      </c>
    </row>
    <row r="139" customFormat="false" ht="15" hidden="false" customHeight="false" outlineLevel="0" collapsed="false">
      <c r="B139" s="54" t="s">
        <v>1444</v>
      </c>
      <c r="C139" s="128" t="str">
        <f aca="false">IF(INDEX('04 API &amp; Integration'!$D$41:$D$53,1)="","n/a",INDEX('04 API &amp; Integration'!$D$41:$D$53,1))</f>
        <v>Unknown</v>
      </c>
      <c r="D139" s="128" t="str">
        <f aca="false">IF(INDEX('04 API &amp; Integration'!$D$41:$D$53,2)="","n/a",INDEX('04 API &amp; Integration'!$D$41:$D$53,2))</f>
        <v>Unknown</v>
      </c>
      <c r="E139" s="128" t="str">
        <f aca="false">IF(INDEX('04 API &amp; Integration'!$D$41:$D$53,3)="","n/a",INDEX('04 API &amp; Integration'!$D$41:$D$53,3))</f>
        <v>Conditional</v>
      </c>
      <c r="F139" s="128" t="str">
        <f aca="false">IF(AND(C139="",D139=""),"",IF(C139=D139,IF(C139="Yes","Shared","Same"),IF(AND(C139="Yes",D139="No"),"LOST",IF(AND(C139="No",D139="Yes"),"GAINED",IF(AND(C139="Unknown",OR(D139="Yes",D139="Conditional")),"Confirmed (A unknown)",IF(AND(C139="Unknown",D139="No"),"Absent (A unknown)",IF(OR(C139="Unknown",D139="Unknown"),"Unknown — verify",IF(AND(C139="Yes",D139="Conditional"),"Weaker",IF(AND(C139="Conditional",D139="Yes"),"Stronger",IF(AND(C139="Conditional",D139="No"),"LOST",IF(AND(C139="No",D139="Conditional"),"GAINED (conditional)",IF(OR(C139="N/A",D139="N/A"),"Not comparable","Different"))))))))))))</f>
        <v>Same</v>
      </c>
      <c r="G139" s="128" t="str">
        <f aca="false">IF(AND(C139="",E139=""),"",IF(C139=E139,IF(C139="Yes","Shared","Same"),IF(AND(C139="Yes",E139="No"),"LOST",IF(AND(C139="No",E139="Yes"),"GAINED",IF(AND(C139="Unknown",OR(E139="Yes",E139="Conditional")),"Confirmed (A unknown)",IF(AND(C139="Unknown",E139="No"),"Absent (A unknown)",IF(OR(C139="Unknown",E139="Unknown"),"Unknown — verify",IF(AND(C139="Yes",E139="Conditional"),"Weaker",IF(AND(C139="Conditional",E139="Yes"),"Stronger",IF(AND(C139="Conditional",E139="No"),"LOST",IF(AND(C139="No",E139="Conditional"),"GAINED (conditional)",IF(OR(C139="N/A",E139="N/A"),"Not comparable","Different"))))))))))))</f>
        <v>Confirmed (A unknown)</v>
      </c>
      <c r="H139" s="128" t="str">
        <f aca="false">IF(AND(D139="",E139=""),"",IF(D139=E139,IF(D139="Yes","Shared","Same"),IF(AND(D139="Yes",E139="No"),"LOST",IF(AND(D139="No",E139="Yes"),"GAINED",IF(AND(D139="Unknown",OR(E139="Yes",E139="Conditional")),"Confirmed (A unknown)",IF(AND(D139="Unknown",E139="No"),"Absent (A unknown)",IF(OR(D139="Unknown",E139="Unknown"),"Unknown — verify",IF(AND(D139="Yes",E139="Conditional"),"Weaker",IF(AND(D139="Conditional",E139="Yes"),"Stronger",IF(AND(D139="Conditional",E139="No"),"LOST",IF(AND(D139="No",E139="Conditional"),"GAINED (conditional)",IF(OR(D139="N/A",E139="N/A"),"Not comparable","Different"))))))))))))</f>
        <v>Confirmed (A unknown)</v>
      </c>
    </row>
    <row r="140" customFormat="false" ht="15" hidden="false" customHeight="false" outlineLevel="0" collapsed="false">
      <c r="B140" s="54" t="s">
        <v>1445</v>
      </c>
      <c r="C140" s="128" t="str">
        <f aca="false">IF(INDEX('04 API &amp; Integration'!$E$41:$E$53,1)="","n/a",INDEX('04 API &amp; Integration'!$E$41:$E$53,1))</f>
        <v>Unknown</v>
      </c>
      <c r="D140" s="128" t="str">
        <f aca="false">IF(INDEX('04 API &amp; Integration'!$E$41:$E$53,2)="","n/a",INDEX('04 API &amp; Integration'!$E$41:$E$53,2))</f>
        <v>Unknown</v>
      </c>
      <c r="E140" s="128" t="str">
        <f aca="false">IF(INDEX('04 API &amp; Integration'!$E$41:$E$53,3)="","n/a",INDEX('04 API &amp; Integration'!$E$41:$E$53,3))</f>
        <v>Conditional</v>
      </c>
      <c r="F140" s="128" t="str">
        <f aca="false">IF(AND(C140="",D140=""),"",IF(C140=D140,IF(C140="Yes","Shared","Same"),IF(AND(C140="Yes",D140="No"),"LOST",IF(AND(C140="No",D140="Yes"),"GAINED",IF(AND(C140="Unknown",OR(D140="Yes",D140="Conditional")),"Confirmed (A unknown)",IF(AND(C140="Unknown",D140="No"),"Absent (A unknown)",IF(OR(C140="Unknown",D140="Unknown"),"Unknown — verify",IF(AND(C140="Yes",D140="Conditional"),"Weaker",IF(AND(C140="Conditional",D140="Yes"),"Stronger",IF(AND(C140="Conditional",D140="No"),"LOST",IF(AND(C140="No",D140="Conditional"),"GAINED (conditional)",IF(OR(C140="N/A",D140="N/A"),"Not comparable","Different"))))))))))))</f>
        <v>Same</v>
      </c>
      <c r="G140" s="128" t="str">
        <f aca="false">IF(AND(C140="",E140=""),"",IF(C140=E140,IF(C140="Yes","Shared","Same"),IF(AND(C140="Yes",E140="No"),"LOST",IF(AND(C140="No",E140="Yes"),"GAINED",IF(AND(C140="Unknown",OR(E140="Yes",E140="Conditional")),"Confirmed (A unknown)",IF(AND(C140="Unknown",E140="No"),"Absent (A unknown)",IF(OR(C140="Unknown",E140="Unknown"),"Unknown — verify",IF(AND(C140="Yes",E140="Conditional"),"Weaker",IF(AND(C140="Conditional",E140="Yes"),"Stronger",IF(AND(C140="Conditional",E140="No"),"LOST",IF(AND(C140="No",E140="Conditional"),"GAINED (conditional)",IF(OR(C140="N/A",E140="N/A"),"Not comparable","Different"))))))))))))</f>
        <v>Confirmed (A unknown)</v>
      </c>
      <c r="H140" s="128" t="str">
        <f aca="false">IF(AND(D140="",E140=""),"",IF(D140=E140,IF(D140="Yes","Shared","Same"),IF(AND(D140="Yes",E140="No"),"LOST",IF(AND(D140="No",E140="Yes"),"GAINED",IF(AND(D140="Unknown",OR(E140="Yes",E140="Conditional")),"Confirmed (A unknown)",IF(AND(D140="Unknown",E140="No"),"Absent (A unknown)",IF(OR(D140="Unknown",E140="Unknown"),"Unknown — verify",IF(AND(D140="Yes",E140="Conditional"),"Weaker",IF(AND(D140="Conditional",E140="Yes"),"Stronger",IF(AND(D140="Conditional",E140="No"),"LOST",IF(AND(D140="No",E140="Conditional"),"GAINED (conditional)",IF(OR(D140="N/A",E140="N/A"),"Not comparable","Different"))))))))))))</f>
        <v>Confirmed (A unknown)</v>
      </c>
    </row>
    <row r="141" customFormat="false" ht="15" hidden="false" customHeight="false" outlineLevel="0" collapsed="false">
      <c r="B141" s="54" t="s">
        <v>1446</v>
      </c>
      <c r="C141" s="128" t="str">
        <f aca="false">IF(INDEX('04 API &amp; Integration'!$F$41:$F$53,1)="","n/a",INDEX('04 API &amp; Integration'!$F$41:$F$53,1))</f>
        <v>N/A</v>
      </c>
      <c r="D141" s="128" t="str">
        <f aca="false">IF(INDEX('04 API &amp; Integration'!$F$41:$F$53,2)="","n/a",INDEX('04 API &amp; Integration'!$F$41:$F$53,2))</f>
        <v>Unknown</v>
      </c>
      <c r="E141" s="128" t="str">
        <f aca="false">IF(INDEX('04 API &amp; Integration'!$F$41:$F$53,3)="","n/a",INDEX('04 API &amp; Integration'!$F$41:$F$53,3))</f>
        <v>Conditional</v>
      </c>
      <c r="F141" s="128" t="str">
        <f aca="false">IF(AND(C141="",D141=""),"",IF(C141=D141,IF(C141="Yes","Shared","Same"),IF(AND(C141="Yes",D141="No"),"LOST",IF(AND(C141="No",D141="Yes"),"GAINED",IF(AND(C141="Unknown",OR(D141="Yes",D141="Conditional")),"Confirmed (A unknown)",IF(AND(C141="Unknown",D141="No"),"Absent (A unknown)",IF(OR(C141="Unknown",D141="Unknown"),"Unknown — verify",IF(AND(C141="Yes",D141="Conditional"),"Weaker",IF(AND(C141="Conditional",D141="Yes"),"Stronger",IF(AND(C141="Conditional",D141="No"),"LOST",IF(AND(C141="No",D141="Conditional"),"GAINED (conditional)",IF(OR(C141="N/A",D141="N/A"),"Not comparable","Different"))))))))))))</f>
        <v>Unknown — verify</v>
      </c>
      <c r="G141" s="128" t="str">
        <f aca="false">IF(AND(C141="",E141=""),"",IF(C141=E141,IF(C141="Yes","Shared","Same"),IF(AND(C141="Yes",E141="No"),"LOST",IF(AND(C141="No",E141="Yes"),"GAINED",IF(AND(C141="Unknown",OR(E141="Yes",E141="Conditional")),"Confirmed (A unknown)",IF(AND(C141="Unknown",E141="No"),"Absent (A unknown)",IF(OR(C141="Unknown",E141="Unknown"),"Unknown — verify",IF(AND(C141="Yes",E141="Conditional"),"Weaker",IF(AND(C141="Conditional",E141="Yes"),"Stronger",IF(AND(C141="Conditional",E141="No"),"LOST",IF(AND(C141="No",E141="Conditional"),"GAINED (conditional)",IF(OR(C141="N/A",E141="N/A"),"Not comparable","Different"))))))))))))</f>
        <v>Not comparable</v>
      </c>
      <c r="H141" s="128" t="str">
        <f aca="false">IF(AND(D141="",E141=""),"",IF(D141=E141,IF(D141="Yes","Shared","Same"),IF(AND(D141="Yes",E141="No"),"LOST",IF(AND(D141="No",E141="Yes"),"GAINED",IF(AND(D141="Unknown",OR(E141="Yes",E141="Conditional")),"Confirmed (A unknown)",IF(AND(D141="Unknown",E141="No"),"Absent (A unknown)",IF(OR(D141="Unknown",E141="Unknown"),"Unknown — verify",IF(AND(D141="Yes",E141="Conditional"),"Weaker",IF(AND(D141="Conditional",E141="Yes"),"Stronger",IF(AND(D141="Conditional",E141="No"),"LOST",IF(AND(D141="No",E141="Conditional"),"GAINED (conditional)",IF(OR(D141="N/A",E141="N/A"),"Not comparable","Different"))))))))))))</f>
        <v>Confirmed (A unknown)</v>
      </c>
    </row>
    <row r="142" customFormat="false" ht="15" hidden="false" customHeight="false" outlineLevel="0" collapsed="false">
      <c r="B142" s="54" t="s">
        <v>1447</v>
      </c>
      <c r="C142" s="128" t="str">
        <f aca="false">IF(INDEX('04 API &amp; Integration'!$G$41:$G$53,1)="","n/a",INDEX('04 API &amp; Integration'!$G$41:$G$53,1))</f>
        <v>Conditional</v>
      </c>
      <c r="D142" s="128" t="str">
        <f aca="false">IF(INDEX('04 API &amp; Integration'!$G$41:$G$53,2)="","n/a",INDEX('04 API &amp; Integration'!$G$41:$G$53,2))</f>
        <v>Unknown</v>
      </c>
      <c r="E142" s="128" t="str">
        <f aca="false">IF(INDEX('04 API &amp; Integration'!$G$41:$G$53,3)="","n/a",INDEX('04 API &amp; Integration'!$G$41:$G$53,3))</f>
        <v>Unknown</v>
      </c>
      <c r="F142" s="128" t="str">
        <f aca="false">IF(AND(C142="",D142=""),"",IF(C142=D142,IF(C142="Yes","Shared","Same"),IF(AND(C142="Yes",D142="No"),"LOST",IF(AND(C142="No",D142="Yes"),"GAINED",IF(AND(C142="Unknown",OR(D142="Yes",D142="Conditional")),"Confirmed (A unknown)",IF(AND(C142="Unknown",D142="No"),"Absent (A unknown)",IF(OR(C142="Unknown",D142="Unknown"),"Unknown — verify",IF(AND(C142="Yes",D142="Conditional"),"Weaker",IF(AND(C142="Conditional",D142="Yes"),"Stronger",IF(AND(C142="Conditional",D142="No"),"LOST",IF(AND(C142="No",D142="Conditional"),"GAINED (conditional)",IF(OR(C142="N/A",D142="N/A"),"Not comparable","Different"))))))))))))</f>
        <v>Unknown — verify</v>
      </c>
      <c r="G142" s="128" t="str">
        <f aca="false">IF(AND(C142="",E142=""),"",IF(C142=E142,IF(C142="Yes","Shared","Same"),IF(AND(C142="Yes",E142="No"),"LOST",IF(AND(C142="No",E142="Yes"),"GAINED",IF(AND(C142="Unknown",OR(E142="Yes",E142="Conditional")),"Confirmed (A unknown)",IF(AND(C142="Unknown",E142="No"),"Absent (A unknown)",IF(OR(C142="Unknown",E142="Unknown"),"Unknown — verify",IF(AND(C142="Yes",E142="Conditional"),"Weaker",IF(AND(C142="Conditional",E142="Yes"),"Stronger",IF(AND(C142="Conditional",E142="No"),"LOST",IF(AND(C142="No",E142="Conditional"),"GAINED (conditional)",IF(OR(C142="N/A",E142="N/A"),"Not comparable","Different"))))))))))))</f>
        <v>Unknown — verify</v>
      </c>
      <c r="H142" s="128" t="str">
        <f aca="false">IF(AND(D142="",E142=""),"",IF(D142=E142,IF(D142="Yes","Shared","Same"),IF(AND(D142="Yes",E142="No"),"LOST",IF(AND(D142="No",E142="Yes"),"GAINED",IF(AND(D142="Unknown",OR(E142="Yes",E142="Conditional")),"Confirmed (A unknown)",IF(AND(D142="Unknown",E142="No"),"Absent (A unknown)",IF(OR(D142="Unknown",E142="Unknown"),"Unknown — verify",IF(AND(D142="Yes",E142="Conditional"),"Weaker",IF(AND(D142="Conditional",E142="Yes"),"Stronger",IF(AND(D142="Conditional",E142="No"),"LOST",IF(AND(D142="No",E142="Conditional"),"GAINED (conditional)",IF(OR(D142="N/A",E142="N/A"),"Not comparable","Different"))))))))))))</f>
        <v>Same</v>
      </c>
    </row>
    <row r="143" customFormat="false" ht="15" hidden="false" customHeight="false" outlineLevel="0" collapsed="false">
      <c r="B143" s="54" t="s">
        <v>1448</v>
      </c>
      <c r="C143" s="128" t="str">
        <f aca="false">IF(INDEX('04 API &amp; Integration'!$H$41:$H$53,1)="","n/a",INDEX('04 API &amp; Integration'!$H$41:$H$53,1))</f>
        <v>Conditional</v>
      </c>
      <c r="D143" s="128" t="str">
        <f aca="false">IF(INDEX('04 API &amp; Integration'!$H$41:$H$53,2)="","n/a",INDEX('04 API &amp; Integration'!$H$41:$H$53,2))</f>
        <v>Unknown</v>
      </c>
      <c r="E143" s="128" t="str">
        <f aca="false">IF(INDEX('04 API &amp; Integration'!$H$41:$H$53,3)="","n/a",INDEX('04 API &amp; Integration'!$H$41:$H$53,3))</f>
        <v>Unknown</v>
      </c>
      <c r="F143" s="128" t="str">
        <f aca="false">IF(AND(C143="",D143=""),"",IF(C143=D143,IF(C143="Yes","Shared","Same"),IF(AND(C143="Yes",D143="No"),"LOST",IF(AND(C143="No",D143="Yes"),"GAINED",IF(AND(C143="Unknown",OR(D143="Yes",D143="Conditional")),"Confirmed (A unknown)",IF(AND(C143="Unknown",D143="No"),"Absent (A unknown)",IF(OR(C143="Unknown",D143="Unknown"),"Unknown — verify",IF(AND(C143="Yes",D143="Conditional"),"Weaker",IF(AND(C143="Conditional",D143="Yes"),"Stronger",IF(AND(C143="Conditional",D143="No"),"LOST",IF(AND(C143="No",D143="Conditional"),"GAINED (conditional)",IF(OR(C143="N/A",D143="N/A"),"Not comparable","Different"))))))))))))</f>
        <v>Unknown — verify</v>
      </c>
      <c r="G143" s="128" t="str">
        <f aca="false">IF(AND(C143="",E143=""),"",IF(C143=E143,IF(C143="Yes","Shared","Same"),IF(AND(C143="Yes",E143="No"),"LOST",IF(AND(C143="No",E143="Yes"),"GAINED",IF(AND(C143="Unknown",OR(E143="Yes",E143="Conditional")),"Confirmed (A unknown)",IF(AND(C143="Unknown",E143="No"),"Absent (A unknown)",IF(OR(C143="Unknown",E143="Unknown"),"Unknown — verify",IF(AND(C143="Yes",E143="Conditional"),"Weaker",IF(AND(C143="Conditional",E143="Yes"),"Stronger",IF(AND(C143="Conditional",E143="No"),"LOST",IF(AND(C143="No",E143="Conditional"),"GAINED (conditional)",IF(OR(C143="N/A",E143="N/A"),"Not comparable","Different"))))))))))))</f>
        <v>Unknown — verify</v>
      </c>
      <c r="H143" s="128" t="str">
        <f aca="false">IF(AND(D143="",E143=""),"",IF(D143=E143,IF(D143="Yes","Shared","Same"),IF(AND(D143="Yes",E143="No"),"LOST",IF(AND(D143="No",E143="Yes"),"GAINED",IF(AND(D143="Unknown",OR(E143="Yes",E143="Conditional")),"Confirmed (A unknown)",IF(AND(D143="Unknown",E143="No"),"Absent (A unknown)",IF(OR(D143="Unknown",E143="Unknown"),"Unknown — verify",IF(AND(D143="Yes",E143="Conditional"),"Weaker",IF(AND(D143="Conditional",E143="Yes"),"Stronger",IF(AND(D143="Conditional",E143="No"),"LOST",IF(AND(D143="No",E143="Conditional"),"GAINED (conditional)",IF(OR(D143="N/A",E143="N/A"),"Not comparable","Different"))))))))))))</f>
        <v>Same</v>
      </c>
    </row>
    <row r="144" customFormat="false" ht="15" hidden="false" customHeight="false" outlineLevel="0" collapsed="false">
      <c r="B144" s="54" t="s">
        <v>1449</v>
      </c>
      <c r="C144" s="128" t="str">
        <f aca="false">IF(INDEX('04 API &amp; Integration'!$I$41:$I$53,1)="","n/a",INDEX('04 API &amp; Integration'!$I$41:$I$53,1))</f>
        <v>Conditional</v>
      </c>
      <c r="D144" s="128" t="str">
        <f aca="false">IF(INDEX('04 API &amp; Integration'!$I$41:$I$53,2)="","n/a",INDEX('04 API &amp; Integration'!$I$41:$I$53,2))</f>
        <v>Unknown</v>
      </c>
      <c r="E144" s="128" t="str">
        <f aca="false">IF(INDEX('04 API &amp; Integration'!$I$41:$I$53,3)="","n/a",INDEX('04 API &amp; Integration'!$I$41:$I$53,3))</f>
        <v>Unknown</v>
      </c>
      <c r="F144" s="128" t="str">
        <f aca="false">IF(AND(C144="",D144=""),"",IF(C144=D144,IF(C144="Yes","Shared","Same"),IF(AND(C144="Yes",D144="No"),"LOST",IF(AND(C144="No",D144="Yes"),"GAINED",IF(AND(C144="Unknown",OR(D144="Yes",D144="Conditional")),"Confirmed (A unknown)",IF(AND(C144="Unknown",D144="No"),"Absent (A unknown)",IF(OR(C144="Unknown",D144="Unknown"),"Unknown — verify",IF(AND(C144="Yes",D144="Conditional"),"Weaker",IF(AND(C144="Conditional",D144="Yes"),"Stronger",IF(AND(C144="Conditional",D144="No"),"LOST",IF(AND(C144="No",D144="Conditional"),"GAINED (conditional)",IF(OR(C144="N/A",D144="N/A"),"Not comparable","Different"))))))))))))</f>
        <v>Unknown — verify</v>
      </c>
      <c r="G144" s="128" t="str">
        <f aca="false">IF(AND(C144="",E144=""),"",IF(C144=E144,IF(C144="Yes","Shared","Same"),IF(AND(C144="Yes",E144="No"),"LOST",IF(AND(C144="No",E144="Yes"),"GAINED",IF(AND(C144="Unknown",OR(E144="Yes",E144="Conditional")),"Confirmed (A unknown)",IF(AND(C144="Unknown",E144="No"),"Absent (A unknown)",IF(OR(C144="Unknown",E144="Unknown"),"Unknown — verify",IF(AND(C144="Yes",E144="Conditional"),"Weaker",IF(AND(C144="Conditional",E144="Yes"),"Stronger",IF(AND(C144="Conditional",E144="No"),"LOST",IF(AND(C144="No",E144="Conditional"),"GAINED (conditional)",IF(OR(C144="N/A",E144="N/A"),"Not comparable","Different"))))))))))))</f>
        <v>Unknown — verify</v>
      </c>
      <c r="H144" s="128" t="str">
        <f aca="false">IF(AND(D144="",E144=""),"",IF(D144=E144,IF(D144="Yes","Shared","Same"),IF(AND(D144="Yes",E144="No"),"LOST",IF(AND(D144="No",E144="Yes"),"GAINED",IF(AND(D144="Unknown",OR(E144="Yes",E144="Conditional")),"Confirmed (A unknown)",IF(AND(D144="Unknown",E144="No"),"Absent (A unknown)",IF(OR(D144="Unknown",E144="Unknown"),"Unknown — verify",IF(AND(D144="Yes",E144="Conditional"),"Weaker",IF(AND(D144="Conditional",E144="Yes"),"Stronger",IF(AND(D144="Conditional",E144="No"),"LOST",IF(AND(D144="No",E144="Conditional"),"GAINED (conditional)",IF(OR(D144="N/A",E144="N/A"),"Not comparable","Different"))))))))))))</f>
        <v>Same</v>
      </c>
    </row>
    <row r="145" customFormat="false" ht="15" hidden="false" customHeight="false" outlineLevel="0" collapsed="false">
      <c r="B145" s="54" t="s">
        <v>1450</v>
      </c>
      <c r="C145" s="128" t="str">
        <f aca="false">IF(INDEX('04 API &amp; Integration'!$J$41:$J$53,1)="","n/a",INDEX('04 API &amp; Integration'!$J$41:$J$53,1))</f>
        <v>Conditional</v>
      </c>
      <c r="D145" s="128" t="str">
        <f aca="false">IF(INDEX('04 API &amp; Integration'!$J$41:$J$53,2)="","n/a",INDEX('04 API &amp; Integration'!$J$41:$J$53,2))</f>
        <v>Unknown</v>
      </c>
      <c r="E145" s="128" t="str">
        <f aca="false">IF(INDEX('04 API &amp; Integration'!$J$41:$J$53,3)="","n/a",INDEX('04 API &amp; Integration'!$J$41:$J$53,3))</f>
        <v>Unknown</v>
      </c>
      <c r="F145" s="128" t="str">
        <f aca="false">IF(AND(C145="",D145=""),"",IF(C145=D145,IF(C145="Yes","Shared","Same"),IF(AND(C145="Yes",D145="No"),"LOST",IF(AND(C145="No",D145="Yes"),"GAINED",IF(AND(C145="Unknown",OR(D145="Yes",D145="Conditional")),"Confirmed (A unknown)",IF(AND(C145="Unknown",D145="No"),"Absent (A unknown)",IF(OR(C145="Unknown",D145="Unknown"),"Unknown — verify",IF(AND(C145="Yes",D145="Conditional"),"Weaker",IF(AND(C145="Conditional",D145="Yes"),"Stronger",IF(AND(C145="Conditional",D145="No"),"LOST",IF(AND(C145="No",D145="Conditional"),"GAINED (conditional)",IF(OR(C145="N/A",D145="N/A"),"Not comparable","Different"))))))))))))</f>
        <v>Unknown — verify</v>
      </c>
      <c r="G145" s="128" t="str">
        <f aca="false">IF(AND(C145="",E145=""),"",IF(C145=E145,IF(C145="Yes","Shared","Same"),IF(AND(C145="Yes",E145="No"),"LOST",IF(AND(C145="No",E145="Yes"),"GAINED",IF(AND(C145="Unknown",OR(E145="Yes",E145="Conditional")),"Confirmed (A unknown)",IF(AND(C145="Unknown",E145="No"),"Absent (A unknown)",IF(OR(C145="Unknown",E145="Unknown"),"Unknown — verify",IF(AND(C145="Yes",E145="Conditional"),"Weaker",IF(AND(C145="Conditional",E145="Yes"),"Stronger",IF(AND(C145="Conditional",E145="No"),"LOST",IF(AND(C145="No",E145="Conditional"),"GAINED (conditional)",IF(OR(C145="N/A",E145="N/A"),"Not comparable","Different"))))))))))))</f>
        <v>Unknown — verify</v>
      </c>
      <c r="H145" s="128" t="str">
        <f aca="false">IF(AND(D145="",E145=""),"",IF(D145=E145,IF(D145="Yes","Shared","Same"),IF(AND(D145="Yes",E145="No"),"LOST",IF(AND(D145="No",E145="Yes"),"GAINED",IF(AND(D145="Unknown",OR(E145="Yes",E145="Conditional")),"Confirmed (A unknown)",IF(AND(D145="Unknown",E145="No"),"Absent (A unknown)",IF(OR(D145="Unknown",E145="Unknown"),"Unknown — verify",IF(AND(D145="Yes",E145="Conditional"),"Weaker",IF(AND(D145="Conditional",E145="Yes"),"Stronger",IF(AND(D145="Conditional",E145="No"),"LOST",IF(AND(D145="No",E145="Conditional"),"GAINED (conditional)",IF(OR(D145="N/A",E145="N/A"),"Not comparable","Different"))))))))))))</f>
        <v>Same</v>
      </c>
    </row>
    <row r="147" customFormat="false" ht="15" hidden="false" customHeight="false" outlineLevel="0" collapsed="false">
      <c r="B147" s="7" t="s">
        <v>1451</v>
      </c>
      <c r="C147" s="7"/>
      <c r="D147" s="7"/>
      <c r="E147" s="7"/>
      <c r="F147" s="7"/>
      <c r="G147" s="7"/>
      <c r="H147" s="7"/>
      <c r="I147" s="7"/>
    </row>
    <row r="148" customFormat="false" ht="45.75" hidden="false" customHeight="true" outlineLevel="0" collapsed="false">
      <c r="B148" s="135" t="s">
        <v>1430</v>
      </c>
      <c r="C148" s="136" t="s">
        <v>1452</v>
      </c>
      <c r="D148" s="136"/>
      <c r="E148" s="136"/>
      <c r="F148" s="136"/>
      <c r="G148" s="136"/>
      <c r="H148" s="136"/>
      <c r="I148" s="136"/>
      <c r="J148" s="136"/>
    </row>
    <row r="149" customFormat="false" ht="45.75" hidden="false" customHeight="true" outlineLevel="0" collapsed="false">
      <c r="B149" s="135" t="s">
        <v>1431</v>
      </c>
      <c r="C149" s="136" t="s">
        <v>1453</v>
      </c>
      <c r="D149" s="136"/>
      <c r="E149" s="136"/>
      <c r="F149" s="136"/>
      <c r="G149" s="136"/>
      <c r="H149" s="136"/>
      <c r="I149" s="136"/>
      <c r="J149" s="136"/>
    </row>
    <row r="150" customFormat="false" ht="45.75" hidden="false" customHeight="true" outlineLevel="0" collapsed="false">
      <c r="B150" s="135" t="s">
        <v>1432</v>
      </c>
      <c r="C150" s="136" t="s">
        <v>1454</v>
      </c>
      <c r="D150" s="136"/>
      <c r="E150" s="136"/>
      <c r="F150" s="136"/>
      <c r="G150" s="136"/>
      <c r="H150" s="136"/>
      <c r="I150" s="136"/>
      <c r="J150" s="136"/>
    </row>
  </sheetData>
  <mergeCells count="5">
    <mergeCell ref="B104:J104"/>
    <mergeCell ref="B105:J105"/>
    <mergeCell ref="C148:J148"/>
    <mergeCell ref="C149:J149"/>
    <mergeCell ref="C150:J150"/>
  </mergeCells>
  <conditionalFormatting sqref="F10:G17">
    <cfRule type="cellIs" priority="2" operator="greaterThan" aboveAverage="0" equalAverage="0" bottom="0" percent="0" rank="0" text="" dxfId="1">
      <formula>0</formula>
    </cfRule>
    <cfRule type="cellIs" priority="3" operator="lessThan" aboveAverage="0" equalAverage="0" bottom="0" percent="0" rank="0" text="" dxfId="0">
      <formula>0</formula>
    </cfRule>
  </conditionalFormatting>
  <conditionalFormatting sqref="C21:E23">
    <cfRule type="cellIs" priority="4" operator="equal" aboveAverage="0" equalAverage="0" bottom="0" percent="0" rank="0" text="" dxfId="1">
      <formula>"Pass"</formula>
    </cfRule>
    <cfRule type="cellIs" priority="5" operator="equal" aboveAverage="0" equalAverage="0" bottom="0" percent="0" rank="0" text="" dxfId="1">
      <formula>"Eligible"</formula>
    </cfRule>
    <cfRule type="cellIs" priority="6" operator="equal" aboveAverage="0" equalAverage="0" bottom="0" percent="0" rank="0" text="" dxfId="1">
      <formula>"Verified feasible"</formula>
    </cfRule>
    <cfRule type="cellIs" priority="7" operator="equal" aboveAverage="0" equalAverage="0" bottom="0" percent="0" rank="0" text="" dxfId="2">
      <formula>"Conditional"</formula>
    </cfRule>
    <cfRule type="cellIs" priority="8" operator="equal" aboveAverage="0" equalAverage="0" bottom="0" percent="0" rank="0" text="" dxfId="2">
      <formula>"Conditionally eligible"</formula>
    </cfRule>
    <cfRule type="cellIs" priority="9" operator="equal" aboveAverage="0" equalAverage="0" bottom="0" percent="0" rank="0" text="" dxfId="2">
      <formula>"Pending"</formula>
    </cfRule>
    <cfRule type="cellIs" priority="10" operator="equal" aboveAverage="0" equalAverage="0" bottom="0" percent="0" rank="0" text="" dxfId="2">
      <formula>"Pending verification"</formula>
    </cfRule>
    <cfRule type="cellIs" priority="11" operator="equal" aboveAverage="0" equalAverage="0" bottom="0" percent="0" rank="0" text="" dxfId="2">
      <formula>"Not verified"</formula>
    </cfRule>
    <cfRule type="cellIs" priority="12" operator="equal" aboveAverage="0" equalAverage="0" bottom="0" percent="0" rank="0" text="" dxfId="0">
      <formula>"Fail"</formula>
    </cfRule>
    <cfRule type="cellIs" priority="13" operator="equal" aboveAverage="0" equalAverage="0" bottom="0" percent="0" rank="0" text="" dxfId="0">
      <formula>"Ineligible"</formula>
    </cfRule>
    <cfRule type="cellIs" priority="14" operator="equal" aboveAverage="0" equalAverage="0" bottom="0" percent="0" rank="0" text="" dxfId="0">
      <formula>"Not feasible"</formula>
    </cfRule>
  </conditionalFormatting>
  <conditionalFormatting sqref="C26:E29">
    <cfRule type="cellIs" priority="15" operator="equal" aboveAverage="0" equalAverage="0" bottom="0" percent="0" rank="0" text="" dxfId="1">
      <formula>"Yes"</formula>
    </cfRule>
    <cfRule type="cellIs" priority="16" operator="equal" aboveAverage="0" equalAverage="0" bottom="0" percent="0" rank="0" text="" dxfId="2">
      <formula>"Conditional"</formula>
    </cfRule>
    <cfRule type="cellIs" priority="17" operator="equal" aboveAverage="0" equalAverage="0" bottom="0" percent="0" rank="0" text="" dxfId="14">
      <formula>"Unknown"</formula>
    </cfRule>
    <cfRule type="cellIs" priority="18" operator="equal" aboveAverage="0" equalAverage="0" bottom="0" percent="0" rank="0" text="" dxfId="0">
      <formula>"No"</formula>
    </cfRule>
  </conditionalFormatting>
  <conditionalFormatting sqref="F21:G38">
    <cfRule type="cellIs" priority="19" operator="equal" aboveAverage="0" equalAverage="0" bottom="0" percent="0" rank="0" text="" dxfId="0">
      <formula>"LOST"</formula>
    </cfRule>
    <cfRule type="cellIs" priority="20" operator="equal" aboveAverage="0" equalAverage="0" bottom="0" percent="0" rank="0" text="" dxfId="0">
      <formula>"Weaker"</formula>
    </cfRule>
    <cfRule type="cellIs" priority="21" operator="equal" aboveAverage="0" equalAverage="0" bottom="0" percent="0" rank="0" text="" dxfId="1">
      <formula>"GAINED"</formula>
    </cfRule>
    <cfRule type="cellIs" priority="22" operator="equal" aboveAverage="0" equalAverage="0" bottom="0" percent="0" rank="0" text="" dxfId="1">
      <formula>"GAINED (conditional)"</formula>
    </cfRule>
    <cfRule type="cellIs" priority="23" operator="equal" aboveAverage="0" equalAverage="0" bottom="0" percent="0" rank="0" text="" dxfId="1">
      <formula>"Stronger"</formula>
    </cfRule>
    <cfRule type="cellIs" priority="24" operator="equal" aboveAverage="0" equalAverage="0" bottom="0" percent="0" rank="0" text="" dxfId="14">
      <formula>"Unknown — verify"</formula>
    </cfRule>
    <cfRule type="cellIs" priority="25" operator="equal" aboveAverage="0" equalAverage="0" bottom="0" percent="0" rank="0" text="" dxfId="14">
      <formula>"Confirmed (A unknown)"</formula>
    </cfRule>
    <cfRule type="cellIs" priority="26" operator="equal" aboveAverage="0" equalAverage="0" bottom="0" percent="0" rank="0" text="" dxfId="14">
      <formula>"Absent (A unknown)"</formula>
    </cfRule>
    <cfRule type="cellIs" priority="27" operator="equal" aboveAverage="0" equalAverage="0" bottom="0" percent="0" rank="0" text="" dxfId="19">
      <formula>"Shared"</formula>
    </cfRule>
    <cfRule type="cellIs" priority="28" operator="equal" aboveAverage="0" equalAverage="0" bottom="0" percent="0" rank="0" text="" dxfId="1">
      <formula>"Better"</formula>
    </cfRule>
    <cfRule type="cellIs" priority="29" operator="equal" aboveAverage="0" equalAverage="0" bottom="0" percent="0" rank="0" text="" dxfId="0">
      <formula>"Worse"</formula>
    </cfRule>
  </conditionalFormatting>
  <conditionalFormatting sqref="G43:H51">
    <cfRule type="cellIs" priority="30" operator="equal" aboveAverage="0" equalAverage="0" bottom="0" percent="0" rank="0" text="" dxfId="0">
      <formula>"LOST"</formula>
    </cfRule>
    <cfRule type="cellIs" priority="31" operator="equal" aboveAverage="0" equalAverage="0" bottom="0" percent="0" rank="0" text="" dxfId="0">
      <formula>"Weaker"</formula>
    </cfRule>
    <cfRule type="cellIs" priority="32" operator="equal" aboveAverage="0" equalAverage="0" bottom="0" percent="0" rank="0" text="" dxfId="1">
      <formula>"GAINED"</formula>
    </cfRule>
    <cfRule type="cellIs" priority="33" operator="equal" aboveAverage="0" equalAverage="0" bottom="0" percent="0" rank="0" text="" dxfId="1">
      <formula>"GAINED (conditional)"</formula>
    </cfRule>
    <cfRule type="cellIs" priority="34" operator="equal" aboveAverage="0" equalAverage="0" bottom="0" percent="0" rank="0" text="" dxfId="1">
      <formula>"Stronger"</formula>
    </cfRule>
    <cfRule type="cellIs" priority="35" operator="equal" aboveAverage="0" equalAverage="0" bottom="0" percent="0" rank="0" text="" dxfId="14">
      <formula>"Unknown — verify"</formula>
    </cfRule>
    <cfRule type="cellIs" priority="36" operator="equal" aboveAverage="0" equalAverage="0" bottom="0" percent="0" rank="0" text="" dxfId="14">
      <formula>"Confirmed (A unknown)"</formula>
    </cfRule>
    <cfRule type="cellIs" priority="37" operator="equal" aboveAverage="0" equalAverage="0" bottom="0" percent="0" rank="0" text="" dxfId="14">
      <formula>"Absent (A unknown)"</formula>
    </cfRule>
    <cfRule type="cellIs" priority="38" operator="equal" aboveAverage="0" equalAverage="0" bottom="0" percent="0" rank="0" text="" dxfId="19">
      <formula>"Shared"</formula>
    </cfRule>
    <cfRule type="cellIs" priority="39" operator="equal" aboveAverage="0" equalAverage="0" bottom="0" percent="0" rank="0" text="" dxfId="1">
      <formula>"Better"</formula>
    </cfRule>
    <cfRule type="cellIs" priority="40" operator="equal" aboveAverage="0" equalAverage="0" bottom="0" percent="0" rank="0" text="" dxfId="0">
      <formula>"Worse"</formula>
    </cfRule>
  </conditionalFormatting>
  <conditionalFormatting sqref="E56:G77">
    <cfRule type="cellIs" priority="41" operator="equal" aboveAverage="0" equalAverage="0" bottom="0" percent="0" rank="0" text="" dxfId="1">
      <formula>"Yes"</formula>
    </cfRule>
    <cfRule type="cellIs" priority="42" operator="equal" aboveAverage="0" equalAverage="0" bottom="0" percent="0" rank="0" text="" dxfId="2">
      <formula>"Conditional"</formula>
    </cfRule>
    <cfRule type="cellIs" priority="43" operator="equal" aboveAverage="0" equalAverage="0" bottom="0" percent="0" rank="0" text="" dxfId="14">
      <formula>"Unknown"</formula>
    </cfRule>
    <cfRule type="cellIs" priority="44" operator="equal" aboveAverage="0" equalAverage="0" bottom="0" percent="0" rank="0" text="" dxfId="0">
      <formula>"No"</formula>
    </cfRule>
  </conditionalFormatting>
  <conditionalFormatting sqref="H56:I77">
    <cfRule type="cellIs" priority="45" operator="equal" aboveAverage="0" equalAverage="0" bottom="0" percent="0" rank="0" text="" dxfId="0">
      <formula>"LOST"</formula>
    </cfRule>
    <cfRule type="cellIs" priority="46" operator="equal" aboveAverage="0" equalAverage="0" bottom="0" percent="0" rank="0" text="" dxfId="0">
      <formula>"Weaker"</formula>
    </cfRule>
    <cfRule type="cellIs" priority="47" operator="equal" aboveAverage="0" equalAverage="0" bottom="0" percent="0" rank="0" text="" dxfId="1">
      <formula>"GAINED"</formula>
    </cfRule>
    <cfRule type="cellIs" priority="48" operator="equal" aboveAverage="0" equalAverage="0" bottom="0" percent="0" rank="0" text="" dxfId="1">
      <formula>"GAINED (conditional)"</formula>
    </cfRule>
    <cfRule type="cellIs" priority="49" operator="equal" aboveAverage="0" equalAverage="0" bottom="0" percent="0" rank="0" text="" dxfId="1">
      <formula>"Stronger"</formula>
    </cfRule>
    <cfRule type="cellIs" priority="50" operator="equal" aboveAverage="0" equalAverage="0" bottom="0" percent="0" rank="0" text="" dxfId="14">
      <formula>"Unknown — verify"</formula>
    </cfRule>
    <cfRule type="cellIs" priority="51" operator="equal" aboveAverage="0" equalAverage="0" bottom="0" percent="0" rank="0" text="" dxfId="14">
      <formula>"Confirmed (A unknown)"</formula>
    </cfRule>
    <cfRule type="cellIs" priority="52" operator="equal" aboveAverage="0" equalAverage="0" bottom="0" percent="0" rank="0" text="" dxfId="14">
      <formula>"Absent (A unknown)"</formula>
    </cfRule>
    <cfRule type="cellIs" priority="53" operator="equal" aboveAverage="0" equalAverage="0" bottom="0" percent="0" rank="0" text="" dxfId="19">
      <formula>"Shared"</formula>
    </cfRule>
    <cfRule type="cellIs" priority="54" operator="equal" aboveAverage="0" equalAverage="0" bottom="0" percent="0" rank="0" text="" dxfId="1">
      <formula>"Better"</formula>
    </cfRule>
    <cfRule type="cellIs" priority="55" operator="equal" aboveAverage="0" equalAverage="0" bottom="0" percent="0" rank="0" text="" dxfId="0">
      <formula>"Worse"</formula>
    </cfRule>
  </conditionalFormatting>
  <conditionalFormatting sqref="D82:F93">
    <cfRule type="cellIs" priority="56" operator="equal" aboveAverage="0" equalAverage="0" bottom="0" percent="0" rank="0" text="" dxfId="1">
      <formula>"Yes"</formula>
    </cfRule>
    <cfRule type="cellIs" priority="57" operator="equal" aboveAverage="0" equalAverage="0" bottom="0" percent="0" rank="0" text="" dxfId="2">
      <formula>"Conditional"</formula>
    </cfRule>
    <cfRule type="cellIs" priority="58" operator="equal" aboveAverage="0" equalAverage="0" bottom="0" percent="0" rank="0" text="" dxfId="14">
      <formula>"Unknown"</formula>
    </cfRule>
    <cfRule type="cellIs" priority="59" operator="equal" aboveAverage="0" equalAverage="0" bottom="0" percent="0" rank="0" text="" dxfId="0">
      <formula>"No"</formula>
    </cfRule>
  </conditionalFormatting>
  <conditionalFormatting sqref="G82:H93">
    <cfRule type="cellIs" priority="60" operator="equal" aboveAverage="0" equalAverage="0" bottom="0" percent="0" rank="0" text="" dxfId="0">
      <formula>"LOST"</formula>
    </cfRule>
    <cfRule type="cellIs" priority="61" operator="equal" aboveAverage="0" equalAverage="0" bottom="0" percent="0" rank="0" text="" dxfId="0">
      <formula>"Weaker"</formula>
    </cfRule>
    <cfRule type="cellIs" priority="62" operator="equal" aboveAverage="0" equalAverage="0" bottom="0" percent="0" rank="0" text="" dxfId="1">
      <formula>"GAINED"</formula>
    </cfRule>
    <cfRule type="cellIs" priority="63" operator="equal" aboveAverage="0" equalAverage="0" bottom="0" percent="0" rank="0" text="" dxfId="1">
      <formula>"GAINED (conditional)"</formula>
    </cfRule>
    <cfRule type="cellIs" priority="64" operator="equal" aboveAverage="0" equalAverage="0" bottom="0" percent="0" rank="0" text="" dxfId="1">
      <formula>"Stronger"</formula>
    </cfRule>
    <cfRule type="cellIs" priority="65" operator="equal" aboveAverage="0" equalAverage="0" bottom="0" percent="0" rank="0" text="" dxfId="14">
      <formula>"Unknown — verify"</formula>
    </cfRule>
    <cfRule type="cellIs" priority="66" operator="equal" aboveAverage="0" equalAverage="0" bottom="0" percent="0" rank="0" text="" dxfId="14">
      <formula>"Confirmed (A unknown)"</formula>
    </cfRule>
    <cfRule type="cellIs" priority="67" operator="equal" aboveAverage="0" equalAverage="0" bottom="0" percent="0" rank="0" text="" dxfId="14">
      <formula>"Absent (A unknown)"</formula>
    </cfRule>
    <cfRule type="cellIs" priority="68" operator="equal" aboveAverage="0" equalAverage="0" bottom="0" percent="0" rank="0" text="" dxfId="19">
      <formula>"Shared"</formula>
    </cfRule>
    <cfRule type="cellIs" priority="69" operator="equal" aboveAverage="0" equalAverage="0" bottom="0" percent="0" rank="0" text="" dxfId="1">
      <formula>"Better"</formula>
    </cfRule>
    <cfRule type="cellIs" priority="70" operator="equal" aboveAverage="0" equalAverage="0" bottom="0" percent="0" rank="0" text="" dxfId="0">
      <formula>"Worse"</formula>
    </cfRule>
  </conditionalFormatting>
  <conditionalFormatting sqref="C110:E145">
    <cfRule type="cellIs" priority="71" operator="equal" aboveAverage="0" equalAverage="0" bottom="0" percent="0" rank="0" text="" dxfId="1">
      <formula>"Yes"</formula>
    </cfRule>
    <cfRule type="cellIs" priority="72" operator="equal" aboveAverage="0" equalAverage="0" bottom="0" percent="0" rank="0" text="" dxfId="2">
      <formula>"Conditional"</formula>
    </cfRule>
    <cfRule type="cellIs" priority="73" operator="equal" aboveAverage="0" equalAverage="0" bottom="0" percent="0" rank="0" text="" dxfId="14">
      <formula>"Unknown"</formula>
    </cfRule>
    <cfRule type="cellIs" priority="74" operator="equal" aboveAverage="0" equalAverage="0" bottom="0" percent="0" rank="0" text="" dxfId="0">
      <formula>"No"</formula>
    </cfRule>
    <cfRule type="cellIs" priority="75" operator="equal" aboveAverage="0" equalAverage="0" bottom="0" percent="0" rank="0" text="" dxfId="1">
      <formula>"Pass"</formula>
    </cfRule>
    <cfRule type="cellIs" priority="76" operator="equal" aboveAverage="0" equalAverage="0" bottom="0" percent="0" rank="0" text="" dxfId="1">
      <formula>"Eligible"</formula>
    </cfRule>
    <cfRule type="cellIs" priority="77" operator="equal" aboveAverage="0" equalAverage="0" bottom="0" percent="0" rank="0" text="" dxfId="1">
      <formula>"Verified feasible"</formula>
    </cfRule>
    <cfRule type="cellIs" priority="78" operator="equal" aboveAverage="0" equalAverage="0" bottom="0" percent="0" rank="0" text="" dxfId="2">
      <formula>"Conditional"</formula>
    </cfRule>
    <cfRule type="cellIs" priority="79" operator="equal" aboveAverage="0" equalAverage="0" bottom="0" percent="0" rank="0" text="" dxfId="2">
      <formula>"Conditionally eligible"</formula>
    </cfRule>
    <cfRule type="cellIs" priority="80" operator="equal" aboveAverage="0" equalAverage="0" bottom="0" percent="0" rank="0" text="" dxfId="2">
      <formula>"Pending"</formula>
    </cfRule>
    <cfRule type="cellIs" priority="81" operator="equal" aboveAverage="0" equalAverage="0" bottom="0" percent="0" rank="0" text="" dxfId="2">
      <formula>"Pending verification"</formula>
    </cfRule>
    <cfRule type="cellIs" priority="82" operator="equal" aboveAverage="0" equalAverage="0" bottom="0" percent="0" rank="0" text="" dxfId="2">
      <formula>"Not verified"</formula>
    </cfRule>
    <cfRule type="cellIs" priority="83" operator="equal" aboveAverage="0" equalAverage="0" bottom="0" percent="0" rank="0" text="" dxfId="0">
      <formula>"Fail"</formula>
    </cfRule>
    <cfRule type="cellIs" priority="84" operator="equal" aboveAverage="0" equalAverage="0" bottom="0" percent="0" rank="0" text="" dxfId="0">
      <formula>"Ineligible"</formula>
    </cfRule>
    <cfRule type="cellIs" priority="85" operator="equal" aboveAverage="0" equalAverage="0" bottom="0" percent="0" rank="0" text="" dxfId="0">
      <formula>"Not feasible"</formula>
    </cfRule>
  </conditionalFormatting>
  <conditionalFormatting sqref="F110:H145">
    <cfRule type="cellIs" priority="86" operator="equal" aboveAverage="0" equalAverage="0" bottom="0" percent="0" rank="0" text="" dxfId="0">
      <formula>"LOST"</formula>
    </cfRule>
    <cfRule type="cellIs" priority="87" operator="equal" aboveAverage="0" equalAverage="0" bottom="0" percent="0" rank="0" text="" dxfId="0">
      <formula>"Weaker"</formula>
    </cfRule>
    <cfRule type="cellIs" priority="88" operator="equal" aboveAverage="0" equalAverage="0" bottom="0" percent="0" rank="0" text="" dxfId="1">
      <formula>"GAINED"</formula>
    </cfRule>
    <cfRule type="cellIs" priority="89" operator="equal" aboveAverage="0" equalAverage="0" bottom="0" percent="0" rank="0" text="" dxfId="1">
      <formula>"GAINED (conditional)"</formula>
    </cfRule>
    <cfRule type="cellIs" priority="90" operator="equal" aboveAverage="0" equalAverage="0" bottom="0" percent="0" rank="0" text="" dxfId="1">
      <formula>"Stronger"</formula>
    </cfRule>
    <cfRule type="cellIs" priority="91" operator="equal" aboveAverage="0" equalAverage="0" bottom="0" percent="0" rank="0" text="" dxfId="14">
      <formula>"Unknown — verify"</formula>
    </cfRule>
    <cfRule type="cellIs" priority="92" operator="equal" aboveAverage="0" equalAverage="0" bottom="0" percent="0" rank="0" text="" dxfId="14">
      <formula>"Confirmed (A unknown)"</formula>
    </cfRule>
    <cfRule type="cellIs" priority="93" operator="equal" aboveAverage="0" equalAverage="0" bottom="0" percent="0" rank="0" text="" dxfId="14">
      <formula>"Absent (A unknown)"</formula>
    </cfRule>
    <cfRule type="cellIs" priority="94" operator="equal" aboveAverage="0" equalAverage="0" bottom="0" percent="0" rank="0" text="" dxfId="19">
      <formula>"Shared"</formula>
    </cfRule>
    <cfRule type="cellIs" priority="95" operator="equal" aboveAverage="0" equalAverage="0" bottom="0" percent="0" rank="0" text="" dxfId="1">
      <formula>"Better"</formula>
    </cfRule>
    <cfRule type="cellIs" priority="96" operator="equal" aboveAverage="0" equalAverage="0" bottom="0" percent="0" rank="0" text="" dxfId="0">
      <formula>"Worse"</formula>
    </cfRule>
  </conditionalFormatting>
  <conditionalFormatting sqref="F110:H125">
    <cfRule type="cellIs" priority="97" operator="greaterThan" aboveAverage="0" equalAverage="0" bottom="0" percent="0" rank="0" text="" dxfId="1">
      <formula>0</formula>
    </cfRule>
    <cfRule type="cellIs" priority="98" operator="lessThan" aboveAverage="0" equalAverage="0" bottom="0" percent="0" rank="0" text="" dxfId="0">
      <formula>0</formula>
    </cfRule>
  </conditionalFormatting>
  <dataValidations count="1">
    <dataValidation allowBlank="false" errorStyle="stop" operator="between" showDropDown="false" showErrorMessage="false" showInputMessage="false" sqref="C4:C6" type="list">
      <formula1>'03 Feature Comparison'!$C$6:$C$18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6834"/>
    <pageSetUpPr fitToPage="false"/>
  </sheetPr>
  <dimension ref="A1:R9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0"/>
    <col collapsed="false" customWidth="true" hidden="false" outlineLevel="0" max="4" min="4" style="0" width="26"/>
    <col collapsed="false" customWidth="true" hidden="false" outlineLevel="0" max="10" min="5" style="0" width="10"/>
    <col collapsed="false" customWidth="true" hidden="false" outlineLevel="0" max="11" min="11" style="0" width="14"/>
    <col collapsed="false" customWidth="true" hidden="false" outlineLevel="0" max="12" min="12" style="0" width="8"/>
    <col collapsed="false" customWidth="true" hidden="false" outlineLevel="0" max="18" min="13" style="0" width="9"/>
  </cols>
  <sheetData>
    <row r="1" customFormat="false" ht="17.35" hidden="false" customHeight="false" outlineLevel="0" collapsed="false">
      <c r="A1" s="28" t="s">
        <v>1455</v>
      </c>
    </row>
    <row r="2" customFormat="false" ht="15" hidden="false" customHeight="false" outlineLevel="0" collapsed="false">
      <c r="A2" s="2" t="s">
        <v>1456</v>
      </c>
    </row>
    <row r="4" customFormat="false" ht="15" hidden="false" customHeight="false" outlineLevel="0" collapsed="false">
      <c r="B4" s="7" t="s">
        <v>1457</v>
      </c>
      <c r="C4" s="7"/>
      <c r="D4" s="7"/>
      <c r="E4" s="7"/>
      <c r="F4" s="7"/>
      <c r="G4" s="7"/>
      <c r="H4" s="7"/>
      <c r="I4" s="7"/>
      <c r="J4" s="7"/>
      <c r="K4" s="7"/>
      <c r="L4" s="7"/>
      <c r="M4" s="7"/>
      <c r="N4" s="7"/>
      <c r="O4" s="7"/>
      <c r="P4" s="7"/>
      <c r="Q4" s="7"/>
      <c r="R4" s="7"/>
    </row>
    <row r="5" customFormat="false" ht="30" hidden="false" customHeight="true" outlineLevel="0" collapsed="false">
      <c r="B5" s="8" t="s">
        <v>36</v>
      </c>
      <c r="C5" s="8" t="s">
        <v>1458</v>
      </c>
      <c r="D5" s="8" t="s">
        <v>1459</v>
      </c>
      <c r="E5" s="8" t="s">
        <v>1460</v>
      </c>
      <c r="F5" s="8" t="s">
        <v>1461</v>
      </c>
      <c r="G5" s="8" t="s">
        <v>1462</v>
      </c>
      <c r="H5" s="8" t="s">
        <v>1463</v>
      </c>
      <c r="I5" s="8" t="s">
        <v>1464</v>
      </c>
      <c r="J5" s="8" t="s">
        <v>1465</v>
      </c>
      <c r="K5" s="8" t="s">
        <v>1466</v>
      </c>
      <c r="L5" s="8" t="s">
        <v>1467</v>
      </c>
      <c r="M5" s="8" t="s">
        <v>1468</v>
      </c>
      <c r="N5" s="8" t="s">
        <v>1282</v>
      </c>
      <c r="O5" s="8" t="s">
        <v>1354</v>
      </c>
      <c r="P5" s="8" t="s">
        <v>1355</v>
      </c>
      <c r="Q5" s="8" t="s">
        <v>1356</v>
      </c>
      <c r="R5" s="8" t="s">
        <v>1370</v>
      </c>
    </row>
    <row r="6" customFormat="false" ht="27.75" hidden="false" customHeight="true" outlineLevel="0" collapsed="false">
      <c r="B6" s="16" t="s">
        <v>1469</v>
      </c>
      <c r="C6" s="137" t="s">
        <v>1470</v>
      </c>
      <c r="D6" s="62" t="s">
        <v>1471</v>
      </c>
      <c r="E6" s="138" t="n">
        <v>1</v>
      </c>
      <c r="F6" s="138" t="n">
        <v>1</v>
      </c>
      <c r="G6" s="138" t="n">
        <v>1</v>
      </c>
      <c r="H6" s="138" t="n">
        <v>1</v>
      </c>
      <c r="I6" s="138" t="n">
        <v>1</v>
      </c>
      <c r="J6" s="138" t="n">
        <v>1</v>
      </c>
      <c r="K6" s="138" t="n">
        <v>1</v>
      </c>
      <c r="L6" s="138" t="n">
        <v>1</v>
      </c>
      <c r="M6" s="138" t="n">
        <v>1</v>
      </c>
      <c r="N6" s="15" t="n">
        <f aca="false">'10 Scoring &amp; Weights'!$C$23</f>
        <v>35</v>
      </c>
      <c r="O6" s="15" t="n">
        <f aca="false">'10 Scoring &amp; Weights'!$C$24</f>
        <v>15</v>
      </c>
      <c r="P6" s="15" t="n">
        <f aca="false">'10 Scoring &amp; Weights'!$C$25</f>
        <v>25</v>
      </c>
      <c r="Q6" s="15" t="n">
        <f aca="false">'10 Scoring &amp; Weights'!$C$26</f>
        <v>15</v>
      </c>
      <c r="R6" s="15" t="n">
        <f aca="false">'10 Scoring &amp; Weights'!$C$27</f>
        <v>10</v>
      </c>
    </row>
    <row r="7" customFormat="false" ht="27.75" hidden="false" customHeight="true" outlineLevel="0" collapsed="false">
      <c r="B7" s="16" t="s">
        <v>1472</v>
      </c>
      <c r="C7" s="137" t="s">
        <v>1473</v>
      </c>
      <c r="D7" s="62" t="s">
        <v>1474</v>
      </c>
      <c r="E7" s="139" t="n">
        <v>2</v>
      </c>
      <c r="F7" s="139" t="n">
        <v>2</v>
      </c>
      <c r="G7" s="138" t="n">
        <v>1</v>
      </c>
      <c r="H7" s="138" t="n">
        <v>1</v>
      </c>
      <c r="I7" s="138" t="n">
        <v>1</v>
      </c>
      <c r="J7" s="138" t="n">
        <v>1</v>
      </c>
      <c r="K7" s="138" t="n">
        <v>1</v>
      </c>
      <c r="L7" s="138" t="n">
        <v>1</v>
      </c>
      <c r="M7" s="139" t="n">
        <v>1.5</v>
      </c>
      <c r="N7" s="15" t="n">
        <f aca="false">'10 Scoring &amp; Weights'!$C$23</f>
        <v>35</v>
      </c>
      <c r="O7" s="15" t="n">
        <f aca="false">'10 Scoring &amp; Weights'!$C$24</f>
        <v>15</v>
      </c>
      <c r="P7" s="15" t="n">
        <f aca="false">'10 Scoring &amp; Weights'!$C$25</f>
        <v>25</v>
      </c>
      <c r="Q7" s="15" t="n">
        <f aca="false">'10 Scoring &amp; Weights'!$C$26</f>
        <v>15</v>
      </c>
      <c r="R7" s="15" t="n">
        <f aca="false">'10 Scoring &amp; Weights'!$C$27</f>
        <v>10</v>
      </c>
    </row>
    <row r="8" customFormat="false" ht="27.75" hidden="false" customHeight="true" outlineLevel="0" collapsed="false">
      <c r="B8" s="16" t="s">
        <v>1475</v>
      </c>
      <c r="C8" s="137" t="s">
        <v>1476</v>
      </c>
      <c r="D8" s="62" t="s">
        <v>1477</v>
      </c>
      <c r="E8" s="139" t="n">
        <v>0.8</v>
      </c>
      <c r="F8" s="139" t="n">
        <v>0.8</v>
      </c>
      <c r="G8" s="139" t="n">
        <v>1.8</v>
      </c>
      <c r="H8" s="138" t="n">
        <v>1</v>
      </c>
      <c r="I8" s="138" t="n">
        <v>1</v>
      </c>
      <c r="J8" s="139" t="n">
        <v>1.5</v>
      </c>
      <c r="K8" s="139" t="n">
        <v>1.5</v>
      </c>
      <c r="L8" s="138" t="n">
        <v>1</v>
      </c>
      <c r="M8" s="138" t="n">
        <v>1</v>
      </c>
      <c r="N8" s="15" t="n">
        <f aca="false">'10 Scoring &amp; Weights'!$C$23</f>
        <v>35</v>
      </c>
      <c r="O8" s="15" t="n">
        <f aca="false">'10 Scoring &amp; Weights'!$C$24</f>
        <v>15</v>
      </c>
      <c r="P8" s="15" t="n">
        <f aca="false">'10 Scoring &amp; Weights'!$C$25</f>
        <v>25</v>
      </c>
      <c r="Q8" s="15" t="n">
        <f aca="false">'10 Scoring &amp; Weights'!$C$26</f>
        <v>15</v>
      </c>
      <c r="R8" s="15" t="n">
        <f aca="false">'10 Scoring &amp; Weights'!$C$27</f>
        <v>10</v>
      </c>
    </row>
    <row r="9" customFormat="false" ht="27.75" hidden="false" customHeight="true" outlineLevel="0" collapsed="false">
      <c r="B9" s="16" t="s">
        <v>1478</v>
      </c>
      <c r="C9" s="137" t="s">
        <v>1479</v>
      </c>
      <c r="D9" s="62" t="s">
        <v>1480</v>
      </c>
      <c r="E9" s="138" t="n">
        <v>1</v>
      </c>
      <c r="F9" s="138" t="n">
        <v>1</v>
      </c>
      <c r="G9" s="138" t="n">
        <v>1</v>
      </c>
      <c r="H9" s="139" t="n">
        <v>2</v>
      </c>
      <c r="I9" s="139" t="n">
        <v>1.3</v>
      </c>
      <c r="J9" s="138" t="n">
        <v>1</v>
      </c>
      <c r="K9" s="138" t="n">
        <v>1</v>
      </c>
      <c r="L9" s="138" t="n">
        <v>1</v>
      </c>
      <c r="M9" s="138" t="n">
        <v>1</v>
      </c>
      <c r="N9" s="15" t="n">
        <f aca="false">'10 Scoring &amp; Weights'!$C$23</f>
        <v>35</v>
      </c>
      <c r="O9" s="15" t="n">
        <f aca="false">'10 Scoring &amp; Weights'!$C$24</f>
        <v>15</v>
      </c>
      <c r="P9" s="15" t="n">
        <f aca="false">'10 Scoring &amp; Weights'!$C$25</f>
        <v>25</v>
      </c>
      <c r="Q9" s="15" t="n">
        <f aca="false">'10 Scoring &amp; Weights'!$C$26</f>
        <v>15</v>
      </c>
      <c r="R9" s="15" t="n">
        <f aca="false">'10 Scoring &amp; Weights'!$C$27</f>
        <v>10</v>
      </c>
    </row>
    <row r="10" customFormat="false" ht="27.75" hidden="false" customHeight="true" outlineLevel="0" collapsed="false">
      <c r="B10" s="16" t="s">
        <v>1481</v>
      </c>
      <c r="C10" s="137" t="s">
        <v>1482</v>
      </c>
      <c r="D10" s="62" t="s">
        <v>1483</v>
      </c>
      <c r="E10" s="138" t="n">
        <v>1</v>
      </c>
      <c r="F10" s="138" t="n">
        <v>1</v>
      </c>
      <c r="G10" s="138" t="n">
        <v>1</v>
      </c>
      <c r="H10" s="138" t="n">
        <v>1</v>
      </c>
      <c r="I10" s="138" t="n">
        <v>1</v>
      </c>
      <c r="J10" s="138" t="n">
        <v>1</v>
      </c>
      <c r="K10" s="138" t="n">
        <v>1</v>
      </c>
      <c r="L10" s="138" t="n">
        <v>1</v>
      </c>
      <c r="M10" s="138" t="n">
        <v>1</v>
      </c>
      <c r="N10" s="61" t="n">
        <v>30</v>
      </c>
      <c r="O10" s="61" t="n">
        <v>10</v>
      </c>
      <c r="P10" s="61" t="n">
        <v>20</v>
      </c>
      <c r="Q10" s="61" t="n">
        <v>30</v>
      </c>
      <c r="R10" s="61" t="n">
        <v>10</v>
      </c>
    </row>
    <row r="11" customFormat="false" ht="27.75" hidden="false" customHeight="true" outlineLevel="0" collapsed="false">
      <c r="B11" s="16" t="s">
        <v>1484</v>
      </c>
      <c r="C11" s="137" t="s">
        <v>1485</v>
      </c>
      <c r="D11" s="62" t="s">
        <v>1486</v>
      </c>
      <c r="E11" s="139" t="n">
        <v>0.8</v>
      </c>
      <c r="F11" s="139" t="n">
        <v>0.8</v>
      </c>
      <c r="G11" s="139" t="n">
        <v>1.2</v>
      </c>
      <c r="H11" s="139" t="n">
        <v>1.5</v>
      </c>
      <c r="I11" s="139" t="n">
        <v>1.5</v>
      </c>
      <c r="J11" s="138" t="n">
        <v>1</v>
      </c>
      <c r="K11" s="139" t="n">
        <v>1.5</v>
      </c>
      <c r="L11" s="139" t="n">
        <v>0.8</v>
      </c>
      <c r="M11" s="138" t="n">
        <v>1</v>
      </c>
      <c r="N11" s="15" t="n">
        <f aca="false">'10 Scoring &amp; Weights'!$C$23</f>
        <v>35</v>
      </c>
      <c r="O11" s="15" t="n">
        <f aca="false">'10 Scoring &amp; Weights'!$C$24</f>
        <v>15</v>
      </c>
      <c r="P11" s="15" t="n">
        <f aca="false">'10 Scoring &amp; Weights'!$C$25</f>
        <v>25</v>
      </c>
      <c r="Q11" s="15" t="n">
        <f aca="false">'10 Scoring &amp; Weights'!$C$26</f>
        <v>15</v>
      </c>
      <c r="R11" s="15" t="n">
        <f aca="false">'10 Scoring &amp; Weights'!$C$27</f>
        <v>10</v>
      </c>
    </row>
    <row r="12" customFormat="false" ht="27.75" hidden="false" customHeight="true" outlineLevel="0" collapsed="false">
      <c r="B12" s="16" t="s">
        <v>1487</v>
      </c>
      <c r="C12" s="137" t="s">
        <v>1488</v>
      </c>
      <c r="D12" s="62" t="s">
        <v>1489</v>
      </c>
      <c r="E12" s="139" t="n">
        <v>1.6</v>
      </c>
      <c r="F12" s="139" t="n">
        <v>1.6</v>
      </c>
      <c r="G12" s="139" t="n">
        <v>1.2</v>
      </c>
      <c r="H12" s="138" t="n">
        <v>1</v>
      </c>
      <c r="I12" s="139" t="n">
        <v>0.8</v>
      </c>
      <c r="J12" s="139" t="n">
        <v>1.3</v>
      </c>
      <c r="K12" s="138" t="n">
        <v>1</v>
      </c>
      <c r="L12" s="139" t="n">
        <v>1.5</v>
      </c>
      <c r="M12" s="138" t="n">
        <v>1</v>
      </c>
      <c r="N12" s="15" t="n">
        <f aca="false">'10 Scoring &amp; Weights'!$C$23</f>
        <v>35</v>
      </c>
      <c r="O12" s="15" t="n">
        <f aca="false">'10 Scoring &amp; Weights'!$C$24</f>
        <v>15</v>
      </c>
      <c r="P12" s="15" t="n">
        <f aca="false">'10 Scoring &amp; Weights'!$C$25</f>
        <v>25</v>
      </c>
      <c r="Q12" s="15" t="n">
        <f aca="false">'10 Scoring &amp; Weights'!$C$26</f>
        <v>15</v>
      </c>
      <c r="R12" s="15" t="n">
        <f aca="false">'10 Scoring &amp; Weights'!$C$27</f>
        <v>10</v>
      </c>
    </row>
    <row r="14" customFormat="false" ht="15" hidden="false" customHeight="false" outlineLevel="0" collapsed="false">
      <c r="B14" s="7" t="s">
        <v>1490</v>
      </c>
      <c r="C14" s="7"/>
      <c r="D14" s="7"/>
      <c r="E14" s="7"/>
      <c r="F14" s="7"/>
      <c r="G14" s="7"/>
      <c r="H14" s="7"/>
      <c r="I14" s="7"/>
      <c r="J14" s="7"/>
      <c r="K14" s="7"/>
      <c r="L14" s="7"/>
      <c r="M14" s="7"/>
    </row>
    <row r="15" customFormat="false" ht="15" hidden="false" customHeight="false" outlineLevel="0" collapsed="false">
      <c r="C15" s="52" t="s">
        <v>1491</v>
      </c>
      <c r="E15" s="140" t="n">
        <f aca="false">'06 Needs-Feature Map'!$L$14</f>
        <v>0.170618184789444</v>
      </c>
      <c r="F15" s="140" t="n">
        <f aca="false">'06 Needs-Feature Map'!$L$15</f>
        <v>0.122507424392572</v>
      </c>
      <c r="G15" s="140" t="n">
        <f aca="false">'06 Needs-Feature Map'!$L$16</f>
        <v>0.135138940527282</v>
      </c>
      <c r="H15" s="140" t="n">
        <f aca="false">'06 Needs-Feature Map'!$L$17</f>
        <v>0.147869093484185</v>
      </c>
      <c r="I15" s="140" t="n">
        <f aca="false">'06 Needs-Feature Map'!$L$18</f>
        <v>0.1197410754697</v>
      </c>
      <c r="J15" s="140" t="n">
        <f aca="false">'06 Needs-Feature Map'!$L$19</f>
        <v>0.121051468079564</v>
      </c>
      <c r="K15" s="140" t="n">
        <f aca="false">'06 Needs-Feature Map'!$L$20</f>
        <v>0.111812008503223</v>
      </c>
      <c r="L15" s="140" t="n">
        <f aca="false">'06 Needs-Feature Map'!$L$21</f>
        <v>0.0665224107320992</v>
      </c>
      <c r="M15" s="140" t="n">
        <f aca="false">'06 Needs-Feature Map'!$L$22</f>
        <v>0.00473939402192901</v>
      </c>
    </row>
    <row r="16" customFormat="false" ht="15" hidden="false" customHeight="false" outlineLevel="0" collapsed="false">
      <c r="B16" s="42" t="s">
        <v>1469</v>
      </c>
      <c r="C16" s="54" t="s">
        <v>1470</v>
      </c>
      <c r="E16" s="77" t="n">
        <f aca="false">E$15*E6/SUMPRODUCT($E$15:$M$15,$E6:$M6)</f>
        <v>0.170618184789444</v>
      </c>
      <c r="F16" s="77" t="n">
        <f aca="false">F$15*F6/SUMPRODUCT($E$15:$M$15,$E6:$M6)</f>
        <v>0.122507424392572</v>
      </c>
      <c r="G16" s="77" t="n">
        <f aca="false">G$15*G6/SUMPRODUCT($E$15:$M$15,$E6:$M6)</f>
        <v>0.135138940527282</v>
      </c>
      <c r="H16" s="77" t="n">
        <f aca="false">H$15*H6/SUMPRODUCT($E$15:$M$15,$E6:$M6)</f>
        <v>0.147869093484185</v>
      </c>
      <c r="I16" s="77" t="n">
        <f aca="false">I$15*I6/SUMPRODUCT($E$15:$M$15,$E6:$M6)</f>
        <v>0.1197410754697</v>
      </c>
      <c r="J16" s="77" t="n">
        <f aca="false">J$15*J6/SUMPRODUCT($E$15:$M$15,$E6:$M6)</f>
        <v>0.121051468079564</v>
      </c>
      <c r="K16" s="77" t="n">
        <f aca="false">K$15*K6/SUMPRODUCT($E$15:$M$15,$E6:$M6)</f>
        <v>0.111812008503223</v>
      </c>
      <c r="L16" s="77" t="n">
        <f aca="false">L$15*L6/SUMPRODUCT($E$15:$M$15,$E6:$M6)</f>
        <v>0.0665224107320992</v>
      </c>
      <c r="M16" s="77" t="n">
        <f aca="false">M$15*M6/SUMPRODUCT($E$15:$M$15,$E6:$M6)</f>
        <v>0.00473939402192901</v>
      </c>
    </row>
    <row r="17" customFormat="false" ht="15" hidden="false" customHeight="false" outlineLevel="0" collapsed="false">
      <c r="B17" s="42" t="s">
        <v>1472</v>
      </c>
      <c r="C17" s="54" t="s">
        <v>1473</v>
      </c>
      <c r="E17" s="77" t="n">
        <f aca="false">E$15*E7/SUMPRODUCT($E$15:$M$15,$E7:$M7)</f>
        <v>0.263402243101649</v>
      </c>
      <c r="F17" s="77" t="n">
        <f aca="false">F$15*F7/SUMPRODUCT($E$15:$M$15,$E7:$M7)</f>
        <v>0.189128318422982</v>
      </c>
      <c r="G17" s="77" t="n">
        <f aca="false">G$15*G7/SUMPRODUCT($E$15:$M$15,$E7:$M7)</f>
        <v>0.104314496456502</v>
      </c>
      <c r="H17" s="77" t="n">
        <f aca="false">H$15*H7/SUMPRODUCT($E$15:$M$15,$E7:$M7)</f>
        <v>0.114140972010715</v>
      </c>
      <c r="I17" s="77" t="n">
        <f aca="false">I$15*I7/SUMPRODUCT($E$15:$M$15,$E7:$M7)</f>
        <v>0.092428799160669</v>
      </c>
      <c r="J17" s="77" t="n">
        <f aca="false">J$15*J7/SUMPRODUCT($E$15:$M$15,$E7:$M7)</f>
        <v>0.0934402984718586</v>
      </c>
      <c r="K17" s="77" t="n">
        <f aca="false">K$15*K7/SUMPRODUCT($E$15:$M$15,$E7:$M7)</f>
        <v>0.0863083084660497</v>
      </c>
      <c r="L17" s="77" t="n">
        <f aca="false">L$15*L7/SUMPRODUCT($E$15:$M$15,$E7:$M7)</f>
        <v>0.0513490171782913</v>
      </c>
      <c r="M17" s="77" t="n">
        <f aca="false">M$15*M7/SUMPRODUCT($E$15:$M$15,$E7:$M7)</f>
        <v>0.00548754673128435</v>
      </c>
    </row>
    <row r="18" customFormat="false" ht="15" hidden="false" customHeight="false" outlineLevel="0" collapsed="false">
      <c r="B18" s="42" t="s">
        <v>1475</v>
      </c>
      <c r="C18" s="54" t="s">
        <v>1476</v>
      </c>
      <c r="E18" s="77" t="n">
        <f aca="false">E$15*E8/SUMPRODUCT($E$15:$M$15,$E8:$M8)</f>
        <v>0.11707047570177</v>
      </c>
      <c r="F18" s="77" t="n">
        <f aca="false">F$15*F8/SUMPRODUCT($E$15:$M$15,$E8:$M8)</f>
        <v>0.0840590495575616</v>
      </c>
      <c r="G18" s="77" t="n">
        <f aca="false">G$15*G8/SUMPRODUCT($E$15:$M$15,$E8:$M8)</f>
        <v>0.20863400442335</v>
      </c>
      <c r="H18" s="77" t="n">
        <f aca="false">H$15*H8/SUMPRODUCT($E$15:$M$15,$E8:$M8)</f>
        <v>0.126826348676918</v>
      </c>
      <c r="I18" s="77" t="n">
        <f aca="false">I$15*I8/SUMPRODUCT($E$15:$M$15,$E8:$M8)</f>
        <v>0.102701132675122</v>
      </c>
      <c r="J18" s="77" t="n">
        <f aca="false">J$15*J8/SUMPRODUCT($E$15:$M$15,$E8:$M8)</f>
        <v>0.155737571693644</v>
      </c>
      <c r="K18" s="77" t="n">
        <f aca="false">K$15*K8/SUMPRODUCT($E$15:$M$15,$E8:$M8)</f>
        <v>0.143850636152844</v>
      </c>
      <c r="L18" s="77" t="n">
        <f aca="false">L$15*L8/SUMPRODUCT($E$15:$M$15,$E8:$M8)</f>
        <v>0.0570558340458122</v>
      </c>
      <c r="M18" s="77" t="n">
        <f aca="false">M$15*M8/SUMPRODUCT($E$15:$M$15,$E8:$M8)</f>
        <v>0.00406494707297814</v>
      </c>
    </row>
    <row r="19" customFormat="false" ht="15" hidden="false" customHeight="false" outlineLevel="0" collapsed="false">
      <c r="B19" s="42" t="s">
        <v>1478</v>
      </c>
      <c r="C19" s="54" t="s">
        <v>1479</v>
      </c>
      <c r="E19" s="77" t="n">
        <f aca="false">E$15*E9/SUMPRODUCT($E$15:$M$15,$E9:$M9)</f>
        <v>0.144128587574937</v>
      </c>
      <c r="F19" s="77" t="n">
        <f aca="false">F$15*F9/SUMPRODUCT($E$15:$M$15,$E9:$M9)</f>
        <v>0.103487339681492</v>
      </c>
      <c r="G19" s="77" t="n">
        <f aca="false">G$15*G9/SUMPRODUCT($E$15:$M$15,$E9:$M9)</f>
        <v>0.114157729720353</v>
      </c>
      <c r="H19" s="77" t="n">
        <f aca="false">H$15*H9/SUMPRODUCT($E$15:$M$15,$E9:$M9)</f>
        <v>0.249822885129891</v>
      </c>
      <c r="I19" s="77" t="n">
        <f aca="false">I$15*I9/SUMPRODUCT($E$15:$M$15,$E9:$M9)</f>
        <v>0.131495630049543</v>
      </c>
      <c r="J19" s="77" t="n">
        <f aca="false">J$15*J9/SUMPRODUCT($E$15:$M$15,$E9:$M9)</f>
        <v>0.102257430177862</v>
      </c>
      <c r="K19" s="77" t="n">
        <f aca="false">K$15*K9/SUMPRODUCT($E$15:$M$15,$E9:$M9)</f>
        <v>0.0944524575699473</v>
      </c>
      <c r="L19" s="77" t="n">
        <f aca="false">L$15*L9/SUMPRODUCT($E$15:$M$15,$E9:$M9)</f>
        <v>0.0561943682188937</v>
      </c>
      <c r="M19" s="77" t="n">
        <f aca="false">M$15*M9/SUMPRODUCT($E$15:$M$15,$E9:$M9)</f>
        <v>0.00400357187708158</v>
      </c>
    </row>
    <row r="20" customFormat="false" ht="15" hidden="false" customHeight="false" outlineLevel="0" collapsed="false">
      <c r="B20" s="42" t="s">
        <v>1481</v>
      </c>
      <c r="C20" s="54" t="s">
        <v>1482</v>
      </c>
      <c r="E20" s="77" t="n">
        <f aca="false">E$15*E10/SUMPRODUCT($E$15:$M$15,$E10:$M10)</f>
        <v>0.170618184789444</v>
      </c>
      <c r="F20" s="77" t="n">
        <f aca="false">F$15*F10/SUMPRODUCT($E$15:$M$15,$E10:$M10)</f>
        <v>0.122507424392572</v>
      </c>
      <c r="G20" s="77" t="n">
        <f aca="false">G$15*G10/SUMPRODUCT($E$15:$M$15,$E10:$M10)</f>
        <v>0.135138940527282</v>
      </c>
      <c r="H20" s="77" t="n">
        <f aca="false">H$15*H10/SUMPRODUCT($E$15:$M$15,$E10:$M10)</f>
        <v>0.147869093484185</v>
      </c>
      <c r="I20" s="77" t="n">
        <f aca="false">I$15*I10/SUMPRODUCT($E$15:$M$15,$E10:$M10)</f>
        <v>0.1197410754697</v>
      </c>
      <c r="J20" s="77" t="n">
        <f aca="false">J$15*J10/SUMPRODUCT($E$15:$M$15,$E10:$M10)</f>
        <v>0.121051468079564</v>
      </c>
      <c r="K20" s="77" t="n">
        <f aca="false">K$15*K10/SUMPRODUCT($E$15:$M$15,$E10:$M10)</f>
        <v>0.111812008503223</v>
      </c>
      <c r="L20" s="77" t="n">
        <f aca="false">L$15*L10/SUMPRODUCT($E$15:$M$15,$E10:$M10)</f>
        <v>0.0665224107320992</v>
      </c>
      <c r="M20" s="77" t="n">
        <f aca="false">M$15*M10/SUMPRODUCT($E$15:$M$15,$E10:$M10)</f>
        <v>0.00473939402192901</v>
      </c>
    </row>
    <row r="21" customFormat="false" ht="15" hidden="false" customHeight="false" outlineLevel="0" collapsed="false">
      <c r="B21" s="42" t="s">
        <v>1484</v>
      </c>
      <c r="C21" s="54" t="s">
        <v>1485</v>
      </c>
      <c r="E21" s="77" t="n">
        <f aca="false">E$15*E11/SUMPRODUCT($E$15:$M$15,$E11:$M11)</f>
        <v>0.119229072535036</v>
      </c>
      <c r="F21" s="77" t="n">
        <f aca="false">F$15*F11/SUMPRODUCT($E$15:$M$15,$E11:$M11)</f>
        <v>0.0856089672212129</v>
      </c>
      <c r="G21" s="77" t="n">
        <f aca="false">G$15*G11/SUMPRODUCT($E$15:$M$15,$E11:$M11)</f>
        <v>0.141653926534729</v>
      </c>
      <c r="H21" s="77" t="n">
        <f aca="false">H$15*H11/SUMPRODUCT($E$15:$M$15,$E11:$M11)</f>
        <v>0.193747242869433</v>
      </c>
      <c r="I21" s="77" t="n">
        <f aca="false">I$15*I11/SUMPRODUCT($E$15:$M$15,$E11:$M11)</f>
        <v>0.156892171878746</v>
      </c>
      <c r="J21" s="77" t="n">
        <f aca="false">J$15*J11/SUMPRODUCT($E$15:$M$15,$E11:$M11)</f>
        <v>0.10573941961361</v>
      </c>
      <c r="K21" s="77" t="n">
        <f aca="false">K$15*K11/SUMPRODUCT($E$15:$M$15,$E11:$M11)</f>
        <v>0.146503017342904</v>
      </c>
      <c r="L21" s="77" t="n">
        <f aca="false">L$15*L11/SUMPRODUCT($E$15:$M$15,$E11:$M11)</f>
        <v>0.0464862836524186</v>
      </c>
      <c r="M21" s="77" t="n">
        <f aca="false">M$15*M11/SUMPRODUCT($E$15:$M$15,$E11:$M11)</f>
        <v>0.00413989835191096</v>
      </c>
    </row>
    <row r="22" customFormat="false" ht="15" hidden="false" customHeight="false" outlineLevel="0" collapsed="false">
      <c r="B22" s="42" t="s">
        <v>1487</v>
      </c>
      <c r="C22" s="54" t="s">
        <v>1488</v>
      </c>
      <c r="E22" s="77" t="n">
        <f aca="false">E$15*E12/SUMPRODUCT($E$15:$M$15,$E12:$M12)</f>
        <v>0.218648129605658</v>
      </c>
      <c r="F22" s="77" t="n">
        <f aca="false">F$15*F12/SUMPRODUCT($E$15:$M$15,$E12:$M12)</f>
        <v>0.156993929101393</v>
      </c>
      <c r="G22" s="77" t="n">
        <f aca="false">G$15*G12/SUMPRODUCT($E$15:$M$15,$E12:$M12)</f>
        <v>0.12988596417629</v>
      </c>
      <c r="H22" s="77" t="n">
        <f aca="false">H$15*H12/SUMPRODUCT($E$15:$M$15,$E12:$M12)</f>
        <v>0.118434403536398</v>
      </c>
      <c r="I22" s="77" t="n">
        <f aca="false">I$15*I12/SUMPRODUCT($E$15:$M$15,$E12:$M12)</f>
        <v>0.0767244189730696</v>
      </c>
      <c r="J22" s="77" t="n">
        <f aca="false">J$15*J12/SUMPRODUCT($E$15:$M$15,$E12:$M12)</f>
        <v>0.126041591963667</v>
      </c>
      <c r="K22" s="77" t="n">
        <f aca="false">K$15*K12/SUMPRODUCT($E$15:$M$15,$E12:$M12)</f>
        <v>0.0895548097527372</v>
      </c>
      <c r="L22" s="77" t="n">
        <f aca="false">L$15*L12/SUMPRODUCT($E$15:$M$15,$E12:$M12)</f>
        <v>0.0799207784184671</v>
      </c>
      <c r="M22" s="77" t="n">
        <f aca="false">M$15*M12/SUMPRODUCT($E$15:$M$15,$E12:$M12)</f>
        <v>0.00379597447232045</v>
      </c>
    </row>
    <row r="25" customFormat="false" ht="15" hidden="false" customHeight="false" outlineLevel="0" collapsed="false">
      <c r="B25" s="7" t="s">
        <v>1492</v>
      </c>
      <c r="C25" s="7"/>
      <c r="D25" s="7"/>
      <c r="E25" s="7"/>
      <c r="F25" s="7"/>
      <c r="G25" s="7"/>
      <c r="H25" s="7"/>
      <c r="I25" s="7"/>
      <c r="J25" s="7"/>
    </row>
    <row r="26" customFormat="false" ht="15" hidden="false" customHeight="false" outlineLevel="0" collapsed="false">
      <c r="B26" s="8" t="s">
        <v>36</v>
      </c>
      <c r="C26" s="8" t="s">
        <v>12</v>
      </c>
      <c r="D26" s="8" t="s">
        <v>1469</v>
      </c>
      <c r="E26" s="8" t="s">
        <v>1472</v>
      </c>
      <c r="F26" s="8" t="s">
        <v>1475</v>
      </c>
      <c r="G26" s="8" t="s">
        <v>1478</v>
      </c>
      <c r="H26" s="8" t="s">
        <v>1481</v>
      </c>
      <c r="I26" s="8" t="s">
        <v>1484</v>
      </c>
      <c r="J26" s="8" t="s">
        <v>1487</v>
      </c>
      <c r="K26" s="8" t="s">
        <v>19</v>
      </c>
    </row>
    <row r="27" customFormat="false" ht="15" hidden="false" customHeight="false" outlineLevel="0" collapsed="false">
      <c r="B27" s="42" t="s">
        <v>48</v>
      </c>
      <c r="C27" s="46" t="s">
        <v>50</v>
      </c>
      <c r="D27" s="71" t="n">
        <f aca="false">SUMPRODUCT('06 Needs-Feature Map'!$D$113:$L$113,$E$16:$M$16)*100</f>
        <v>62.2558861827256</v>
      </c>
      <c r="E27" s="71" t="n">
        <f aca="false">SUMPRODUCT('06 Needs-Feature Map'!$D$113:$L$113,$E$17:$M$17)*100</f>
        <v>53.0030640798811</v>
      </c>
      <c r="F27" s="71" t="n">
        <f aca="false">SUMPRODUCT('06 Needs-Feature Map'!$D$113:$L$113,$E$18:$M$18)*100</f>
        <v>70.3878794195664</v>
      </c>
      <c r="G27" s="71" t="n">
        <f aca="false">SUMPRODUCT('06 Needs-Feature Map'!$D$113:$L$113,$E$19:$M$19)*100</f>
        <v>62.4948935941845</v>
      </c>
      <c r="H27" s="71" t="n">
        <f aca="false">SUMPRODUCT('06 Needs-Feature Map'!$D$113:$L$113,$E$20:$M$20)*100</f>
        <v>62.2558861827256</v>
      </c>
      <c r="I27" s="71" t="n">
        <f aca="false">SUMPRODUCT('06 Needs-Feature Map'!$D$113:$L$113,$E$21:$M$21)*100</f>
        <v>68.9968557845691</v>
      </c>
      <c r="J27" s="71" t="n">
        <f aca="false">SUMPRODUCT('06 Needs-Feature Map'!$D$113:$L$113,$E$22:$M$22)*100</f>
        <v>56.1102513217732</v>
      </c>
      <c r="K27" s="26" t="str">
        <f aca="false">'10 Scoring &amp; Weights'!S87</f>
        <v>Conditionally eligible</v>
      </c>
    </row>
    <row r="28" customFormat="false" ht="15" hidden="false" customHeight="false" outlineLevel="0" collapsed="false">
      <c r="B28" s="42" t="s">
        <v>59</v>
      </c>
      <c r="C28" s="46" t="s">
        <v>60</v>
      </c>
      <c r="D28" s="71" t="n">
        <f aca="false">SUMPRODUCT('06 Needs-Feature Map'!$D$114:$L$114,$E$16:$M$16)*100</f>
        <v>38.8102758012462</v>
      </c>
      <c r="E28" s="71" t="n">
        <f aca="false">SUMPRODUCT('06 Needs-Feature Map'!$D$114:$L$114,$E$17:$M$17)*100</f>
        <v>45.89242807175</v>
      </c>
      <c r="F28" s="71" t="n">
        <f aca="false">SUMPRODUCT('06 Needs-Feature Map'!$D$114:$L$114,$E$18:$M$18)*100</f>
        <v>34.5711059210121</v>
      </c>
      <c r="G28" s="71" t="n">
        <f aca="false">SUMPRODUCT('06 Needs-Feature Map'!$D$114:$L$114,$E$19:$M$19)*100</f>
        <v>37.134557411163</v>
      </c>
      <c r="H28" s="71" t="n">
        <f aca="false">SUMPRODUCT('06 Needs-Feature Map'!$D$114:$L$114,$E$20:$M$20)*100</f>
        <v>38.8102758012462</v>
      </c>
      <c r="I28" s="71" t="n">
        <f aca="false">SUMPRODUCT('06 Needs-Feature Map'!$D$114:$L$114,$E$21:$M$21)*100</f>
        <v>34.9897662279676</v>
      </c>
      <c r="J28" s="71" t="n">
        <f aca="false">SUMPRODUCT('06 Needs-Feature Map'!$D$114:$L$114,$E$22:$M$22)*100</f>
        <v>42.431465967816</v>
      </c>
      <c r="K28" s="26" t="str">
        <f aca="false">'10 Scoring &amp; Weights'!S88</f>
        <v>Pending verification</v>
      </c>
    </row>
    <row r="29" customFormat="false" ht="15" hidden="false" customHeight="false" outlineLevel="0" collapsed="false">
      <c r="B29" s="42" t="s">
        <v>65</v>
      </c>
      <c r="C29" s="46" t="s">
        <v>66</v>
      </c>
      <c r="D29" s="71" t="n">
        <f aca="false">SUMPRODUCT('06 Needs-Feature Map'!$D$115:$L$115,$E$16:$M$16)*100</f>
        <v>61.4383792012179</v>
      </c>
      <c r="E29" s="71" t="n">
        <f aca="false">SUMPRODUCT('06 Needs-Feature Map'!$D$115:$L$115,$E$17:$M$17)*100</f>
        <v>68.7607335344749</v>
      </c>
      <c r="F29" s="71" t="n">
        <f aca="false">SUMPRODUCT('06 Needs-Feature Map'!$D$115:$L$115,$E$18:$M$18)*100</f>
        <v>52.7970009564967</v>
      </c>
      <c r="G29" s="71" t="n">
        <f aca="false">SUMPRODUCT('06 Needs-Feature Map'!$D$115:$L$115,$E$19:$M$19)*100</f>
        <v>64.052715923429</v>
      </c>
      <c r="H29" s="71" t="n">
        <f aca="false">SUMPRODUCT('06 Needs-Feature Map'!$D$115:$L$115,$E$20:$M$20)*100</f>
        <v>61.4383792012179</v>
      </c>
      <c r="I29" s="71" t="n">
        <f aca="false">SUMPRODUCT('06 Needs-Feature Map'!$D$115:$L$115,$E$21:$M$21)*100</f>
        <v>60.3317944478751</v>
      </c>
      <c r="J29" s="71" t="n">
        <f aca="false">SUMPRODUCT('06 Needs-Feature Map'!$D$115:$L$115,$E$22:$M$22)*100</f>
        <v>62.4282471104897</v>
      </c>
      <c r="K29" s="26" t="str">
        <f aca="false">'10 Scoring &amp; Weights'!S89</f>
        <v>Conditionally eligible</v>
      </c>
    </row>
    <row r="30" customFormat="false" ht="15" hidden="false" customHeight="false" outlineLevel="0" collapsed="false">
      <c r="B30" s="42" t="s">
        <v>71</v>
      </c>
      <c r="C30" s="46" t="s">
        <v>72</v>
      </c>
      <c r="D30" s="71" t="n">
        <f aca="false">SUMPRODUCT('06 Needs-Feature Map'!$D$116:$L$116,$E$16:$M$16)*100</f>
        <v>70.3709894004925</v>
      </c>
      <c r="E30" s="71" t="n">
        <f aca="false">SUMPRODUCT('06 Needs-Feature Map'!$D$116:$L$116,$E$17:$M$17)*100</f>
        <v>59.2671571869526</v>
      </c>
      <c r="F30" s="71" t="n">
        <f aca="false">SUMPRODUCT('06 Needs-Feature Map'!$D$116:$L$116,$E$18:$M$18)*100</f>
        <v>77.7374939908584</v>
      </c>
      <c r="G30" s="71" t="n">
        <f aca="false">SUMPRODUCT('06 Needs-Feature Map'!$D$116:$L$116,$E$19:$M$19)*100</f>
        <v>71.2237452138838</v>
      </c>
      <c r="H30" s="71" t="n">
        <f aca="false">SUMPRODUCT('06 Needs-Feature Map'!$D$116:$L$116,$E$20:$M$20)*100</f>
        <v>70.3709894004925</v>
      </c>
      <c r="I30" s="71" t="n">
        <f aca="false">SUMPRODUCT('06 Needs-Feature Map'!$D$116:$L$116,$E$21:$M$21)*100</f>
        <v>76.182581348644</v>
      </c>
      <c r="J30" s="71" t="n">
        <f aca="false">SUMPRODUCT('06 Needs-Feature Map'!$D$116:$L$116,$E$22:$M$22)*100</f>
        <v>64.8261376959317</v>
      </c>
      <c r="K30" s="26" t="str">
        <f aca="false">'10 Scoring &amp; Weights'!S90</f>
        <v>Pending verification</v>
      </c>
    </row>
    <row r="31" customFormat="false" ht="15" hidden="false" customHeight="false" outlineLevel="0" collapsed="false">
      <c r="B31" s="42" t="s">
        <v>80</v>
      </c>
      <c r="C31" s="46" t="s">
        <v>81</v>
      </c>
      <c r="D31" s="71" t="n">
        <f aca="false">SUMPRODUCT('06 Needs-Feature Map'!$D$117:$L$117,$E$16:$M$16)*100</f>
        <v>69.8653677709651</v>
      </c>
      <c r="E31" s="71" t="n">
        <f aca="false">SUMPRODUCT('06 Needs-Feature Map'!$D$117:$L$117,$E$17:$M$17)*100</f>
        <v>58.8768650514965</v>
      </c>
      <c r="F31" s="71" t="n">
        <f aca="false">SUMPRODUCT('06 Needs-Feature Map'!$D$117:$L$117,$E$18:$M$18)*100</f>
        <v>76.1357938579052</v>
      </c>
      <c r="G31" s="71" t="n">
        <f aca="false">SUMPRODUCT('06 Needs-Feature Map'!$D$117:$L$117,$E$19:$M$19)*100</f>
        <v>72.6702963118303</v>
      </c>
      <c r="H31" s="71" t="n">
        <f aca="false">SUMPRODUCT('06 Needs-Feature Map'!$D$117:$L$117,$E$20:$M$20)*100</f>
        <v>69.8653677709651</v>
      </c>
      <c r="I31" s="71" t="n">
        <f aca="false">SUMPRODUCT('06 Needs-Feature Map'!$D$117:$L$117,$E$21:$M$21)*100</f>
        <v>76.7096530503793</v>
      </c>
      <c r="J31" s="71" t="n">
        <f aca="false">SUMPRODUCT('06 Needs-Feature Map'!$D$117:$L$117,$E$22:$M$22)*100</f>
        <v>63.7667179297952</v>
      </c>
      <c r="K31" s="26" t="str">
        <f aca="false">'10 Scoring &amp; Weights'!S91</f>
        <v>Pending verification</v>
      </c>
    </row>
    <row r="32" customFormat="false" ht="15" hidden="false" customHeight="false" outlineLevel="0" collapsed="false">
      <c r="B32" s="42" t="s">
        <v>86</v>
      </c>
      <c r="C32" s="46" t="s">
        <v>87</v>
      </c>
      <c r="D32" s="71" t="n">
        <f aca="false">SUMPRODUCT('06 Needs-Feature Map'!$D$118:$L$118,$E$16:$M$16)*100</f>
        <v>55.2533665959546</v>
      </c>
      <c r="E32" s="71" t="n">
        <f aca="false">SUMPRODUCT('06 Needs-Feature Map'!$D$118:$L$118,$E$17:$M$17)*100</f>
        <v>47.5977804379442</v>
      </c>
      <c r="F32" s="71" t="n">
        <f aca="false">SUMPRODUCT('06 Needs-Feature Map'!$D$118:$L$118,$E$18:$M$18)*100</f>
        <v>63.4219355932642</v>
      </c>
      <c r="G32" s="71" t="n">
        <f aca="false">SUMPRODUCT('06 Needs-Feature Map'!$D$118:$L$118,$E$19:$M$19)*100</f>
        <v>51.2708249965754</v>
      </c>
      <c r="H32" s="71" t="n">
        <f aca="false">SUMPRODUCT('06 Needs-Feature Map'!$D$118:$L$118,$E$20:$M$20)*100</f>
        <v>55.2533665959546</v>
      </c>
      <c r="I32" s="71" t="n">
        <f aca="false">SUMPRODUCT('06 Needs-Feature Map'!$D$118:$L$118,$E$21:$M$21)*100</f>
        <v>59.6926781342962</v>
      </c>
      <c r="J32" s="71" t="n">
        <f aca="false">SUMPRODUCT('06 Needs-Feature Map'!$D$118:$L$118,$E$22:$M$22)*100</f>
        <v>50.5320512226259</v>
      </c>
      <c r="K32" s="26" t="str">
        <f aca="false">'10 Scoring &amp; Weights'!S92</f>
        <v>Pending verification</v>
      </c>
    </row>
    <row r="33" customFormat="false" ht="15" hidden="false" customHeight="false" outlineLevel="0" collapsed="false">
      <c r="B33" s="42" t="s">
        <v>93</v>
      </c>
      <c r="C33" s="46" t="s">
        <v>94</v>
      </c>
      <c r="D33" s="71" t="n">
        <f aca="false">SUMPRODUCT('06 Needs-Feature Map'!$D$119:$L$119,$E$16:$M$16)*100</f>
        <v>76.8320885723364</v>
      </c>
      <c r="E33" s="71" t="n">
        <f aca="false">SUMPRODUCT('06 Needs-Feature Map'!$D$119:$L$119,$E$17:$M$17)*100</f>
        <v>82.0616854210888</v>
      </c>
      <c r="F33" s="71" t="n">
        <f aca="false">SUMPRODUCT('06 Needs-Feature Map'!$D$119:$L$119,$E$18:$M$18)*100</f>
        <v>75.7898723434807</v>
      </c>
      <c r="G33" s="71" t="n">
        <f aca="false">SUMPRODUCT('06 Needs-Feature Map'!$D$119:$L$119,$E$19:$M$19)*100</f>
        <v>71.6852584712317</v>
      </c>
      <c r="H33" s="71" t="n">
        <f aca="false">SUMPRODUCT('06 Needs-Feature Map'!$D$119:$L$119,$E$20:$M$20)*100</f>
        <v>76.8320885723364</v>
      </c>
      <c r="I33" s="71" t="n">
        <f aca="false">SUMPRODUCT('06 Needs-Feature Map'!$D$119:$L$119,$E$21:$M$21)*100</f>
        <v>75.4052243902008</v>
      </c>
      <c r="J33" s="71" t="n">
        <f aca="false">SUMPRODUCT('06 Needs-Feature Map'!$D$119:$L$119,$E$22:$M$22)*100</f>
        <v>77.9238274526988</v>
      </c>
      <c r="K33" s="26" t="str">
        <f aca="false">'10 Scoring &amp; Weights'!S93</f>
        <v>Pending verification</v>
      </c>
    </row>
    <row r="34" customFormat="false" ht="15" hidden="false" customHeight="false" outlineLevel="0" collapsed="false">
      <c r="B34" s="42" t="s">
        <v>98</v>
      </c>
      <c r="C34" s="46" t="s">
        <v>99</v>
      </c>
      <c r="D34" s="71" t="n">
        <f aca="false">SUMPRODUCT('06 Needs-Feature Map'!$D$120:$L$120,$E$16:$M$16)*100</f>
        <v>41.8334967332486</v>
      </c>
      <c r="E34" s="71" t="n">
        <f aca="false">SUMPRODUCT('06 Needs-Feature Map'!$D$120:$L$120,$E$17:$M$17)*100</f>
        <v>37.2389085851835</v>
      </c>
      <c r="F34" s="71" t="n">
        <f aca="false">SUMPRODUCT('06 Needs-Feature Map'!$D$120:$L$120,$E$18:$M$18)*100</f>
        <v>43.2393058826165</v>
      </c>
      <c r="G34" s="71" t="n">
        <f aca="false">SUMPRODUCT('06 Needs-Feature Map'!$D$120:$L$120,$E$19:$M$19)*100</f>
        <v>43.3695430101697</v>
      </c>
      <c r="H34" s="71" t="n">
        <f aca="false">SUMPRODUCT('06 Needs-Feature Map'!$D$120:$L$120,$E$20:$M$20)*100</f>
        <v>41.8334967332486</v>
      </c>
      <c r="I34" s="71" t="n">
        <f aca="false">SUMPRODUCT('06 Needs-Feature Map'!$D$120:$L$120,$E$21:$M$21)*100</f>
        <v>45.2869527564303</v>
      </c>
      <c r="J34" s="71" t="n">
        <f aca="false">SUMPRODUCT('06 Needs-Feature Map'!$D$120:$L$120,$E$22:$M$22)*100</f>
        <v>37.9621755988343</v>
      </c>
      <c r="K34" s="26" t="str">
        <f aca="false">'10 Scoring &amp; Weights'!S94</f>
        <v>Pending verification</v>
      </c>
    </row>
    <row r="35" customFormat="false" ht="15" hidden="false" customHeight="false" outlineLevel="0" collapsed="false">
      <c r="B35" s="42" t="s">
        <v>106</v>
      </c>
      <c r="C35" s="46" t="s">
        <v>107</v>
      </c>
      <c r="D35" s="71" t="n">
        <f aca="false">SUMPRODUCT('06 Needs-Feature Map'!$D$121:$L$121,$E$16:$M$16)*100</f>
        <v>62.302921261792</v>
      </c>
      <c r="E35" s="71" t="n">
        <f aca="false">SUMPRODUCT('06 Needs-Feature Map'!$D$121:$L$121,$E$17:$M$17)*100</f>
        <v>70.8465407261685</v>
      </c>
      <c r="F35" s="71" t="n">
        <f aca="false">SUMPRODUCT('06 Needs-Feature Map'!$D$121:$L$121,$E$18:$M$18)*100</f>
        <v>54.3913233460442</v>
      </c>
      <c r="G35" s="71" t="n">
        <f aca="false">SUMPRODUCT('06 Needs-Feature Map'!$D$121:$L$121,$E$19:$M$19)*100</f>
        <v>61.660246069406</v>
      </c>
      <c r="H35" s="71" t="n">
        <f aca="false">SUMPRODUCT('06 Needs-Feature Map'!$D$121:$L$121,$E$20:$M$20)*100</f>
        <v>62.302921261792</v>
      </c>
      <c r="I35" s="71" t="n">
        <f aca="false">SUMPRODUCT('06 Needs-Feature Map'!$D$121:$L$121,$E$21:$M$21)*100</f>
        <v>59.1513848257638</v>
      </c>
      <c r="J35" s="71" t="n">
        <f aca="false">SUMPRODUCT('06 Needs-Feature Map'!$D$121:$L$121,$E$22:$M$22)*100</f>
        <v>64.6582317777831</v>
      </c>
      <c r="K35" s="26" t="str">
        <f aca="false">'10 Scoring &amp; Weights'!S95</f>
        <v>Pending verification</v>
      </c>
    </row>
    <row r="36" customFormat="false" ht="15" hidden="false" customHeight="false" outlineLevel="0" collapsed="false">
      <c r="B36" s="42" t="s">
        <v>112</v>
      </c>
      <c r="C36" s="46" t="s">
        <v>113</v>
      </c>
      <c r="D36" s="71" t="n">
        <f aca="false">SUMPRODUCT('06 Needs-Feature Map'!$D$122:$L$122,$E$16:$M$16)*100</f>
        <v>66.6304159134011</v>
      </c>
      <c r="E36" s="71" t="n">
        <f aca="false">SUMPRODUCT('06 Needs-Feature Map'!$D$122:$L$122,$E$17:$M$17)*100</f>
        <v>74.1869578090572</v>
      </c>
      <c r="F36" s="71" t="n">
        <f aca="false">SUMPRODUCT('06 Needs-Feature Map'!$D$122:$L$122,$E$18:$M$18)*100</f>
        <v>62.6650110566127</v>
      </c>
      <c r="G36" s="71" t="n">
        <f aca="false">SUMPRODUCT('06 Needs-Feature Map'!$D$122:$L$122,$E$19:$M$19)*100</f>
        <v>63.0674627008178</v>
      </c>
      <c r="H36" s="71" t="n">
        <f aca="false">SUMPRODUCT('06 Needs-Feature Map'!$D$122:$L$122,$E$20:$M$20)*100</f>
        <v>66.6304159134011</v>
      </c>
      <c r="I36" s="71" t="n">
        <f aca="false">SUMPRODUCT('06 Needs-Feature Map'!$D$122:$L$122,$E$21:$M$21)*100</f>
        <v>62.8314067952788</v>
      </c>
      <c r="J36" s="71" t="n">
        <f aca="false">SUMPRODUCT('06 Needs-Feature Map'!$D$122:$L$122,$E$22:$M$22)*100</f>
        <v>69.3165928417885</v>
      </c>
      <c r="K36" s="26" t="str">
        <f aca="false">'10 Scoring &amp; Weights'!S96</f>
        <v>Conditionally eligible</v>
      </c>
    </row>
    <row r="37" customFormat="false" ht="15" hidden="false" customHeight="false" outlineLevel="0" collapsed="false">
      <c r="B37" s="42" t="s">
        <v>117</v>
      </c>
      <c r="C37" s="46" t="s">
        <v>118</v>
      </c>
      <c r="D37" s="71" t="n">
        <f aca="false">SUMPRODUCT('06 Needs-Feature Map'!$D$123:$L$123,$E$16:$M$16)*100</f>
        <v>61.7891137842321</v>
      </c>
      <c r="E37" s="71" t="n">
        <f aca="false">SUMPRODUCT('06 Needs-Feature Map'!$D$123:$L$123,$E$17:$M$17)*100</f>
        <v>68.3771117743455</v>
      </c>
      <c r="F37" s="71" t="n">
        <f aca="false">SUMPRODUCT('06 Needs-Feature Map'!$D$123:$L$123,$E$18:$M$18)*100</f>
        <v>57.1636323436665</v>
      </c>
      <c r="G37" s="71" t="n">
        <f aca="false">SUMPRODUCT('06 Needs-Feature Map'!$D$123:$L$123,$E$19:$M$19)*100</f>
        <v>59.9146404407489</v>
      </c>
      <c r="H37" s="71" t="n">
        <f aca="false">SUMPRODUCT('06 Needs-Feature Map'!$D$123:$L$123,$E$20:$M$20)*100</f>
        <v>61.7891137842321</v>
      </c>
      <c r="I37" s="71" t="n">
        <f aca="false">SUMPRODUCT('06 Needs-Feature Map'!$D$123:$L$123,$E$21:$M$21)*100</f>
        <v>59.3028083371598</v>
      </c>
      <c r="J37" s="71" t="n">
        <f aca="false">SUMPRODUCT('06 Needs-Feature Map'!$D$123:$L$123,$E$22:$M$22)*100</f>
        <v>63.4345257212615</v>
      </c>
      <c r="K37" s="26" t="str">
        <f aca="false">'10 Scoring &amp; Weights'!S97</f>
        <v>Pending verification</v>
      </c>
    </row>
    <row r="38" customFormat="false" ht="15" hidden="false" customHeight="false" outlineLevel="0" collapsed="false">
      <c r="B38" s="42" t="s">
        <v>122</v>
      </c>
      <c r="C38" s="46" t="s">
        <v>123</v>
      </c>
      <c r="D38" s="71" t="n">
        <f aca="false">SUMPRODUCT('06 Needs-Feature Map'!$D$124:$L$124,$E$16:$M$16)*100</f>
        <v>58.2877363431534</v>
      </c>
      <c r="E38" s="71" t="n">
        <f aca="false">SUMPRODUCT('06 Needs-Feature Map'!$D$124:$L$124,$E$17:$M$17)*100</f>
        <v>57.8696131391051</v>
      </c>
      <c r="F38" s="71" t="n">
        <f aca="false">SUMPRODUCT('06 Needs-Feature Map'!$D$124:$L$124,$E$18:$M$18)*100</f>
        <v>58.435859094744</v>
      </c>
      <c r="G38" s="71" t="n">
        <f aca="false">SUMPRODUCT('06 Needs-Feature Map'!$D$124:$L$124,$E$19:$M$19)*100</f>
        <v>56.8007356111295</v>
      </c>
      <c r="H38" s="71" t="n">
        <f aca="false">SUMPRODUCT('06 Needs-Feature Map'!$D$124:$L$124,$E$20:$M$20)*100</f>
        <v>58.2877363431534</v>
      </c>
      <c r="I38" s="71" t="n">
        <f aca="false">SUMPRODUCT('06 Needs-Feature Map'!$D$124:$L$124,$E$21:$M$21)*100</f>
        <v>61.3145682825674</v>
      </c>
      <c r="J38" s="71" t="n">
        <f aca="false">SUMPRODUCT('06 Needs-Feature Map'!$D$124:$L$124,$E$22:$M$22)*100</f>
        <v>55.5617508015004</v>
      </c>
      <c r="K38" s="26" t="str">
        <f aca="false">'10 Scoring &amp; Weights'!S98</f>
        <v>Pending verification</v>
      </c>
    </row>
    <row r="39" customFormat="false" ht="15" hidden="false" customHeight="false" outlineLevel="0" collapsed="false">
      <c r="B39" s="42" t="s">
        <v>127</v>
      </c>
      <c r="C39" s="46" t="s">
        <v>128</v>
      </c>
      <c r="D39" s="71" t="n">
        <f aca="false">SUMPRODUCT('06 Needs-Feature Map'!$D$125:$L$125,$E$16:$M$16)*100</f>
        <v>58.3446503094967</v>
      </c>
      <c r="E39" s="71" t="n">
        <f aca="false">SUMPRODUCT('06 Needs-Feature Map'!$D$125:$L$125,$E$17:$M$17)*100</f>
        <v>57.9135453448577</v>
      </c>
      <c r="F39" s="71" t="n">
        <f aca="false">SUMPRODUCT('06 Needs-Feature Map'!$D$125:$L$125,$E$18:$M$18)*100</f>
        <v>56.4041630538366</v>
      </c>
      <c r="G39" s="71" t="n">
        <f aca="false">SUMPRODUCT('06 Needs-Feature Map'!$D$125:$L$125,$E$19:$M$19)*100</f>
        <v>61.2519416596653</v>
      </c>
      <c r="H39" s="71" t="n">
        <f aca="false">SUMPRODUCT('06 Needs-Feature Map'!$D$125:$L$125,$E$20:$M$20)*100</f>
        <v>58.3446503094967</v>
      </c>
      <c r="I39" s="71" t="n">
        <f aca="false">SUMPRODUCT('06 Needs-Feature Map'!$D$125:$L$125,$E$21:$M$21)*100</f>
        <v>60.0667714588085</v>
      </c>
      <c r="J39" s="71" t="n">
        <f aca="false">SUMPRODUCT('06 Needs-Feature Map'!$D$125:$L$125,$E$22:$M$22)*100</f>
        <v>56.3429609795468</v>
      </c>
      <c r="K39" s="26" t="str">
        <f aca="false">'10 Scoring &amp; Weights'!S99</f>
        <v>Pending verification</v>
      </c>
    </row>
    <row r="41" customFormat="false" ht="15" hidden="false" customHeight="false" outlineLevel="0" collapsed="false">
      <c r="B41" s="7" t="s">
        <v>1493</v>
      </c>
      <c r="C41" s="7"/>
      <c r="D41" s="7"/>
      <c r="E41" s="7"/>
      <c r="F41" s="7"/>
      <c r="G41" s="7"/>
      <c r="H41" s="7"/>
      <c r="I41" s="7"/>
      <c r="J41" s="7"/>
    </row>
    <row r="42" customFormat="false" ht="15" hidden="false" customHeight="false" outlineLevel="0" collapsed="false">
      <c r="B42" s="8" t="s">
        <v>36</v>
      </c>
      <c r="C42" s="8" t="s">
        <v>12</v>
      </c>
      <c r="D42" s="8" t="s">
        <v>1469</v>
      </c>
      <c r="E42" s="8" t="s">
        <v>1472</v>
      </c>
      <c r="F42" s="8" t="s">
        <v>1475</v>
      </c>
      <c r="G42" s="8" t="s">
        <v>1478</v>
      </c>
      <c r="H42" s="8" t="s">
        <v>1481</v>
      </c>
      <c r="I42" s="8" t="s">
        <v>1484</v>
      </c>
      <c r="J42" s="8" t="s">
        <v>1487</v>
      </c>
      <c r="K42" s="8" t="s">
        <v>19</v>
      </c>
    </row>
    <row r="43" customFormat="false" ht="15" hidden="false" customHeight="false" outlineLevel="0" collapsed="false">
      <c r="B43" s="42" t="s">
        <v>48</v>
      </c>
      <c r="C43" s="46" t="s">
        <v>50</v>
      </c>
      <c r="D43" s="71" t="n">
        <f aca="false">(D27*$N$6+'10 Scoring &amp; Weights'!$E$87*$O$6+'10 Scoring &amp; Weights'!$F$87*$P$6+'10 Scoring &amp; Weights'!$G$87*$Q$6+'10 Scoring &amp; Weights'!$H$87*$R$6)/SUM($N$6:$R$6)</f>
        <v>53.207128006923</v>
      </c>
      <c r="E43" s="71" t="n">
        <f aca="false">(E27*$N$7+'10 Scoring &amp; Weights'!$E$87*$O$7+'10 Scoring &amp; Weights'!$F$87*$P$7+'10 Scoring &amp; Weights'!$G$87*$Q$7+'10 Scoring &amp; Weights'!$H$87*$R$7)/SUM($N$7:$R$7)</f>
        <v>49.9686402709274</v>
      </c>
      <c r="F43" s="71" t="n">
        <f aca="false">(F27*$N$8+'10 Scoring &amp; Weights'!$E$87*$O$8+'10 Scoring &amp; Weights'!$F$87*$P$8+'10 Scoring &amp; Weights'!$G$87*$Q$8+'10 Scoring &amp; Weights'!$H$87*$R$8)/SUM($N$8:$R$8)</f>
        <v>56.0533256398172</v>
      </c>
      <c r="G43" s="71" t="n">
        <f aca="false">(G27*$N$9+'10 Scoring &amp; Weights'!$E$87*$O$9+'10 Scoring &amp; Weights'!$F$87*$P$9+'10 Scoring &amp; Weights'!$G$87*$Q$9+'10 Scoring &amp; Weights'!$H$87*$R$9)/SUM($N$9:$R$9)</f>
        <v>53.2907806009336</v>
      </c>
      <c r="H43" s="71" t="n">
        <f aca="false">(H27*$N$10+'10 Scoring &amp; Weights'!$E$87*$O$10+'10 Scoring &amp; Weights'!$F$87*$P$10+'10 Scoring &amp; Weights'!$G$87*$Q$10+'10 Scoring &amp; Weights'!$H$87*$R$10)/SUM($N$10:$R$10)</f>
        <v>54.7619015407557</v>
      </c>
      <c r="I43" s="71" t="n">
        <f aca="false">(I27*$N$11+'10 Scoring &amp; Weights'!$E$87*$O$11+'10 Scoring &amp; Weights'!$F$87*$P$11+'10 Scoring &amp; Weights'!$G$87*$Q$11+'10 Scoring &amp; Weights'!$H$87*$R$11)/SUM($N$11:$R$11)</f>
        <v>55.5664673675682</v>
      </c>
      <c r="J43" s="71" t="n">
        <f aca="false">(J27*$N$12+'10 Scoring &amp; Weights'!$E$87*$O$12+'10 Scoring &amp; Weights'!$F$87*$P$12+'10 Scoring &amp; Weights'!$G$87*$Q$12+'10 Scoring &amp; Weights'!$H$87*$R$12)/SUM($N$12:$R$12)</f>
        <v>51.0561558055896</v>
      </c>
      <c r="K43" s="26" t="str">
        <f aca="false">'10 Scoring &amp; Weights'!S87</f>
        <v>Conditionally eligible</v>
      </c>
    </row>
    <row r="44" customFormat="false" ht="15" hidden="false" customHeight="false" outlineLevel="0" collapsed="false">
      <c r="B44" s="42" t="s">
        <v>59</v>
      </c>
      <c r="C44" s="46" t="s">
        <v>60</v>
      </c>
      <c r="D44" s="71" t="n">
        <f aca="false">(D28*$N$6+'10 Scoring &amp; Weights'!$E$88*$O$6+'10 Scoring &amp; Weights'!$F$88*$P$6+'10 Scoring &amp; Weights'!$G$88*$Q$6+'10 Scoring &amp; Weights'!$H$88*$R$6)/SUM($N$6:$R$6)</f>
        <v>33.3518129426167</v>
      </c>
      <c r="E44" s="71" t="n">
        <f aca="false">(E28*$N$7+'10 Scoring &amp; Weights'!$E$88*$O$7+'10 Scoring &amp; Weights'!$F$88*$P$7+'10 Scoring &amp; Weights'!$G$88*$Q$7+'10 Scoring &amp; Weights'!$H$88*$R$7)/SUM($N$7:$R$7)</f>
        <v>35.830566237293</v>
      </c>
      <c r="F44" s="71" t="n">
        <f aca="false">(F28*$N$8+'10 Scoring &amp; Weights'!$E$88*$O$8+'10 Scoring &amp; Weights'!$F$88*$P$8+'10 Scoring &amp; Weights'!$G$88*$Q$8+'10 Scoring &amp; Weights'!$H$88*$R$8)/SUM($N$8:$R$8)</f>
        <v>31.8681034845347</v>
      </c>
      <c r="G44" s="71" t="n">
        <f aca="false">(G28*$N$9+'10 Scoring &amp; Weights'!$E$88*$O$9+'10 Scoring &amp; Weights'!$F$88*$P$9+'10 Scoring &amp; Weights'!$G$88*$Q$9+'10 Scoring &amp; Weights'!$H$88*$R$9)/SUM($N$9:$R$9)</f>
        <v>32.7653115060876</v>
      </c>
      <c r="H44" s="71" t="n">
        <f aca="false">(H28*$N$10+'10 Scoring &amp; Weights'!$E$88*$O$10+'10 Scoring &amp; Weights'!$F$88*$P$10+'10 Scoring &amp; Weights'!$G$88*$Q$10+'10 Scoring &amp; Weights'!$H$88*$R$10)/SUM($N$10:$R$10)</f>
        <v>33.8045155647349</v>
      </c>
      <c r="I44" s="71" t="n">
        <f aca="false">(I28*$N$11+'10 Scoring &amp; Weights'!$E$88*$O$11+'10 Scoring &amp; Weights'!$F$88*$P$11+'10 Scoring &amp; Weights'!$G$88*$Q$11+'10 Scoring &amp; Weights'!$H$88*$R$11)/SUM($N$11:$R$11)</f>
        <v>32.0146345919692</v>
      </c>
      <c r="J44" s="71" t="n">
        <f aca="false">(J28*$N$12+'10 Scoring &amp; Weights'!$E$88*$O$12+'10 Scoring &amp; Weights'!$F$88*$P$12+'10 Scoring &amp; Weights'!$G$88*$Q$12+'10 Scoring &amp; Weights'!$H$88*$R$12)/SUM($N$12:$R$12)</f>
        <v>34.6192295009161</v>
      </c>
      <c r="K44" s="26" t="str">
        <f aca="false">'10 Scoring &amp; Weights'!S88</f>
        <v>Pending verification</v>
      </c>
    </row>
    <row r="45" customFormat="false" ht="15" hidden="false" customHeight="false" outlineLevel="0" collapsed="false">
      <c r="B45" s="42" t="s">
        <v>65</v>
      </c>
      <c r="C45" s="46" t="s">
        <v>66</v>
      </c>
      <c r="D45" s="71" t="n">
        <f aca="false">(D29*$N$6+'10 Scoring &amp; Weights'!$E$89*$O$6+'10 Scoring &amp; Weights'!$F$89*$P$6+'10 Scoring &amp; Weights'!$G$89*$Q$6+'10 Scoring &amp; Weights'!$H$89*$R$6)/SUM($N$6:$R$6)</f>
        <v>55.0341491326068</v>
      </c>
      <c r="E45" s="71" t="n">
        <f aca="false">(E29*$N$7+'10 Scoring &amp; Weights'!$E$89*$O$7+'10 Scoring &amp; Weights'!$F$89*$P$7+'10 Scoring &amp; Weights'!$G$89*$Q$7+'10 Scoring &amp; Weights'!$H$89*$R$7)/SUM($N$7:$R$7)</f>
        <v>57.5969731492467</v>
      </c>
      <c r="F45" s="71" t="n">
        <f aca="false">(F29*$N$8+'10 Scoring &amp; Weights'!$E$89*$O$8+'10 Scoring &amp; Weights'!$F$89*$P$8+'10 Scoring &amp; Weights'!$G$89*$Q$8+'10 Scoring &amp; Weights'!$H$89*$R$8)/SUM($N$8:$R$8)</f>
        <v>52.0096667469544</v>
      </c>
      <c r="G45" s="71" t="n">
        <f aca="false">(G29*$N$9+'10 Scoring &amp; Weights'!$E$89*$O$9+'10 Scoring &amp; Weights'!$F$89*$P$9+'10 Scoring &amp; Weights'!$G$89*$Q$9+'10 Scoring &amp; Weights'!$H$89*$R$9)/SUM($N$9:$R$9)</f>
        <v>55.9491669853807</v>
      </c>
      <c r="H45" s="71" t="n">
        <f aca="false">(H29*$N$10+'10 Scoring &amp; Weights'!$E$89*$O$10+'10 Scoring &amp; Weights'!$F$89*$P$10+'10 Scoring &amp; Weights'!$G$89*$Q$10+'10 Scoring &amp; Weights'!$H$89*$R$10)/SUM($N$10:$R$10)</f>
        <v>53.4929465847264</v>
      </c>
      <c r="I45" s="71" t="n">
        <f aca="false">(I29*$N$11+'10 Scoring &amp; Weights'!$E$89*$O$11+'10 Scoring &amp; Weights'!$F$89*$P$11+'10 Scoring &amp; Weights'!$G$89*$Q$11+'10 Scoring &amp; Weights'!$H$89*$R$11)/SUM($N$11:$R$11)</f>
        <v>54.6468444689368</v>
      </c>
      <c r="J45" s="71" t="n">
        <f aca="false">(J29*$N$12+'10 Scoring &amp; Weights'!$E$89*$O$12+'10 Scoring &amp; Weights'!$F$89*$P$12+'10 Scoring &amp; Weights'!$G$89*$Q$12+'10 Scoring &amp; Weights'!$H$89*$R$12)/SUM($N$12:$R$12)</f>
        <v>55.3806029008519</v>
      </c>
      <c r="K45" s="26" t="str">
        <f aca="false">'10 Scoring &amp; Weights'!S89</f>
        <v>Conditionally eligible</v>
      </c>
    </row>
    <row r="46" customFormat="false" ht="15" hidden="false" customHeight="false" outlineLevel="0" collapsed="false">
      <c r="B46" s="42" t="s">
        <v>71</v>
      </c>
      <c r="C46" s="46" t="s">
        <v>72</v>
      </c>
      <c r="D46" s="71" t="n">
        <f aca="false">(D30*$N$6+'10 Scoring &amp; Weights'!$E$90*$O$6+'10 Scoring &amp; Weights'!$F$90*$P$6+'10 Scoring &amp; Weights'!$G$90*$Q$6+'10 Scoring &amp; Weights'!$H$90*$R$6)/SUM($N$6:$R$6)</f>
        <v>50.8965129568391</v>
      </c>
      <c r="E46" s="71" t="n">
        <f aca="false">(E30*$N$7+'10 Scoring &amp; Weights'!$E$90*$O$7+'10 Scoring &amp; Weights'!$F$90*$P$7+'10 Scoring &amp; Weights'!$G$90*$Q$7+'10 Scoring &amp; Weights'!$H$90*$R$7)/SUM($N$7:$R$7)</f>
        <v>47.0101716821001</v>
      </c>
      <c r="F46" s="71" t="n">
        <f aca="false">(F30*$N$8+'10 Scoring &amp; Weights'!$E$90*$O$8+'10 Scoring &amp; Weights'!$F$90*$P$8+'10 Scoring &amp; Weights'!$G$90*$Q$8+'10 Scoring &amp; Weights'!$H$90*$R$8)/SUM($N$8:$R$8)</f>
        <v>53.4747895634671</v>
      </c>
      <c r="G46" s="71" t="n">
        <f aca="false">(G30*$N$9+'10 Scoring &amp; Weights'!$E$90*$O$9+'10 Scoring &amp; Weights'!$F$90*$P$9+'10 Scoring &amp; Weights'!$G$90*$Q$9+'10 Scoring &amp; Weights'!$H$90*$R$9)/SUM($N$9:$R$9)</f>
        <v>51.194977491526</v>
      </c>
      <c r="H46" s="71" t="n">
        <f aca="false">(H30*$N$10+'10 Scoring &amp; Weights'!$E$90*$O$10+'10 Scoring &amp; Weights'!$F$90*$P$10+'10 Scoring &amp; Weights'!$G$90*$Q$10+'10 Scoring &amp; Weights'!$H$90*$R$10)/SUM($N$10:$R$10)</f>
        <v>52.0890745979255</v>
      </c>
      <c r="I46" s="71" t="n">
        <f aca="false">(I30*$N$11+'10 Scoring &amp; Weights'!$E$90*$O$11+'10 Scoring &amp; Weights'!$F$90*$P$11+'10 Scoring &amp; Weights'!$G$90*$Q$11+'10 Scoring &amp; Weights'!$H$90*$R$11)/SUM($N$11:$R$11)</f>
        <v>52.9305701386921</v>
      </c>
      <c r="J46" s="71" t="n">
        <f aca="false">(J30*$N$12+'10 Scoring &amp; Weights'!$E$90*$O$12+'10 Scoring &amp; Weights'!$F$90*$P$12+'10 Scoring &amp; Weights'!$G$90*$Q$12+'10 Scoring &amp; Weights'!$H$90*$R$12)/SUM($N$12:$R$12)</f>
        <v>48.9558148602428</v>
      </c>
      <c r="K46" s="26" t="str">
        <f aca="false">'10 Scoring &amp; Weights'!S90</f>
        <v>Pending verification</v>
      </c>
    </row>
    <row r="47" customFormat="false" ht="15" hidden="false" customHeight="false" outlineLevel="0" collapsed="false">
      <c r="B47" s="42" t="s">
        <v>80</v>
      </c>
      <c r="C47" s="46" t="s">
        <v>81</v>
      </c>
      <c r="D47" s="71" t="n">
        <f aca="false">(D31*$N$6+'10 Scoring &amp; Weights'!$E$91*$O$6+'10 Scoring &amp; Weights'!$F$91*$P$6+'10 Scoring &amp; Weights'!$G$91*$Q$6+'10 Scoring &amp; Weights'!$H$91*$R$6)/SUM($N$6:$R$6)</f>
        <v>49.3195453865045</v>
      </c>
      <c r="E47" s="71" t="n">
        <f aca="false">(E31*$N$7+'10 Scoring &amp; Weights'!$E$91*$O$7+'10 Scoring &amp; Weights'!$F$91*$P$7+'10 Scoring &amp; Weights'!$G$91*$Q$7+'10 Scoring &amp; Weights'!$H$91*$R$7)/SUM($N$7:$R$7)</f>
        <v>45.4735694346904</v>
      </c>
      <c r="F47" s="71" t="n">
        <f aca="false">(F31*$N$8+'10 Scoring &amp; Weights'!$E$91*$O$8+'10 Scoring &amp; Weights'!$F$91*$P$8+'10 Scoring &amp; Weights'!$G$91*$Q$8+'10 Scoring &amp; Weights'!$H$91*$R$8)/SUM($N$8:$R$8)</f>
        <v>51.5141945169335</v>
      </c>
      <c r="G47" s="71" t="n">
        <f aca="false">(G31*$N$9+'10 Scoring &amp; Weights'!$E$91*$O$9+'10 Scoring &amp; Weights'!$F$91*$P$9+'10 Scoring &amp; Weights'!$G$91*$Q$9+'10 Scoring &amp; Weights'!$H$91*$R$9)/SUM($N$9:$R$9)</f>
        <v>50.3012703758073</v>
      </c>
      <c r="H47" s="71" t="n">
        <f aca="false">(H31*$N$10+'10 Scoring &amp; Weights'!$E$91*$O$10+'10 Scoring &amp; Weights'!$F$91*$P$10+'10 Scoring &amp; Weights'!$G$91*$Q$10+'10 Scoring &amp; Weights'!$H$91*$R$10)/SUM($N$10:$R$10)</f>
        <v>51.554054775734</v>
      </c>
      <c r="I47" s="71" t="n">
        <f aca="false">(I31*$N$11+'10 Scoring &amp; Weights'!$E$91*$O$11+'10 Scoring &amp; Weights'!$F$91*$P$11+'10 Scoring &amp; Weights'!$G$91*$Q$11+'10 Scoring &amp; Weights'!$H$91*$R$11)/SUM($N$11:$R$11)</f>
        <v>51.7150452342994</v>
      </c>
      <c r="J47" s="71" t="n">
        <f aca="false">(J31*$N$12+'10 Scoring &amp; Weights'!$E$91*$O$12+'10 Scoring &amp; Weights'!$F$91*$P$12+'10 Scoring &amp; Weights'!$G$91*$Q$12+'10 Scoring &amp; Weights'!$H$91*$R$12)/SUM($N$12:$R$12)</f>
        <v>47.185017942095</v>
      </c>
      <c r="K47" s="26" t="str">
        <f aca="false">'10 Scoring &amp; Weights'!S91</f>
        <v>Pending verification</v>
      </c>
    </row>
    <row r="48" customFormat="false" ht="15" hidden="false" customHeight="false" outlineLevel="0" collapsed="false">
      <c r="B48" s="42" t="s">
        <v>86</v>
      </c>
      <c r="C48" s="46" t="s">
        <v>87</v>
      </c>
      <c r="D48" s="71" t="n">
        <f aca="false">(D32*$N$6+'10 Scoring &amp; Weights'!$E$92*$O$6+'10 Scoring &amp; Weights'!$F$92*$P$6+'10 Scoring &amp; Weights'!$G$92*$Q$6+'10 Scoring &amp; Weights'!$H$92*$R$6)/SUM($N$6:$R$6)</f>
        <v>44.3063455559131</v>
      </c>
      <c r="E48" s="71" t="n">
        <f aca="false">(E32*$N$7+'10 Scoring &amp; Weights'!$E$92*$O$7+'10 Scoring &amp; Weights'!$F$92*$P$7+'10 Scoring &amp; Weights'!$G$92*$Q$7+'10 Scoring &amp; Weights'!$H$92*$R$7)/SUM($N$7:$R$7)</f>
        <v>41.6268904006094</v>
      </c>
      <c r="F48" s="71" t="n">
        <f aca="false">(F32*$N$8+'10 Scoring &amp; Weights'!$E$92*$O$8+'10 Scoring &amp; Weights'!$F$92*$P$8+'10 Scoring &amp; Weights'!$G$92*$Q$8+'10 Scoring &amp; Weights'!$H$92*$R$8)/SUM($N$8:$R$8)</f>
        <v>47.1653447049715</v>
      </c>
      <c r="G48" s="71" t="n">
        <f aca="false">(G32*$N$9+'10 Scoring &amp; Weights'!$E$92*$O$9+'10 Scoring &amp; Weights'!$F$92*$P$9+'10 Scoring &amp; Weights'!$G$92*$Q$9+'10 Scoring &amp; Weights'!$H$92*$R$9)/SUM($N$9:$R$9)</f>
        <v>42.9124559961304</v>
      </c>
      <c r="H48" s="71" t="n">
        <f aca="false">(H32*$N$10+'10 Scoring &amp; Weights'!$E$92*$O$10+'10 Scoring &amp; Weights'!$F$92*$P$10+'10 Scoring &amp; Weights'!$G$92*$Q$10+'10 Scoring &amp; Weights'!$H$92*$R$10)/SUM($N$10:$R$10)</f>
        <v>44.5946778067777</v>
      </c>
      <c r="I48" s="71" t="n">
        <f aca="false">(I32*$N$11+'10 Scoring &amp; Weights'!$E$92*$O$11+'10 Scoring &amp; Weights'!$F$92*$P$11+'10 Scoring &amp; Weights'!$G$92*$Q$11+'10 Scoring &amp; Weights'!$H$92*$R$11)/SUM($N$11:$R$11)</f>
        <v>45.8601045943326</v>
      </c>
      <c r="J48" s="71" t="n">
        <f aca="false">(J32*$N$12+'10 Scoring &amp; Weights'!$E$92*$O$12+'10 Scoring &amp; Weights'!$F$92*$P$12+'10 Scoring &amp; Weights'!$G$92*$Q$12+'10 Scoring &amp; Weights'!$H$92*$R$12)/SUM($N$12:$R$12)</f>
        <v>42.653885175248</v>
      </c>
      <c r="K48" s="26" t="str">
        <f aca="false">'10 Scoring &amp; Weights'!S92</f>
        <v>Pending verification</v>
      </c>
    </row>
    <row r="49" customFormat="false" ht="15" hidden="false" customHeight="false" outlineLevel="0" collapsed="false">
      <c r="B49" s="42" t="s">
        <v>93</v>
      </c>
      <c r="C49" s="46" t="s">
        <v>94</v>
      </c>
      <c r="D49" s="71" t="n">
        <f aca="false">(D33*$N$6+'10 Scoring &amp; Weights'!$E$93*$O$6+'10 Scoring &amp; Weights'!$F$93*$P$6+'10 Scoring &amp; Weights'!$G$93*$Q$6+'10 Scoring &amp; Weights'!$H$93*$R$6)/SUM($N$6:$R$6)</f>
        <v>55.8880392437771</v>
      </c>
      <c r="E49" s="71" t="n">
        <f aca="false">(E33*$N$7+'10 Scoring &amp; Weights'!$E$93*$O$7+'10 Scoring &amp; Weights'!$F$93*$P$7+'10 Scoring &amp; Weights'!$G$93*$Q$7+'10 Scoring &amp; Weights'!$H$93*$R$7)/SUM($N$7:$R$7)</f>
        <v>57.7183981408404</v>
      </c>
      <c r="F49" s="71" t="n">
        <f aca="false">(F33*$N$8+'10 Scoring &amp; Weights'!$E$93*$O$8+'10 Scoring &amp; Weights'!$F$93*$P$8+'10 Scoring &amp; Weights'!$G$93*$Q$8+'10 Scoring &amp; Weights'!$H$93*$R$8)/SUM($N$8:$R$8)</f>
        <v>55.5232635636776</v>
      </c>
      <c r="G49" s="71" t="n">
        <f aca="false">(G33*$N$9+'10 Scoring &amp; Weights'!$E$93*$O$9+'10 Scoring &amp; Weights'!$F$93*$P$9+'10 Scoring &amp; Weights'!$G$93*$Q$9+'10 Scoring &amp; Weights'!$H$93*$R$9)/SUM($N$9:$R$9)</f>
        <v>54.0866487083905</v>
      </c>
      <c r="H49" s="71" t="n">
        <f aca="false">(H33*$N$10+'10 Scoring &amp; Weights'!$E$93*$O$10+'10 Scoring &amp; Weights'!$F$93*$P$10+'10 Scoring &amp; Weights'!$G$93*$Q$10+'10 Scoring &amp; Weights'!$H$93*$R$10)/SUM($N$10:$R$10)</f>
        <v>51.7932430586196</v>
      </c>
      <c r="I49" s="71" t="n">
        <f aca="false">(I33*$N$11+'10 Scoring &amp; Weights'!$E$93*$O$11+'10 Scoring &amp; Weights'!$F$93*$P$11+'10 Scoring &amp; Weights'!$G$93*$Q$11+'10 Scoring &amp; Weights'!$H$93*$R$11)/SUM($N$11:$R$11)</f>
        <v>55.3886367800296</v>
      </c>
      <c r="J49" s="71" t="n">
        <f aca="false">(J33*$N$12+'10 Scoring &amp; Weights'!$E$93*$O$12+'10 Scoring &amp; Weights'!$F$93*$P$12+'10 Scoring &amp; Weights'!$G$93*$Q$12+'10 Scoring &amp; Weights'!$H$93*$R$12)/SUM($N$12:$R$12)</f>
        <v>56.2701478519039</v>
      </c>
      <c r="K49" s="26" t="str">
        <f aca="false">'10 Scoring &amp; Weights'!S93</f>
        <v>Pending verification</v>
      </c>
    </row>
    <row r="50" customFormat="false" ht="15" hidden="false" customHeight="false" outlineLevel="0" collapsed="false">
      <c r="B50" s="42" t="s">
        <v>98</v>
      </c>
      <c r="C50" s="46" t="s">
        <v>99</v>
      </c>
      <c r="D50" s="71" t="n">
        <f aca="false">(D34*$N$6+'10 Scoring &amp; Weights'!$E$94*$O$6+'10 Scoring &amp; Weights'!$F$94*$P$6+'10 Scoring &amp; Weights'!$G$94*$Q$6+'10 Scoring &amp; Weights'!$H$94*$R$6)/SUM($N$6:$R$6)</f>
        <v>37.366723856637</v>
      </c>
      <c r="E50" s="71" t="n">
        <f aca="false">(E34*$N$7+'10 Scoring &amp; Weights'!$E$94*$O$7+'10 Scoring &amp; Weights'!$F$94*$P$7+'10 Scoring &amp; Weights'!$G$94*$Q$7+'10 Scoring &amp; Weights'!$H$94*$R$7)/SUM($N$7:$R$7)</f>
        <v>35.7586180048142</v>
      </c>
      <c r="F50" s="71" t="n">
        <f aca="false">(F34*$N$8+'10 Scoring &amp; Weights'!$E$94*$O$8+'10 Scoring &amp; Weights'!$F$94*$P$8+'10 Scoring &amp; Weights'!$G$94*$Q$8+'10 Scoring &amp; Weights'!$H$94*$R$8)/SUM($N$8:$R$8)</f>
        <v>37.8587570589158</v>
      </c>
      <c r="G50" s="71" t="n">
        <f aca="false">(G34*$N$9+'10 Scoring &amp; Weights'!$E$94*$O$9+'10 Scoring &amp; Weights'!$F$94*$P$9+'10 Scoring &amp; Weights'!$G$94*$Q$9+'10 Scoring &amp; Weights'!$H$94*$R$9)/SUM($N$9:$R$9)</f>
        <v>37.9043400535594</v>
      </c>
      <c r="H50" s="71" t="n">
        <f aca="false">(H34*$N$10+'10 Scoring &amp; Weights'!$E$94*$O$10+'10 Scoring &amp; Weights'!$F$94*$P$10+'10 Scoring &amp; Weights'!$G$94*$Q$10+'10 Scoring &amp; Weights'!$H$94*$R$10)/SUM($N$10:$R$10)</f>
        <v>41.1667156866412</v>
      </c>
      <c r="I50" s="71" t="n">
        <f aca="false">(I34*$N$11+'10 Scoring &amp; Weights'!$E$94*$O$11+'10 Scoring &amp; Weights'!$F$94*$P$11+'10 Scoring &amp; Weights'!$G$94*$Q$11+'10 Scoring &amp; Weights'!$H$94*$R$11)/SUM($N$11:$R$11)</f>
        <v>38.5754334647506</v>
      </c>
      <c r="J50" s="71" t="n">
        <f aca="false">(J34*$N$12+'10 Scoring &amp; Weights'!$E$94*$O$12+'10 Scoring &amp; Weights'!$F$94*$P$12+'10 Scoring &amp; Weights'!$G$94*$Q$12+'10 Scoring &amp; Weights'!$H$94*$R$12)/SUM($N$12:$R$12)</f>
        <v>36.011761459592</v>
      </c>
      <c r="K50" s="26" t="str">
        <f aca="false">'10 Scoring &amp; Weights'!S94</f>
        <v>Pending verification</v>
      </c>
    </row>
    <row r="51" customFormat="false" ht="15" hidden="false" customHeight="false" outlineLevel="0" collapsed="false">
      <c r="B51" s="42" t="s">
        <v>106</v>
      </c>
      <c r="C51" s="46" t="s">
        <v>107</v>
      </c>
      <c r="D51" s="71" t="n">
        <f aca="false">(D35*$N$6+'10 Scoring &amp; Weights'!$E$95*$O$6+'10 Scoring &amp; Weights'!$F$95*$P$6+'10 Scoring &amp; Weights'!$G$95*$Q$6+'10 Scoring &amp; Weights'!$H$95*$R$6)/SUM($N$6:$R$6)</f>
        <v>45.5153306850866</v>
      </c>
      <c r="E51" s="71" t="n">
        <f aca="false">(E35*$N$7+'10 Scoring &amp; Weights'!$E$95*$O$7+'10 Scoring &amp; Weights'!$F$95*$P$7+'10 Scoring &amp; Weights'!$G$95*$Q$7+'10 Scoring &amp; Weights'!$H$95*$R$7)/SUM($N$7:$R$7)</f>
        <v>48.5055974976183</v>
      </c>
      <c r="F51" s="71" t="n">
        <f aca="false">(F35*$N$8+'10 Scoring &amp; Weights'!$E$95*$O$8+'10 Scoring &amp; Weights'!$F$95*$P$8+'10 Scoring &amp; Weights'!$G$95*$Q$8+'10 Scoring &amp; Weights'!$H$95*$R$8)/SUM($N$8:$R$8)</f>
        <v>42.7462714145748</v>
      </c>
      <c r="G51" s="71" t="n">
        <f aca="false">(G35*$N$9+'10 Scoring &amp; Weights'!$E$95*$O$9+'10 Scoring &amp; Weights'!$F$95*$P$9+'10 Scoring &amp; Weights'!$G$95*$Q$9+'10 Scoring &amp; Weights'!$H$95*$R$9)/SUM($N$9:$R$9)</f>
        <v>45.2903943677514</v>
      </c>
      <c r="H51" s="71" t="n">
        <f aca="false">(H35*$N$10+'10 Scoring &amp; Weights'!$E$95*$O$10+'10 Scoring &amp; Weights'!$F$95*$P$10+'10 Scoring &amp; Weights'!$G$95*$Q$10+'10 Scoring &amp; Weights'!$H$95*$R$10)/SUM($N$10:$R$10)</f>
        <v>43.1094928654563</v>
      </c>
      <c r="I51" s="71" t="n">
        <f aca="false">(I35*$N$11+'10 Scoring &amp; Weights'!$E$95*$O$11+'10 Scoring &amp; Weights'!$F$95*$P$11+'10 Scoring &amp; Weights'!$G$95*$Q$11+'10 Scoring &amp; Weights'!$H$95*$R$11)/SUM($N$11:$R$11)</f>
        <v>44.4122929324767</v>
      </c>
      <c r="J51" s="71" t="n">
        <f aca="false">(J35*$N$12+'10 Scoring &amp; Weights'!$E$95*$O$12+'10 Scoring &amp; Weights'!$F$95*$P$12+'10 Scoring &amp; Weights'!$G$95*$Q$12+'10 Scoring &amp; Weights'!$H$95*$R$12)/SUM($N$12:$R$12)</f>
        <v>46.3396893656834</v>
      </c>
      <c r="K51" s="26" t="str">
        <f aca="false">'10 Scoring &amp; Weights'!S95</f>
        <v>Pending verification</v>
      </c>
    </row>
    <row r="52" customFormat="false" ht="15" hidden="false" customHeight="false" outlineLevel="0" collapsed="false">
      <c r="B52" s="42" t="s">
        <v>112</v>
      </c>
      <c r="C52" s="46" t="s">
        <v>113</v>
      </c>
      <c r="D52" s="71" t="n">
        <f aca="false">(D36*$N$6+'10 Scoring &amp; Weights'!$E$96*$O$6+'10 Scoring &amp; Weights'!$F$96*$P$6+'10 Scoring &amp; Weights'!$G$96*$Q$6+'10 Scoring &amp; Weights'!$H$96*$R$6)/SUM($N$6:$R$6)</f>
        <v>55.7674538131497</v>
      </c>
      <c r="E52" s="71" t="n">
        <f aca="false">(E36*$N$7+'10 Scoring &amp; Weights'!$E$96*$O$7+'10 Scoring &amp; Weights'!$F$96*$P$7+'10 Scoring &amp; Weights'!$G$96*$Q$7+'10 Scoring &amp; Weights'!$H$96*$R$7)/SUM($N$7:$R$7)</f>
        <v>58.4122434766294</v>
      </c>
      <c r="F52" s="71" t="n">
        <f aca="false">(F36*$N$8+'10 Scoring &amp; Weights'!$E$96*$O$8+'10 Scoring &amp; Weights'!$F$96*$P$8+'10 Scoring &amp; Weights'!$G$96*$Q$8+'10 Scoring &amp; Weights'!$H$96*$R$8)/SUM($N$8:$R$8)</f>
        <v>54.3795621132738</v>
      </c>
      <c r="G52" s="71" t="n">
        <f aca="false">(G36*$N$9+'10 Scoring &amp; Weights'!$E$96*$O$9+'10 Scoring &amp; Weights'!$F$96*$P$9+'10 Scoring &amp; Weights'!$G$96*$Q$9+'10 Scoring &amp; Weights'!$H$96*$R$9)/SUM($N$9:$R$9)</f>
        <v>54.5204201887456</v>
      </c>
      <c r="H52" s="71" t="n">
        <f aca="false">(H36*$N$10+'10 Scoring &amp; Weights'!$E$96*$O$10+'10 Scoring &amp; Weights'!$F$96*$P$10+'10 Scoring &amp; Weights'!$G$96*$Q$10+'10 Scoring &amp; Weights'!$H$96*$R$10)/SUM($N$10:$R$10)</f>
        <v>51.457741260939</v>
      </c>
      <c r="I52" s="71" t="n">
        <f aca="false">(I36*$N$11+'10 Scoring &amp; Weights'!$E$96*$O$11+'10 Scoring &amp; Weights'!$F$96*$P$11+'10 Scoring &amp; Weights'!$G$96*$Q$11+'10 Scoring &amp; Weights'!$H$96*$R$11)/SUM($N$11:$R$11)</f>
        <v>54.4378006218069</v>
      </c>
      <c r="J52" s="71" t="n">
        <f aca="false">(J36*$N$12+'10 Scoring &amp; Weights'!$E$96*$O$12+'10 Scoring &amp; Weights'!$F$96*$P$12+'10 Scoring &amp; Weights'!$G$96*$Q$12+'10 Scoring &amp; Weights'!$H$96*$R$12)/SUM($N$12:$R$12)</f>
        <v>56.7076157380853</v>
      </c>
      <c r="K52" s="26" t="str">
        <f aca="false">'10 Scoring &amp; Weights'!S96</f>
        <v>Conditionally eligible</v>
      </c>
    </row>
    <row r="53" customFormat="false" ht="15" hidden="false" customHeight="false" outlineLevel="0" collapsed="false">
      <c r="B53" s="42" t="s">
        <v>117</v>
      </c>
      <c r="C53" s="46" t="s">
        <v>118</v>
      </c>
      <c r="D53" s="71" t="n">
        <f aca="false">(D37*$N$6+'10 Scoring &amp; Weights'!$E$97*$O$6+'10 Scoring &amp; Weights'!$F$97*$P$6+'10 Scoring &amp; Weights'!$G$97*$Q$6+'10 Scoring &amp; Weights'!$H$97*$R$6)/SUM($N$6:$R$6)</f>
        <v>49.6444062366618</v>
      </c>
      <c r="E53" s="71" t="n">
        <f aca="false">(E37*$N$7+'10 Scoring &amp; Weights'!$E$97*$O$7+'10 Scoring &amp; Weights'!$F$97*$P$7+'10 Scoring &amp; Weights'!$G$97*$Q$7+'10 Scoring &amp; Weights'!$H$97*$R$7)/SUM($N$7:$R$7)</f>
        <v>51.9502055332014</v>
      </c>
      <c r="F53" s="71" t="n">
        <f aca="false">(F37*$N$8+'10 Scoring &amp; Weights'!$E$97*$O$8+'10 Scoring &amp; Weights'!$F$97*$P$8+'10 Scoring &amp; Weights'!$G$97*$Q$8+'10 Scoring &amp; Weights'!$H$97*$R$8)/SUM($N$8:$R$8)</f>
        <v>48.0254877324638</v>
      </c>
      <c r="G53" s="71" t="n">
        <f aca="false">(G37*$N$9+'10 Scoring &amp; Weights'!$E$97*$O$9+'10 Scoring &amp; Weights'!$F$97*$P$9+'10 Scoring &amp; Weights'!$G$97*$Q$9+'10 Scoring &amp; Weights'!$H$97*$R$9)/SUM($N$9:$R$9)</f>
        <v>48.9883405664426</v>
      </c>
      <c r="H53" s="71" t="n">
        <f aca="false">(H37*$N$10+'10 Scoring &amp; Weights'!$E$97*$O$10+'10 Scoring &amp; Weights'!$F$97*$P$10+'10 Scoring &amp; Weights'!$G$97*$Q$10+'10 Scoring &amp; Weights'!$H$97*$R$10)/SUM($N$10:$R$10)</f>
        <v>47.5731669596307</v>
      </c>
      <c r="I53" s="71" t="n">
        <f aca="false">(I37*$N$11+'10 Scoring &amp; Weights'!$E$97*$O$11+'10 Scoring &amp; Weights'!$F$97*$P$11+'10 Scoring &amp; Weights'!$G$97*$Q$11+'10 Scoring &amp; Weights'!$H$97*$R$11)/SUM($N$11:$R$11)</f>
        <v>48.7741993301864</v>
      </c>
      <c r="J53" s="71" t="n">
        <f aca="false">(J37*$N$12+'10 Scoring &amp; Weights'!$E$97*$O$12+'10 Scoring &amp; Weights'!$F$97*$P$12+'10 Scoring &amp; Weights'!$G$97*$Q$12+'10 Scoring &amp; Weights'!$H$97*$R$12)/SUM($N$12:$R$12)</f>
        <v>50.220300414622</v>
      </c>
      <c r="K53" s="26" t="str">
        <f aca="false">'10 Scoring &amp; Weights'!S97</f>
        <v>Pending verification</v>
      </c>
    </row>
    <row r="54" customFormat="false" ht="15" hidden="false" customHeight="false" outlineLevel="0" collapsed="false">
      <c r="B54" s="42" t="s">
        <v>122</v>
      </c>
      <c r="C54" s="46" t="s">
        <v>123</v>
      </c>
      <c r="D54" s="71" t="n">
        <f aca="false">(D38*$N$6+'10 Scoring &amp; Weights'!$E$98*$O$6+'10 Scoring &amp; Weights'!$F$98*$P$6+'10 Scoring &amp; Weights'!$G$98*$Q$6+'10 Scoring &amp; Weights'!$H$98*$R$6)/SUM($N$6:$R$6)</f>
        <v>46.2308714958103</v>
      </c>
      <c r="E54" s="71" t="n">
        <f aca="false">(E38*$N$7+'10 Scoring &amp; Weights'!$E$98*$O$7+'10 Scoring &amp; Weights'!$F$98*$P$7+'10 Scoring &amp; Weights'!$G$98*$Q$7+'10 Scoring &amp; Weights'!$H$98*$R$7)/SUM($N$7:$R$7)</f>
        <v>46.0845283743934</v>
      </c>
      <c r="F54" s="71" t="n">
        <f aca="false">(F38*$N$8+'10 Scoring &amp; Weights'!$E$98*$O$8+'10 Scoring &amp; Weights'!$F$98*$P$8+'10 Scoring &amp; Weights'!$G$98*$Q$8+'10 Scoring &amp; Weights'!$H$98*$R$8)/SUM($N$8:$R$8)</f>
        <v>46.282714458867</v>
      </c>
      <c r="G54" s="71" t="n">
        <f aca="false">(G38*$N$9+'10 Scoring &amp; Weights'!$E$98*$O$9+'10 Scoring &amp; Weights'!$F$98*$P$9+'10 Scoring &amp; Weights'!$G$98*$Q$9+'10 Scoring &amp; Weights'!$H$98*$R$9)/SUM($N$9:$R$9)</f>
        <v>45.7104212396019</v>
      </c>
      <c r="H54" s="71" t="n">
        <f aca="false">(H38*$N$10+'10 Scoring &amp; Weights'!$E$98*$O$10+'10 Scoring &amp; Weights'!$F$98*$P$10+'10 Scoring &amp; Weights'!$G$98*$Q$10+'10 Scoring &amp; Weights'!$H$98*$R$10)/SUM($N$10:$R$10)</f>
        <v>45.1466484543592</v>
      </c>
      <c r="I54" s="71" t="n">
        <f aca="false">(I38*$N$11+'10 Scoring &amp; Weights'!$E$98*$O$11+'10 Scoring &amp; Weights'!$F$98*$P$11+'10 Scoring &amp; Weights'!$G$98*$Q$11+'10 Scoring &amp; Weights'!$H$98*$R$11)/SUM($N$11:$R$11)</f>
        <v>47.2902626746052</v>
      </c>
      <c r="J54" s="71" t="n">
        <f aca="false">(J38*$N$12+'10 Scoring &amp; Weights'!$E$98*$O$12+'10 Scoring &amp; Weights'!$F$98*$P$12+'10 Scoring &amp; Weights'!$G$98*$Q$12+'10 Scoring &amp; Weights'!$H$98*$R$12)/SUM($N$12:$R$12)</f>
        <v>45.2767765562318</v>
      </c>
      <c r="K54" s="26" t="str">
        <f aca="false">'10 Scoring &amp; Weights'!S98</f>
        <v>Pending verification</v>
      </c>
    </row>
    <row r="55" customFormat="false" ht="15" hidden="false" customHeight="false" outlineLevel="0" collapsed="false">
      <c r="B55" s="42" t="s">
        <v>127</v>
      </c>
      <c r="C55" s="46" t="s">
        <v>128</v>
      </c>
      <c r="D55" s="71" t="n">
        <f aca="false">(D39*$N$6+'10 Scoring &amp; Weights'!$E$99*$O$6+'10 Scoring &amp; Weights'!$F$99*$P$6+'10 Scoring &amp; Weights'!$G$99*$Q$6+'10 Scoring &amp; Weights'!$H$99*$R$6)/SUM($N$6:$R$6)</f>
        <v>50.0757913840304</v>
      </c>
      <c r="E55" s="71" t="n">
        <f aca="false">(E39*$N$7+'10 Scoring &amp; Weights'!$E$99*$O$7+'10 Scoring &amp; Weights'!$F$99*$P$7+'10 Scoring &amp; Weights'!$G$99*$Q$7+'10 Scoring &amp; Weights'!$H$99*$R$7)/SUM($N$7:$R$7)</f>
        <v>49.9249046464068</v>
      </c>
      <c r="F55" s="71" t="n">
        <f aca="false">(F39*$N$8+'10 Scoring &amp; Weights'!$E$99*$O$8+'10 Scoring &amp; Weights'!$F$99*$P$8+'10 Scoring &amp; Weights'!$G$99*$Q$8+'10 Scoring &amp; Weights'!$H$99*$R$8)/SUM($N$8:$R$8)</f>
        <v>49.3966208445494</v>
      </c>
      <c r="G55" s="71" t="n">
        <f aca="false">(G39*$N$9+'10 Scoring &amp; Weights'!$E$99*$O$9+'10 Scoring &amp; Weights'!$F$99*$P$9+'10 Scoring &amp; Weights'!$G$99*$Q$9+'10 Scoring &amp; Weights'!$H$99*$R$9)/SUM($N$9:$R$9)</f>
        <v>51.0933433565895</v>
      </c>
      <c r="H55" s="71" t="n">
        <f aca="false">(H39*$N$10+'10 Scoring &amp; Weights'!$E$99*$O$10+'10 Scoring &amp; Weights'!$F$99*$P$10+'10 Scoring &amp; Weights'!$G$99*$Q$10+'10 Scoring &amp; Weights'!$H$99*$R$10)/SUM($N$10:$R$10)</f>
        <v>51.5637226442622</v>
      </c>
      <c r="I55" s="71" t="n">
        <f aca="false">(I39*$N$11+'10 Scoring &amp; Weights'!$E$99*$O$11+'10 Scoring &amp; Weights'!$F$99*$P$11+'10 Scoring &amp; Weights'!$G$99*$Q$11+'10 Scoring &amp; Weights'!$H$99*$R$11)/SUM($N$11:$R$11)</f>
        <v>50.6785337862896</v>
      </c>
      <c r="J55" s="71" t="n">
        <f aca="false">(J39*$N$12+'10 Scoring &amp; Weights'!$E$99*$O$12+'10 Scoring &amp; Weights'!$F$99*$P$12+'10 Scoring &amp; Weights'!$G$99*$Q$12+'10 Scoring &amp; Weights'!$H$99*$R$12)/SUM($N$12:$R$12)</f>
        <v>49.375200118548</v>
      </c>
      <c r="K55" s="26" t="str">
        <f aca="false">'10 Scoring &amp; Weights'!S99</f>
        <v>Pending verification</v>
      </c>
    </row>
    <row r="57" customFormat="false" ht="15" hidden="false" customHeight="false" outlineLevel="0" collapsed="false">
      <c r="B57" s="7" t="s">
        <v>1494</v>
      </c>
      <c r="C57" s="7"/>
      <c r="D57" s="7"/>
      <c r="E57" s="7"/>
      <c r="F57" s="7"/>
      <c r="G57" s="7"/>
      <c r="H57" s="7"/>
      <c r="I57" s="7"/>
      <c r="J57" s="7"/>
    </row>
    <row r="58" customFormat="false" ht="15" hidden="false" customHeight="false" outlineLevel="0" collapsed="false">
      <c r="B58" s="8" t="s">
        <v>36</v>
      </c>
      <c r="C58" s="8" t="s">
        <v>12</v>
      </c>
      <c r="D58" s="8" t="s">
        <v>1469</v>
      </c>
      <c r="E58" s="8" t="s">
        <v>1472</v>
      </c>
      <c r="F58" s="8" t="s">
        <v>1475</v>
      </c>
      <c r="G58" s="8" t="s">
        <v>1478</v>
      </c>
      <c r="H58" s="8" t="s">
        <v>1481</v>
      </c>
      <c r="I58" s="8" t="s">
        <v>1484</v>
      </c>
      <c r="J58" s="8" t="s">
        <v>1487</v>
      </c>
      <c r="K58" s="8" t="s">
        <v>19</v>
      </c>
      <c r="L58" s="80" t="s">
        <v>1495</v>
      </c>
    </row>
    <row r="59" customFormat="false" ht="15" hidden="false" customHeight="false" outlineLevel="0" collapsed="false">
      <c r="B59" s="42" t="s">
        <v>48</v>
      </c>
      <c r="C59" s="46" t="s">
        <v>50</v>
      </c>
      <c r="D59" s="141" t="n">
        <f aca="false">IF($L59=0,"",SUMPRODUCT(($L$59:$L$71=1)*($D$43:$D$55&gt;D43))+1)</f>
        <v>3</v>
      </c>
      <c r="E59" s="141" t="n">
        <f aca="false">IF($L59=0,"",SUMPRODUCT(($L$59:$L$71=1)*($E$43:$E$55&gt;E43))+1)</f>
        <v>3</v>
      </c>
      <c r="F59" s="141" t="n">
        <f aca="false">IF($L59=0,"",SUMPRODUCT(($L$59:$L$71=1)*($F$43:$F$55&gt;F43))+1)</f>
        <v>1</v>
      </c>
      <c r="G59" s="141" t="n">
        <f aca="false">IF($L59=0,"",SUMPRODUCT(($L$59:$L$71=1)*($G$43:$G$55&gt;G43))+1)</f>
        <v>3</v>
      </c>
      <c r="H59" s="141" t="n">
        <f aca="false">IF($L59=0,"",SUMPRODUCT(($L$59:$L$71=1)*($H$43:$H$55&gt;H43))+1)</f>
        <v>1</v>
      </c>
      <c r="I59" s="141" t="n">
        <f aca="false">IF($L59=0,"",SUMPRODUCT(($L$59:$L$71=1)*($I$43:$I$55&gt;I43))+1)</f>
        <v>1</v>
      </c>
      <c r="J59" s="141" t="n">
        <f aca="false">IF($L59=0,"",SUMPRODUCT(($L$59:$L$71=1)*($J$43:$J$55&gt;J43))+1)</f>
        <v>3</v>
      </c>
      <c r="K59" s="26" t="str">
        <f aca="false">'10 Scoring &amp; Weights'!S87</f>
        <v>Conditionally eligible</v>
      </c>
      <c r="L59" s="26" t="n">
        <f aca="false">IF(OR('11 Ranking &amp; Shortlist'!O7=1,'11 Ranking &amp; Shortlist'!P7=1),1,0)</f>
        <v>1</v>
      </c>
    </row>
    <row r="60" customFormat="false" ht="15" hidden="false" customHeight="false" outlineLevel="0" collapsed="false">
      <c r="B60" s="42" t="s">
        <v>59</v>
      </c>
      <c r="C60" s="46" t="s">
        <v>60</v>
      </c>
      <c r="D60" s="141" t="str">
        <f aca="false">IF($L60=0,"",SUMPRODUCT(($L$59:$L$71=1)*($D$43:$D$55&gt;D44))+1)</f>
        <v/>
      </c>
      <c r="E60" s="141" t="str">
        <f aca="false">IF($L60=0,"",SUMPRODUCT(($L$59:$L$71=1)*($E$43:$E$55&gt;E44))+1)</f>
        <v/>
      </c>
      <c r="F60" s="141" t="str">
        <f aca="false">IF($L60=0,"",SUMPRODUCT(($L$59:$L$71=1)*($F$43:$F$55&gt;F44))+1)</f>
        <v/>
      </c>
      <c r="G60" s="141" t="str">
        <f aca="false">IF($L60=0,"",SUMPRODUCT(($L$59:$L$71=1)*($G$43:$G$55&gt;G44))+1)</f>
        <v/>
      </c>
      <c r="H60" s="141" t="str">
        <f aca="false">IF($L60=0,"",SUMPRODUCT(($L$59:$L$71=1)*($H$43:$H$55&gt;H44))+1)</f>
        <v/>
      </c>
      <c r="I60" s="141" t="str">
        <f aca="false">IF($L60=0,"",SUMPRODUCT(($L$59:$L$71=1)*($I$43:$I$55&gt;I44))+1)</f>
        <v/>
      </c>
      <c r="J60" s="141" t="str">
        <f aca="false">IF($L60=0,"",SUMPRODUCT(($L$59:$L$71=1)*($J$43:$J$55&gt;J44))+1)</f>
        <v/>
      </c>
      <c r="K60" s="26" t="str">
        <f aca="false">'10 Scoring &amp; Weights'!S88</f>
        <v>Pending verification</v>
      </c>
      <c r="L60" s="26" t="n">
        <f aca="false">IF(OR('11 Ranking &amp; Shortlist'!O8=1,'11 Ranking &amp; Shortlist'!P8=1),1,0)</f>
        <v>0</v>
      </c>
    </row>
    <row r="61" customFormat="false" ht="15" hidden="false" customHeight="false" outlineLevel="0" collapsed="false">
      <c r="B61" s="42" t="s">
        <v>65</v>
      </c>
      <c r="C61" s="46" t="s">
        <v>66</v>
      </c>
      <c r="D61" s="141" t="n">
        <f aca="false">IF($L61=0,"",SUMPRODUCT(($L$59:$L$71=1)*($D$43:$D$55&gt;D45))+1)</f>
        <v>2</v>
      </c>
      <c r="E61" s="141" t="n">
        <f aca="false">IF($L61=0,"",SUMPRODUCT(($L$59:$L$71=1)*($E$43:$E$55&gt;E45))+1)</f>
        <v>2</v>
      </c>
      <c r="F61" s="141" t="n">
        <f aca="false">IF($L61=0,"",SUMPRODUCT(($L$59:$L$71=1)*($F$43:$F$55&gt;F45))+1)</f>
        <v>3</v>
      </c>
      <c r="G61" s="141" t="n">
        <f aca="false">IF($L61=0,"",SUMPRODUCT(($L$59:$L$71=1)*($G$43:$G$55&gt;G45))+1)</f>
        <v>1</v>
      </c>
      <c r="H61" s="141" t="n">
        <f aca="false">IF($L61=0,"",SUMPRODUCT(($L$59:$L$71=1)*($H$43:$H$55&gt;H45))+1)</f>
        <v>2</v>
      </c>
      <c r="I61" s="141" t="n">
        <f aca="false">IF($L61=0,"",SUMPRODUCT(($L$59:$L$71=1)*($I$43:$I$55&gt;I45))+1)</f>
        <v>2</v>
      </c>
      <c r="J61" s="141" t="n">
        <f aca="false">IF($L61=0,"",SUMPRODUCT(($L$59:$L$71=1)*($J$43:$J$55&gt;J45))+1)</f>
        <v>2</v>
      </c>
      <c r="K61" s="26" t="str">
        <f aca="false">'10 Scoring &amp; Weights'!S89</f>
        <v>Conditionally eligible</v>
      </c>
      <c r="L61" s="26" t="n">
        <f aca="false">IF(OR('11 Ranking &amp; Shortlist'!O9=1,'11 Ranking &amp; Shortlist'!P9=1),1,0)</f>
        <v>1</v>
      </c>
    </row>
    <row r="62" customFormat="false" ht="15" hidden="false" customHeight="false" outlineLevel="0" collapsed="false">
      <c r="B62" s="42" t="s">
        <v>71</v>
      </c>
      <c r="C62" s="46" t="s">
        <v>72</v>
      </c>
      <c r="D62" s="141" t="str">
        <f aca="false">IF($L62=0,"",SUMPRODUCT(($L$59:$L$71=1)*($D$43:$D$55&gt;D46))+1)</f>
        <v/>
      </c>
      <c r="E62" s="141" t="str">
        <f aca="false">IF($L62=0,"",SUMPRODUCT(($L$59:$L$71=1)*($E$43:$E$55&gt;E46))+1)</f>
        <v/>
      </c>
      <c r="F62" s="141" t="str">
        <f aca="false">IF($L62=0,"",SUMPRODUCT(($L$59:$L$71=1)*($F$43:$F$55&gt;F46))+1)</f>
        <v/>
      </c>
      <c r="G62" s="141" t="str">
        <f aca="false">IF($L62=0,"",SUMPRODUCT(($L$59:$L$71=1)*($G$43:$G$55&gt;G46))+1)</f>
        <v/>
      </c>
      <c r="H62" s="141" t="str">
        <f aca="false">IF($L62=0,"",SUMPRODUCT(($L$59:$L$71=1)*($H$43:$H$55&gt;H46))+1)</f>
        <v/>
      </c>
      <c r="I62" s="141" t="str">
        <f aca="false">IF($L62=0,"",SUMPRODUCT(($L$59:$L$71=1)*($I$43:$I$55&gt;I46))+1)</f>
        <v/>
      </c>
      <c r="J62" s="141" t="str">
        <f aca="false">IF($L62=0,"",SUMPRODUCT(($L$59:$L$71=1)*($J$43:$J$55&gt;J46))+1)</f>
        <v/>
      </c>
      <c r="K62" s="26" t="str">
        <f aca="false">'10 Scoring &amp; Weights'!S90</f>
        <v>Pending verification</v>
      </c>
      <c r="L62" s="26" t="n">
        <f aca="false">IF(OR('11 Ranking &amp; Shortlist'!O10=1,'11 Ranking &amp; Shortlist'!P10=1),1,0)</f>
        <v>0</v>
      </c>
    </row>
    <row r="63" customFormat="false" ht="15" hidden="false" customHeight="false" outlineLevel="0" collapsed="false">
      <c r="B63" s="42" t="s">
        <v>80</v>
      </c>
      <c r="C63" s="46" t="s">
        <v>81</v>
      </c>
      <c r="D63" s="141" t="str">
        <f aca="false">IF($L63=0,"",SUMPRODUCT(($L$59:$L$71=1)*($D$43:$D$55&gt;D47))+1)</f>
        <v/>
      </c>
      <c r="E63" s="141" t="str">
        <f aca="false">IF($L63=0,"",SUMPRODUCT(($L$59:$L$71=1)*($E$43:$E$55&gt;E47))+1)</f>
        <v/>
      </c>
      <c r="F63" s="141" t="str">
        <f aca="false">IF($L63=0,"",SUMPRODUCT(($L$59:$L$71=1)*($F$43:$F$55&gt;F47))+1)</f>
        <v/>
      </c>
      <c r="G63" s="141" t="str">
        <f aca="false">IF($L63=0,"",SUMPRODUCT(($L$59:$L$71=1)*($G$43:$G$55&gt;G47))+1)</f>
        <v/>
      </c>
      <c r="H63" s="141" t="str">
        <f aca="false">IF($L63=0,"",SUMPRODUCT(($L$59:$L$71=1)*($H$43:$H$55&gt;H47))+1)</f>
        <v/>
      </c>
      <c r="I63" s="141" t="str">
        <f aca="false">IF($L63=0,"",SUMPRODUCT(($L$59:$L$71=1)*($I$43:$I$55&gt;I47))+1)</f>
        <v/>
      </c>
      <c r="J63" s="141" t="str">
        <f aca="false">IF($L63=0,"",SUMPRODUCT(($L$59:$L$71=1)*($J$43:$J$55&gt;J47))+1)</f>
        <v/>
      </c>
      <c r="K63" s="26" t="str">
        <f aca="false">'10 Scoring &amp; Weights'!S91</f>
        <v>Pending verification</v>
      </c>
      <c r="L63" s="26" t="n">
        <f aca="false">IF(OR('11 Ranking &amp; Shortlist'!O11=1,'11 Ranking &amp; Shortlist'!P11=1),1,0)</f>
        <v>0</v>
      </c>
    </row>
    <row r="64" customFormat="false" ht="15" hidden="false" customHeight="false" outlineLevel="0" collapsed="false">
      <c r="B64" s="42" t="s">
        <v>86</v>
      </c>
      <c r="C64" s="46" t="s">
        <v>87</v>
      </c>
      <c r="D64" s="141" t="str">
        <f aca="false">IF($L64=0,"",SUMPRODUCT(($L$59:$L$71=1)*($D$43:$D$55&gt;D48))+1)</f>
        <v/>
      </c>
      <c r="E64" s="141" t="str">
        <f aca="false">IF($L64=0,"",SUMPRODUCT(($L$59:$L$71=1)*($E$43:$E$55&gt;E48))+1)</f>
        <v/>
      </c>
      <c r="F64" s="141" t="str">
        <f aca="false">IF($L64=0,"",SUMPRODUCT(($L$59:$L$71=1)*($F$43:$F$55&gt;F48))+1)</f>
        <v/>
      </c>
      <c r="G64" s="141" t="str">
        <f aca="false">IF($L64=0,"",SUMPRODUCT(($L$59:$L$71=1)*($G$43:$G$55&gt;G48))+1)</f>
        <v/>
      </c>
      <c r="H64" s="141" t="str">
        <f aca="false">IF($L64=0,"",SUMPRODUCT(($L$59:$L$71=1)*($H$43:$H$55&gt;H48))+1)</f>
        <v/>
      </c>
      <c r="I64" s="141" t="str">
        <f aca="false">IF($L64=0,"",SUMPRODUCT(($L$59:$L$71=1)*($I$43:$I$55&gt;I48))+1)</f>
        <v/>
      </c>
      <c r="J64" s="141" t="str">
        <f aca="false">IF($L64=0,"",SUMPRODUCT(($L$59:$L$71=1)*($J$43:$J$55&gt;J48))+1)</f>
        <v/>
      </c>
      <c r="K64" s="26" t="str">
        <f aca="false">'10 Scoring &amp; Weights'!S92</f>
        <v>Pending verification</v>
      </c>
      <c r="L64" s="26" t="n">
        <f aca="false">IF(OR('11 Ranking &amp; Shortlist'!O12=1,'11 Ranking &amp; Shortlist'!P12=1),1,0)</f>
        <v>0</v>
      </c>
    </row>
    <row r="65" customFormat="false" ht="15" hidden="false" customHeight="false" outlineLevel="0" collapsed="false">
      <c r="B65" s="42" t="s">
        <v>93</v>
      </c>
      <c r="C65" s="46" t="s">
        <v>94</v>
      </c>
      <c r="D65" s="141" t="str">
        <f aca="false">IF($L65=0,"",SUMPRODUCT(($L$59:$L$71=1)*($D$43:$D$55&gt;D49))+1)</f>
        <v/>
      </c>
      <c r="E65" s="141" t="str">
        <f aca="false">IF($L65=0,"",SUMPRODUCT(($L$59:$L$71=1)*($E$43:$E$55&gt;E49))+1)</f>
        <v/>
      </c>
      <c r="F65" s="141" t="str">
        <f aca="false">IF($L65=0,"",SUMPRODUCT(($L$59:$L$71=1)*($F$43:$F$55&gt;F49))+1)</f>
        <v/>
      </c>
      <c r="G65" s="141" t="str">
        <f aca="false">IF($L65=0,"",SUMPRODUCT(($L$59:$L$71=1)*($G$43:$G$55&gt;G49))+1)</f>
        <v/>
      </c>
      <c r="H65" s="141" t="str">
        <f aca="false">IF($L65=0,"",SUMPRODUCT(($L$59:$L$71=1)*($H$43:$H$55&gt;H49))+1)</f>
        <v/>
      </c>
      <c r="I65" s="141" t="str">
        <f aca="false">IF($L65=0,"",SUMPRODUCT(($L$59:$L$71=1)*($I$43:$I$55&gt;I49))+1)</f>
        <v/>
      </c>
      <c r="J65" s="141" t="str">
        <f aca="false">IF($L65=0,"",SUMPRODUCT(($L$59:$L$71=1)*($J$43:$J$55&gt;J49))+1)</f>
        <v/>
      </c>
      <c r="K65" s="26" t="str">
        <f aca="false">'10 Scoring &amp; Weights'!S93</f>
        <v>Pending verification</v>
      </c>
      <c r="L65" s="26" t="n">
        <f aca="false">IF(OR('11 Ranking &amp; Shortlist'!O13=1,'11 Ranking &amp; Shortlist'!P13=1),1,0)</f>
        <v>0</v>
      </c>
    </row>
    <row r="66" customFormat="false" ht="15" hidden="false" customHeight="false" outlineLevel="0" collapsed="false">
      <c r="B66" s="42" t="s">
        <v>98</v>
      </c>
      <c r="C66" s="46" t="s">
        <v>99</v>
      </c>
      <c r="D66" s="141" t="str">
        <f aca="false">IF($L66=0,"",SUMPRODUCT(($L$59:$L$71=1)*($D$43:$D$55&gt;D50))+1)</f>
        <v/>
      </c>
      <c r="E66" s="141" t="str">
        <f aca="false">IF($L66=0,"",SUMPRODUCT(($L$59:$L$71=1)*($E$43:$E$55&gt;E50))+1)</f>
        <v/>
      </c>
      <c r="F66" s="141" t="str">
        <f aca="false">IF($L66=0,"",SUMPRODUCT(($L$59:$L$71=1)*($F$43:$F$55&gt;F50))+1)</f>
        <v/>
      </c>
      <c r="G66" s="141" t="str">
        <f aca="false">IF($L66=0,"",SUMPRODUCT(($L$59:$L$71=1)*($G$43:$G$55&gt;G50))+1)</f>
        <v/>
      </c>
      <c r="H66" s="141" t="str">
        <f aca="false">IF($L66=0,"",SUMPRODUCT(($L$59:$L$71=1)*($H$43:$H$55&gt;H50))+1)</f>
        <v/>
      </c>
      <c r="I66" s="141" t="str">
        <f aca="false">IF($L66=0,"",SUMPRODUCT(($L$59:$L$71=1)*($I$43:$I$55&gt;I50))+1)</f>
        <v/>
      </c>
      <c r="J66" s="141" t="str">
        <f aca="false">IF($L66=0,"",SUMPRODUCT(($L$59:$L$71=1)*($J$43:$J$55&gt;J50))+1)</f>
        <v/>
      </c>
      <c r="K66" s="26" t="str">
        <f aca="false">'10 Scoring &amp; Weights'!S94</f>
        <v>Pending verification</v>
      </c>
      <c r="L66" s="26" t="n">
        <f aca="false">IF(OR('11 Ranking &amp; Shortlist'!O14=1,'11 Ranking &amp; Shortlist'!P14=1),1,0)</f>
        <v>0</v>
      </c>
    </row>
    <row r="67" customFormat="false" ht="15" hidden="false" customHeight="false" outlineLevel="0" collapsed="false">
      <c r="B67" s="42" t="s">
        <v>106</v>
      </c>
      <c r="C67" s="46" t="s">
        <v>107</v>
      </c>
      <c r="D67" s="141" t="str">
        <f aca="false">IF($L67=0,"",SUMPRODUCT(($L$59:$L$71=1)*($D$43:$D$55&gt;D51))+1)</f>
        <v/>
      </c>
      <c r="E67" s="141" t="str">
        <f aca="false">IF($L67=0,"",SUMPRODUCT(($L$59:$L$71=1)*($E$43:$E$55&gt;E51))+1)</f>
        <v/>
      </c>
      <c r="F67" s="141" t="str">
        <f aca="false">IF($L67=0,"",SUMPRODUCT(($L$59:$L$71=1)*($F$43:$F$55&gt;F51))+1)</f>
        <v/>
      </c>
      <c r="G67" s="141" t="str">
        <f aca="false">IF($L67=0,"",SUMPRODUCT(($L$59:$L$71=1)*($G$43:$G$55&gt;G51))+1)</f>
        <v/>
      </c>
      <c r="H67" s="141" t="str">
        <f aca="false">IF($L67=0,"",SUMPRODUCT(($L$59:$L$71=1)*($H$43:$H$55&gt;H51))+1)</f>
        <v/>
      </c>
      <c r="I67" s="141" t="str">
        <f aca="false">IF($L67=0,"",SUMPRODUCT(($L$59:$L$71=1)*($I$43:$I$55&gt;I51))+1)</f>
        <v/>
      </c>
      <c r="J67" s="141" t="str">
        <f aca="false">IF($L67=0,"",SUMPRODUCT(($L$59:$L$71=1)*($J$43:$J$55&gt;J51))+1)</f>
        <v/>
      </c>
      <c r="K67" s="26" t="str">
        <f aca="false">'10 Scoring &amp; Weights'!S95</f>
        <v>Pending verification</v>
      </c>
      <c r="L67" s="26" t="n">
        <f aca="false">IF(OR('11 Ranking &amp; Shortlist'!O15=1,'11 Ranking &amp; Shortlist'!P15=1),1,0)</f>
        <v>0</v>
      </c>
    </row>
    <row r="68" customFormat="false" ht="15" hidden="false" customHeight="false" outlineLevel="0" collapsed="false">
      <c r="B68" s="42" t="s">
        <v>112</v>
      </c>
      <c r="C68" s="46" t="s">
        <v>113</v>
      </c>
      <c r="D68" s="141" t="n">
        <f aca="false">IF($L68=0,"",SUMPRODUCT(($L$59:$L$71=1)*($D$43:$D$55&gt;D52))+1)</f>
        <v>1</v>
      </c>
      <c r="E68" s="141" t="n">
        <f aca="false">IF($L68=0,"",SUMPRODUCT(($L$59:$L$71=1)*($E$43:$E$55&gt;E52))+1)</f>
        <v>1</v>
      </c>
      <c r="F68" s="141" t="n">
        <f aca="false">IF($L68=0,"",SUMPRODUCT(($L$59:$L$71=1)*($F$43:$F$55&gt;F52))+1)</f>
        <v>2</v>
      </c>
      <c r="G68" s="141" t="n">
        <f aca="false">IF($L68=0,"",SUMPRODUCT(($L$59:$L$71=1)*($G$43:$G$55&gt;G52))+1)</f>
        <v>2</v>
      </c>
      <c r="H68" s="141" t="n">
        <f aca="false">IF($L68=0,"",SUMPRODUCT(($L$59:$L$71=1)*($H$43:$H$55&gt;H52))+1)</f>
        <v>3</v>
      </c>
      <c r="I68" s="141" t="n">
        <f aca="false">IF($L68=0,"",SUMPRODUCT(($L$59:$L$71=1)*($I$43:$I$55&gt;I52))+1)</f>
        <v>3</v>
      </c>
      <c r="J68" s="141" t="n">
        <f aca="false">IF($L68=0,"",SUMPRODUCT(($L$59:$L$71=1)*($J$43:$J$55&gt;J52))+1)</f>
        <v>1</v>
      </c>
      <c r="K68" s="26" t="str">
        <f aca="false">'10 Scoring &amp; Weights'!S96</f>
        <v>Conditionally eligible</v>
      </c>
      <c r="L68" s="26" t="n">
        <f aca="false">IF(OR('11 Ranking &amp; Shortlist'!O16=1,'11 Ranking &amp; Shortlist'!P16=1),1,0)</f>
        <v>1</v>
      </c>
    </row>
    <row r="69" customFormat="false" ht="15" hidden="false" customHeight="false" outlineLevel="0" collapsed="false">
      <c r="B69" s="42" t="s">
        <v>117</v>
      </c>
      <c r="C69" s="46" t="s">
        <v>118</v>
      </c>
      <c r="D69" s="141" t="str">
        <f aca="false">IF($L69=0,"",SUMPRODUCT(($L$59:$L$71=1)*($D$43:$D$55&gt;D53))+1)</f>
        <v/>
      </c>
      <c r="E69" s="141" t="str">
        <f aca="false">IF($L69=0,"",SUMPRODUCT(($L$59:$L$71=1)*($E$43:$E$55&gt;E53))+1)</f>
        <v/>
      </c>
      <c r="F69" s="141" t="str">
        <f aca="false">IF($L69=0,"",SUMPRODUCT(($L$59:$L$71=1)*($F$43:$F$55&gt;F53))+1)</f>
        <v/>
      </c>
      <c r="G69" s="141" t="str">
        <f aca="false">IF($L69=0,"",SUMPRODUCT(($L$59:$L$71=1)*($G$43:$G$55&gt;G53))+1)</f>
        <v/>
      </c>
      <c r="H69" s="141" t="str">
        <f aca="false">IF($L69=0,"",SUMPRODUCT(($L$59:$L$71=1)*($H$43:$H$55&gt;H53))+1)</f>
        <v/>
      </c>
      <c r="I69" s="141" t="str">
        <f aca="false">IF($L69=0,"",SUMPRODUCT(($L$59:$L$71=1)*($I$43:$I$55&gt;I53))+1)</f>
        <v/>
      </c>
      <c r="J69" s="141" t="str">
        <f aca="false">IF($L69=0,"",SUMPRODUCT(($L$59:$L$71=1)*($J$43:$J$55&gt;J53))+1)</f>
        <v/>
      </c>
      <c r="K69" s="26" t="str">
        <f aca="false">'10 Scoring &amp; Weights'!S97</f>
        <v>Pending verification</v>
      </c>
      <c r="L69" s="26" t="n">
        <f aca="false">IF(OR('11 Ranking &amp; Shortlist'!O17=1,'11 Ranking &amp; Shortlist'!P17=1),1,0)</f>
        <v>0</v>
      </c>
    </row>
    <row r="70" customFormat="false" ht="15" hidden="false" customHeight="false" outlineLevel="0" collapsed="false">
      <c r="B70" s="42" t="s">
        <v>122</v>
      </c>
      <c r="C70" s="46" t="s">
        <v>123</v>
      </c>
      <c r="D70" s="141" t="str">
        <f aca="false">IF($L70=0,"",SUMPRODUCT(($L$59:$L$71=1)*($D$43:$D$55&gt;D54))+1)</f>
        <v/>
      </c>
      <c r="E70" s="141" t="str">
        <f aca="false">IF($L70=0,"",SUMPRODUCT(($L$59:$L$71=1)*($E$43:$E$55&gt;E54))+1)</f>
        <v/>
      </c>
      <c r="F70" s="141" t="str">
        <f aca="false">IF($L70=0,"",SUMPRODUCT(($L$59:$L$71=1)*($F$43:$F$55&gt;F54))+1)</f>
        <v/>
      </c>
      <c r="G70" s="141" t="str">
        <f aca="false">IF($L70=0,"",SUMPRODUCT(($L$59:$L$71=1)*($G$43:$G$55&gt;G54))+1)</f>
        <v/>
      </c>
      <c r="H70" s="141" t="str">
        <f aca="false">IF($L70=0,"",SUMPRODUCT(($L$59:$L$71=1)*($H$43:$H$55&gt;H54))+1)</f>
        <v/>
      </c>
      <c r="I70" s="141" t="str">
        <f aca="false">IF($L70=0,"",SUMPRODUCT(($L$59:$L$71=1)*($I$43:$I$55&gt;I54))+1)</f>
        <v/>
      </c>
      <c r="J70" s="141" t="str">
        <f aca="false">IF($L70=0,"",SUMPRODUCT(($L$59:$L$71=1)*($J$43:$J$55&gt;J54))+1)</f>
        <v/>
      </c>
      <c r="K70" s="26" t="str">
        <f aca="false">'10 Scoring &amp; Weights'!S98</f>
        <v>Pending verification</v>
      </c>
      <c r="L70" s="26" t="n">
        <f aca="false">IF(OR('11 Ranking &amp; Shortlist'!O18=1,'11 Ranking &amp; Shortlist'!P18=1),1,0)</f>
        <v>0</v>
      </c>
    </row>
    <row r="71" customFormat="false" ht="15" hidden="false" customHeight="false" outlineLevel="0" collapsed="false">
      <c r="B71" s="42" t="s">
        <v>127</v>
      </c>
      <c r="C71" s="46" t="s">
        <v>128</v>
      </c>
      <c r="D71" s="141" t="str">
        <f aca="false">IF($L71=0,"",SUMPRODUCT(($L$59:$L$71=1)*($D$43:$D$55&gt;D55))+1)</f>
        <v/>
      </c>
      <c r="E71" s="141" t="str">
        <f aca="false">IF($L71=0,"",SUMPRODUCT(($L$59:$L$71=1)*($E$43:$E$55&gt;E55))+1)</f>
        <v/>
      </c>
      <c r="F71" s="141" t="str">
        <f aca="false">IF($L71=0,"",SUMPRODUCT(($L$59:$L$71=1)*($F$43:$F$55&gt;F55))+1)</f>
        <v/>
      </c>
      <c r="G71" s="141" t="str">
        <f aca="false">IF($L71=0,"",SUMPRODUCT(($L$59:$L$71=1)*($G$43:$G$55&gt;G55))+1)</f>
        <v/>
      </c>
      <c r="H71" s="141" t="str">
        <f aca="false">IF($L71=0,"",SUMPRODUCT(($L$59:$L$71=1)*($H$43:$H$55&gt;H55))+1)</f>
        <v/>
      </c>
      <c r="I71" s="141" t="str">
        <f aca="false">IF($L71=0,"",SUMPRODUCT(($L$59:$L$71=1)*($I$43:$I$55&gt;I55))+1)</f>
        <v/>
      </c>
      <c r="J71" s="141" t="str">
        <f aca="false">IF($L71=0,"",SUMPRODUCT(($L$59:$L$71=1)*($J$43:$J$55&gt;J55))+1)</f>
        <v/>
      </c>
      <c r="K71" s="26" t="str">
        <f aca="false">'10 Scoring &amp; Weights'!S99</f>
        <v>Pending verification</v>
      </c>
      <c r="L71" s="26" t="n">
        <f aca="false">IF(OR('11 Ranking &amp; Shortlist'!O19=1,'11 Ranking &amp; Shortlist'!P19=1),1,0)</f>
        <v>0</v>
      </c>
    </row>
    <row r="73" customFormat="false" ht="15" hidden="false" customHeight="false" outlineLevel="0" collapsed="false">
      <c r="B73" s="7" t="s">
        <v>1496</v>
      </c>
      <c r="C73" s="7"/>
      <c r="D73" s="7"/>
      <c r="E73" s="7"/>
      <c r="F73" s="7"/>
      <c r="G73" s="7"/>
      <c r="H73" s="7"/>
      <c r="I73" s="7"/>
      <c r="J73" s="7"/>
      <c r="K73" s="7"/>
    </row>
    <row r="74" customFormat="false" ht="27.75" hidden="false" customHeight="true" outlineLevel="0" collapsed="false">
      <c r="B74" s="8" t="s">
        <v>36</v>
      </c>
      <c r="C74" s="8" t="s">
        <v>1458</v>
      </c>
      <c r="D74" s="8" t="s">
        <v>26</v>
      </c>
      <c r="E74" s="8" t="s">
        <v>1497</v>
      </c>
      <c r="F74" s="8" t="s">
        <v>1498</v>
      </c>
      <c r="G74" s="8" t="s">
        <v>28</v>
      </c>
      <c r="H74" s="8" t="s">
        <v>1499</v>
      </c>
      <c r="I74" s="8" t="s">
        <v>1500</v>
      </c>
      <c r="J74" s="8" t="s">
        <v>1501</v>
      </c>
    </row>
    <row r="75" customFormat="false" ht="15" hidden="false" customHeight="false" outlineLevel="0" collapsed="false">
      <c r="B75" s="16" t="s">
        <v>1469</v>
      </c>
      <c r="C75" s="20" t="s">
        <v>1470</v>
      </c>
      <c r="D75" s="22" t="str">
        <f aca="false">IFERROR(INDEX($C$59:$C$71,MATCH(1,$D$59:$D$71,0)),"")</f>
        <v>HW19</v>
      </c>
      <c r="E75" s="71" t="n">
        <f aca="false">IFERROR(INDEX($D$43:$D$55,MATCH(1,$D$59:$D$71,0)),"")</f>
        <v>55.7674538131497</v>
      </c>
      <c r="F75" s="12" t="str">
        <f aca="false">IFERROR(INDEX($K$59:$K$71,MATCH(1,$D$59:$D$71,0)),"")</f>
        <v>Conditionally eligible</v>
      </c>
      <c r="G75" s="12" t="str">
        <f aca="false">IFERROR(INDEX($C$59:$C$71,MATCH(2,$D$59:$D$71,0)),"")</f>
        <v>CT34</v>
      </c>
      <c r="H75" s="12" t="str">
        <f aca="false">$D$75</f>
        <v>HW19</v>
      </c>
      <c r="I75" s="141" t="n">
        <f aca="false">IFERROR(INDEX($D$59:$D$71,MATCH(H75,$C$59:$C$71,0)),"")</f>
        <v>1</v>
      </c>
      <c r="J75" s="22" t="str">
        <f aca="false">IF(D75=H75,"No","Yes")</f>
        <v>No</v>
      </c>
    </row>
    <row r="76" customFormat="false" ht="15" hidden="false" customHeight="false" outlineLevel="0" collapsed="false">
      <c r="B76" s="16" t="s">
        <v>1472</v>
      </c>
      <c r="C76" s="20" t="s">
        <v>1473</v>
      </c>
      <c r="D76" s="22" t="str">
        <f aca="false">IFERROR(INDEX($C$59:$C$71,MATCH(1,$E$59:$E$71,0)),"")</f>
        <v>HW19</v>
      </c>
      <c r="E76" s="71" t="n">
        <f aca="false">IFERROR(INDEX($E$43:$E$55,MATCH(1,$E$59:$E$71,0)),"")</f>
        <v>58.4122434766294</v>
      </c>
      <c r="F76" s="12" t="str">
        <f aca="false">IFERROR(INDEX($K$59:$K$71,MATCH(1,$E$59:$E$71,0)),"")</f>
        <v>Conditionally eligible</v>
      </c>
      <c r="G76" s="12" t="str">
        <f aca="false">IFERROR(INDEX($C$59:$C$71,MATCH(2,$E$59:$E$71,0)),"")</f>
        <v>CT34</v>
      </c>
      <c r="H76" s="12" t="str">
        <f aca="false">$D$75</f>
        <v>HW19</v>
      </c>
      <c r="I76" s="141" t="n">
        <f aca="false">IFERROR(INDEX($E$59:$E$71,MATCH(H76,$C$59:$C$71,0)),"")</f>
        <v>1</v>
      </c>
      <c r="J76" s="22" t="str">
        <f aca="false">IF(D76=H76,"No","Yes")</f>
        <v>No</v>
      </c>
    </row>
    <row r="77" customFormat="false" ht="15" hidden="false" customHeight="false" outlineLevel="0" collapsed="false">
      <c r="B77" s="16" t="s">
        <v>1475</v>
      </c>
      <c r="C77" s="20" t="s">
        <v>1476</v>
      </c>
      <c r="D77" s="22" t="str">
        <f aca="false">IFERROR(INDEX($C$59:$C$71,MATCH(1,$F$59:$F$71,0)),"")</f>
        <v>VB10</v>
      </c>
      <c r="E77" s="71" t="n">
        <f aca="false">IFERROR(INDEX($F$43:$F$55,MATCH(1,$F$59:$F$71,0)),"")</f>
        <v>56.0533256398172</v>
      </c>
      <c r="F77" s="12" t="str">
        <f aca="false">IFERROR(INDEX($K$59:$K$71,MATCH(1,$F$59:$F$71,0)),"")</f>
        <v>Conditionally eligible</v>
      </c>
      <c r="G77" s="12" t="str">
        <f aca="false">IFERROR(INDEX($C$59:$C$71,MATCH(2,$F$59:$F$71,0)),"")</f>
        <v>HW19</v>
      </c>
      <c r="H77" s="12" t="str">
        <f aca="false">$D$75</f>
        <v>HW19</v>
      </c>
      <c r="I77" s="141" t="n">
        <f aca="false">IFERROR(INDEX($F$59:$F$71,MATCH(H77,$C$59:$C$71,0)),"")</f>
        <v>2</v>
      </c>
      <c r="J77" s="22" t="str">
        <f aca="false">IF(D77=H77,"No","Yes")</f>
        <v>Yes</v>
      </c>
    </row>
    <row r="78" customFormat="false" ht="15" hidden="false" customHeight="false" outlineLevel="0" collapsed="false">
      <c r="B78" s="16" t="s">
        <v>1478</v>
      </c>
      <c r="C78" s="20" t="s">
        <v>1479</v>
      </c>
      <c r="D78" s="22" t="str">
        <f aca="false">IFERROR(INDEX($C$59:$C$71,MATCH(1,$G$59:$G$71,0)),"")</f>
        <v>CT34</v>
      </c>
      <c r="E78" s="71" t="n">
        <f aca="false">IFERROR(INDEX($G$43:$G$55,MATCH(1,$G$59:$G$71,0)),"")</f>
        <v>55.9491669853807</v>
      </c>
      <c r="F78" s="12" t="str">
        <f aca="false">IFERROR(INDEX($K$59:$K$71,MATCH(1,$G$59:$G$71,0)),"")</f>
        <v>Conditionally eligible</v>
      </c>
      <c r="G78" s="12" t="str">
        <f aca="false">IFERROR(INDEX($C$59:$C$71,MATCH(2,$G$59:$G$71,0)),"")</f>
        <v>HW19</v>
      </c>
      <c r="H78" s="12" t="str">
        <f aca="false">$D$75</f>
        <v>HW19</v>
      </c>
      <c r="I78" s="141" t="n">
        <f aca="false">IFERROR(INDEX($G$59:$G$71,MATCH(H78,$C$59:$C$71,0)),"")</f>
        <v>2</v>
      </c>
      <c r="J78" s="22" t="str">
        <f aca="false">IF(D78=H78,"No","Yes")</f>
        <v>Yes</v>
      </c>
    </row>
    <row r="79" customFormat="false" ht="15" hidden="false" customHeight="false" outlineLevel="0" collapsed="false">
      <c r="B79" s="16" t="s">
        <v>1481</v>
      </c>
      <c r="C79" s="20" t="s">
        <v>1482</v>
      </c>
      <c r="D79" s="22" t="str">
        <f aca="false">IFERROR(INDEX($C$59:$C$71,MATCH(1,$H$59:$H$71,0)),"")</f>
        <v>VB10</v>
      </c>
      <c r="E79" s="71" t="n">
        <f aca="false">IFERROR(INDEX($H$43:$H$55,MATCH(1,$H$59:$H$71,0)),"")</f>
        <v>54.7619015407557</v>
      </c>
      <c r="F79" s="12" t="str">
        <f aca="false">IFERROR(INDEX($K$59:$K$71,MATCH(1,$H$59:$H$71,0)),"")</f>
        <v>Conditionally eligible</v>
      </c>
      <c r="G79" s="12" t="str">
        <f aca="false">IFERROR(INDEX($C$59:$C$71,MATCH(2,$H$59:$H$71,0)),"")</f>
        <v>CT34</v>
      </c>
      <c r="H79" s="12" t="str">
        <f aca="false">$D$75</f>
        <v>HW19</v>
      </c>
      <c r="I79" s="141" t="n">
        <f aca="false">IFERROR(INDEX($H$59:$H$71,MATCH(H79,$C$59:$C$71,0)),"")</f>
        <v>3</v>
      </c>
      <c r="J79" s="22" t="str">
        <f aca="false">IF(D79=H79,"No","Yes")</f>
        <v>Yes</v>
      </c>
    </row>
    <row r="80" customFormat="false" ht="15" hidden="false" customHeight="false" outlineLevel="0" collapsed="false">
      <c r="B80" s="16" t="s">
        <v>1484</v>
      </c>
      <c r="C80" s="20" t="s">
        <v>1485</v>
      </c>
      <c r="D80" s="22" t="str">
        <f aca="false">IFERROR(INDEX($C$59:$C$71,MATCH(1,$I$59:$I$71,0)),"")</f>
        <v>VB10</v>
      </c>
      <c r="E80" s="71" t="n">
        <f aca="false">IFERROR(INDEX($I$43:$I$55,MATCH(1,$I$59:$I$71,0)),"")</f>
        <v>55.5664673675682</v>
      </c>
      <c r="F80" s="12" t="str">
        <f aca="false">IFERROR(INDEX($K$59:$K$71,MATCH(1,$I$59:$I$71,0)),"")</f>
        <v>Conditionally eligible</v>
      </c>
      <c r="G80" s="12" t="str">
        <f aca="false">IFERROR(INDEX($C$59:$C$71,MATCH(2,$I$59:$I$71,0)),"")</f>
        <v>CT34</v>
      </c>
      <c r="H80" s="12" t="str">
        <f aca="false">$D$75</f>
        <v>HW19</v>
      </c>
      <c r="I80" s="141" t="n">
        <f aca="false">IFERROR(INDEX($I$59:$I$71,MATCH(H80,$C$59:$C$71,0)),"")</f>
        <v>3</v>
      </c>
      <c r="J80" s="22" t="str">
        <f aca="false">IF(D80=H80,"No","Yes")</f>
        <v>Yes</v>
      </c>
    </row>
    <row r="81" customFormat="false" ht="15" hidden="false" customHeight="false" outlineLevel="0" collapsed="false">
      <c r="B81" s="16" t="s">
        <v>1487</v>
      </c>
      <c r="C81" s="20" t="s">
        <v>1488</v>
      </c>
      <c r="D81" s="22" t="str">
        <f aca="false">IFERROR(INDEX($C$59:$C$71,MATCH(1,$J$59:$J$71,0)),"")</f>
        <v>HW19</v>
      </c>
      <c r="E81" s="71" t="n">
        <f aca="false">IFERROR(INDEX($J$43:$J$55,MATCH(1,$J$59:$J$71,0)),"")</f>
        <v>56.7076157380853</v>
      </c>
      <c r="F81" s="12" t="str">
        <f aca="false">IFERROR(INDEX($K$59:$K$71,MATCH(1,$J$59:$J$71,0)),"")</f>
        <v>Conditionally eligible</v>
      </c>
      <c r="G81" s="12" t="str">
        <f aca="false">IFERROR(INDEX($C$59:$C$71,MATCH(2,$J$59:$J$71,0)),"")</f>
        <v>CT34</v>
      </c>
      <c r="H81" s="12" t="str">
        <f aca="false">$D$75</f>
        <v>HW19</v>
      </c>
      <c r="I81" s="141" t="n">
        <f aca="false">IFERROR(INDEX($J$59:$J$71,MATCH(H81,$C$59:$C$71,0)),"")</f>
        <v>1</v>
      </c>
      <c r="J81" s="22" t="str">
        <f aca="false">IF(D81=H81,"No","Yes")</f>
        <v>No</v>
      </c>
    </row>
    <row r="84" customFormat="false" ht="15" hidden="false" customHeight="false" outlineLevel="0" collapsed="false">
      <c r="B84" s="7" t="s">
        <v>1502</v>
      </c>
      <c r="C84" s="7"/>
      <c r="D84" s="7"/>
      <c r="E84" s="7"/>
      <c r="F84" s="7"/>
      <c r="G84" s="7"/>
      <c r="H84" s="7"/>
      <c r="I84" s="7"/>
      <c r="J84" s="7"/>
    </row>
    <row r="85" customFormat="false" ht="15" hidden="false" customHeight="false" outlineLevel="0" collapsed="false">
      <c r="B85" s="8" t="s">
        <v>36</v>
      </c>
      <c r="C85" s="8" t="s">
        <v>12</v>
      </c>
      <c r="D85" s="8" t="s">
        <v>1469</v>
      </c>
      <c r="E85" s="8" t="s">
        <v>1472</v>
      </c>
      <c r="F85" s="8" t="s">
        <v>1475</v>
      </c>
      <c r="G85" s="8" t="s">
        <v>1478</v>
      </c>
      <c r="H85" s="8" t="s">
        <v>1481</v>
      </c>
      <c r="I85" s="8" t="s">
        <v>1484</v>
      </c>
      <c r="J85" s="8" t="s">
        <v>1487</v>
      </c>
    </row>
    <row r="86" customFormat="false" ht="15" hidden="false" customHeight="false" outlineLevel="0" collapsed="false">
      <c r="B86" s="42" t="s">
        <v>48</v>
      </c>
      <c r="C86" s="46" t="s">
        <v>50</v>
      </c>
      <c r="D86" s="142" t="n">
        <f aca="false">IF(D59="","",D59-$D59)</f>
        <v>0</v>
      </c>
      <c r="E86" s="142" t="n">
        <f aca="false">IF(E59="","",E59-$D59)</f>
        <v>0</v>
      </c>
      <c r="F86" s="142" t="n">
        <f aca="false">IF(F59="","",F59-$D59)</f>
        <v>-2</v>
      </c>
      <c r="G86" s="142" t="n">
        <f aca="false">IF(G59="","",G59-$D59)</f>
        <v>0</v>
      </c>
      <c r="H86" s="142" t="n">
        <f aca="false">IF(H59="","",H59-$D59)</f>
        <v>-2</v>
      </c>
      <c r="I86" s="142" t="n">
        <f aca="false">IF(I59="","",I59-$D59)</f>
        <v>-2</v>
      </c>
      <c r="J86" s="142" t="n">
        <f aca="false">IF(J59="","",J59-$D59)</f>
        <v>0</v>
      </c>
    </row>
    <row r="87" customFormat="false" ht="15" hidden="false" customHeight="false" outlineLevel="0" collapsed="false">
      <c r="B87" s="42" t="s">
        <v>59</v>
      </c>
      <c r="C87" s="46" t="s">
        <v>60</v>
      </c>
      <c r="D87" s="142" t="str">
        <f aca="false">IF(D60="","",D60-$D60)</f>
        <v/>
      </c>
      <c r="E87" s="142" t="str">
        <f aca="false">IF(E60="","",E60-$D60)</f>
        <v/>
      </c>
      <c r="F87" s="142" t="str">
        <f aca="false">IF(F60="","",F60-$D60)</f>
        <v/>
      </c>
      <c r="G87" s="142" t="str">
        <f aca="false">IF(G60="","",G60-$D60)</f>
        <v/>
      </c>
      <c r="H87" s="142" t="str">
        <f aca="false">IF(H60="","",H60-$D60)</f>
        <v/>
      </c>
      <c r="I87" s="142" t="str">
        <f aca="false">IF(I60="","",I60-$D60)</f>
        <v/>
      </c>
      <c r="J87" s="142" t="str">
        <f aca="false">IF(J60="","",J60-$D60)</f>
        <v/>
      </c>
    </row>
    <row r="88" customFormat="false" ht="15" hidden="false" customHeight="false" outlineLevel="0" collapsed="false">
      <c r="B88" s="42" t="s">
        <v>65</v>
      </c>
      <c r="C88" s="46" t="s">
        <v>66</v>
      </c>
      <c r="D88" s="142" t="n">
        <f aca="false">IF(D61="","",D61-$D61)</f>
        <v>0</v>
      </c>
      <c r="E88" s="142" t="n">
        <f aca="false">IF(E61="","",E61-$D61)</f>
        <v>0</v>
      </c>
      <c r="F88" s="142" t="n">
        <f aca="false">IF(F61="","",F61-$D61)</f>
        <v>1</v>
      </c>
      <c r="G88" s="142" t="n">
        <f aca="false">IF(G61="","",G61-$D61)</f>
        <v>-1</v>
      </c>
      <c r="H88" s="142" t="n">
        <f aca="false">IF(H61="","",H61-$D61)</f>
        <v>0</v>
      </c>
      <c r="I88" s="142" t="n">
        <f aca="false">IF(I61="","",I61-$D61)</f>
        <v>0</v>
      </c>
      <c r="J88" s="142" t="n">
        <f aca="false">IF(J61="","",J61-$D61)</f>
        <v>0</v>
      </c>
    </row>
    <row r="89" customFormat="false" ht="15" hidden="false" customHeight="false" outlineLevel="0" collapsed="false">
      <c r="B89" s="42" t="s">
        <v>71</v>
      </c>
      <c r="C89" s="46" t="s">
        <v>72</v>
      </c>
      <c r="D89" s="142" t="str">
        <f aca="false">IF(D62="","",D62-$D62)</f>
        <v/>
      </c>
      <c r="E89" s="142" t="str">
        <f aca="false">IF(E62="","",E62-$D62)</f>
        <v/>
      </c>
      <c r="F89" s="142" t="str">
        <f aca="false">IF(F62="","",F62-$D62)</f>
        <v/>
      </c>
      <c r="G89" s="142" t="str">
        <f aca="false">IF(G62="","",G62-$D62)</f>
        <v/>
      </c>
      <c r="H89" s="142" t="str">
        <f aca="false">IF(H62="","",H62-$D62)</f>
        <v/>
      </c>
      <c r="I89" s="142" t="str">
        <f aca="false">IF(I62="","",I62-$D62)</f>
        <v/>
      </c>
      <c r="J89" s="142" t="str">
        <f aca="false">IF(J62="","",J62-$D62)</f>
        <v/>
      </c>
    </row>
    <row r="90" customFormat="false" ht="15" hidden="false" customHeight="false" outlineLevel="0" collapsed="false">
      <c r="B90" s="42" t="s">
        <v>80</v>
      </c>
      <c r="C90" s="46" t="s">
        <v>81</v>
      </c>
      <c r="D90" s="142" t="str">
        <f aca="false">IF(D63="","",D63-$D63)</f>
        <v/>
      </c>
      <c r="E90" s="142" t="str">
        <f aca="false">IF(E63="","",E63-$D63)</f>
        <v/>
      </c>
      <c r="F90" s="142" t="str">
        <f aca="false">IF(F63="","",F63-$D63)</f>
        <v/>
      </c>
      <c r="G90" s="142" t="str">
        <f aca="false">IF(G63="","",G63-$D63)</f>
        <v/>
      </c>
      <c r="H90" s="142" t="str">
        <f aca="false">IF(H63="","",H63-$D63)</f>
        <v/>
      </c>
      <c r="I90" s="142" t="str">
        <f aca="false">IF(I63="","",I63-$D63)</f>
        <v/>
      </c>
      <c r="J90" s="142" t="str">
        <f aca="false">IF(J63="","",J63-$D63)</f>
        <v/>
      </c>
    </row>
    <row r="91" customFormat="false" ht="15" hidden="false" customHeight="false" outlineLevel="0" collapsed="false">
      <c r="B91" s="42" t="s">
        <v>86</v>
      </c>
      <c r="C91" s="46" t="s">
        <v>87</v>
      </c>
      <c r="D91" s="142" t="str">
        <f aca="false">IF(D64="","",D64-$D64)</f>
        <v/>
      </c>
      <c r="E91" s="142" t="str">
        <f aca="false">IF(E64="","",E64-$D64)</f>
        <v/>
      </c>
      <c r="F91" s="142" t="str">
        <f aca="false">IF(F64="","",F64-$D64)</f>
        <v/>
      </c>
      <c r="G91" s="142" t="str">
        <f aca="false">IF(G64="","",G64-$D64)</f>
        <v/>
      </c>
      <c r="H91" s="142" t="str">
        <f aca="false">IF(H64="","",H64-$D64)</f>
        <v/>
      </c>
      <c r="I91" s="142" t="str">
        <f aca="false">IF(I64="","",I64-$D64)</f>
        <v/>
      </c>
      <c r="J91" s="142" t="str">
        <f aca="false">IF(J64="","",J64-$D64)</f>
        <v/>
      </c>
    </row>
    <row r="92" customFormat="false" ht="15" hidden="false" customHeight="false" outlineLevel="0" collapsed="false">
      <c r="B92" s="42" t="s">
        <v>93</v>
      </c>
      <c r="C92" s="46" t="s">
        <v>94</v>
      </c>
      <c r="D92" s="142" t="str">
        <f aca="false">IF(D65="","",D65-$D65)</f>
        <v/>
      </c>
      <c r="E92" s="142" t="str">
        <f aca="false">IF(E65="","",E65-$D65)</f>
        <v/>
      </c>
      <c r="F92" s="142" t="str">
        <f aca="false">IF(F65="","",F65-$D65)</f>
        <v/>
      </c>
      <c r="G92" s="142" t="str">
        <f aca="false">IF(G65="","",G65-$D65)</f>
        <v/>
      </c>
      <c r="H92" s="142" t="str">
        <f aca="false">IF(H65="","",H65-$D65)</f>
        <v/>
      </c>
      <c r="I92" s="142" t="str">
        <f aca="false">IF(I65="","",I65-$D65)</f>
        <v/>
      </c>
      <c r="J92" s="142" t="str">
        <f aca="false">IF(J65="","",J65-$D65)</f>
        <v/>
      </c>
    </row>
    <row r="93" customFormat="false" ht="15" hidden="false" customHeight="false" outlineLevel="0" collapsed="false">
      <c r="B93" s="42" t="s">
        <v>98</v>
      </c>
      <c r="C93" s="46" t="s">
        <v>99</v>
      </c>
      <c r="D93" s="142" t="str">
        <f aca="false">IF(D66="","",D66-$D66)</f>
        <v/>
      </c>
      <c r="E93" s="142" t="str">
        <f aca="false">IF(E66="","",E66-$D66)</f>
        <v/>
      </c>
      <c r="F93" s="142" t="str">
        <f aca="false">IF(F66="","",F66-$D66)</f>
        <v/>
      </c>
      <c r="G93" s="142" t="str">
        <f aca="false">IF(G66="","",G66-$D66)</f>
        <v/>
      </c>
      <c r="H93" s="142" t="str">
        <f aca="false">IF(H66="","",H66-$D66)</f>
        <v/>
      </c>
      <c r="I93" s="142" t="str">
        <f aca="false">IF(I66="","",I66-$D66)</f>
        <v/>
      </c>
      <c r="J93" s="142" t="str">
        <f aca="false">IF(J66="","",J66-$D66)</f>
        <v/>
      </c>
    </row>
    <row r="94" customFormat="false" ht="15" hidden="false" customHeight="false" outlineLevel="0" collapsed="false">
      <c r="B94" s="42" t="s">
        <v>106</v>
      </c>
      <c r="C94" s="46" t="s">
        <v>107</v>
      </c>
      <c r="D94" s="142" t="str">
        <f aca="false">IF(D67="","",D67-$D67)</f>
        <v/>
      </c>
      <c r="E94" s="142" t="str">
        <f aca="false">IF(E67="","",E67-$D67)</f>
        <v/>
      </c>
      <c r="F94" s="142" t="str">
        <f aca="false">IF(F67="","",F67-$D67)</f>
        <v/>
      </c>
      <c r="G94" s="142" t="str">
        <f aca="false">IF(G67="","",G67-$D67)</f>
        <v/>
      </c>
      <c r="H94" s="142" t="str">
        <f aca="false">IF(H67="","",H67-$D67)</f>
        <v/>
      </c>
      <c r="I94" s="142" t="str">
        <f aca="false">IF(I67="","",I67-$D67)</f>
        <v/>
      </c>
      <c r="J94" s="142" t="str">
        <f aca="false">IF(J67="","",J67-$D67)</f>
        <v/>
      </c>
    </row>
    <row r="95" customFormat="false" ht="15" hidden="false" customHeight="false" outlineLevel="0" collapsed="false">
      <c r="B95" s="42" t="s">
        <v>112</v>
      </c>
      <c r="C95" s="46" t="s">
        <v>113</v>
      </c>
      <c r="D95" s="142" t="n">
        <f aca="false">IF(D68="","",D68-$D68)</f>
        <v>0</v>
      </c>
      <c r="E95" s="142" t="n">
        <f aca="false">IF(E68="","",E68-$D68)</f>
        <v>0</v>
      </c>
      <c r="F95" s="142" t="n">
        <f aca="false">IF(F68="","",F68-$D68)</f>
        <v>1</v>
      </c>
      <c r="G95" s="142" t="n">
        <f aca="false">IF(G68="","",G68-$D68)</f>
        <v>1</v>
      </c>
      <c r="H95" s="142" t="n">
        <f aca="false">IF(H68="","",H68-$D68)</f>
        <v>2</v>
      </c>
      <c r="I95" s="142" t="n">
        <f aca="false">IF(I68="","",I68-$D68)</f>
        <v>2</v>
      </c>
      <c r="J95" s="142" t="n">
        <f aca="false">IF(J68="","",J68-$D68)</f>
        <v>0</v>
      </c>
    </row>
    <row r="96" customFormat="false" ht="15" hidden="false" customHeight="false" outlineLevel="0" collapsed="false">
      <c r="B96" s="42" t="s">
        <v>117</v>
      </c>
      <c r="C96" s="46" t="s">
        <v>118</v>
      </c>
      <c r="D96" s="142" t="str">
        <f aca="false">IF(D69="","",D69-$D69)</f>
        <v/>
      </c>
      <c r="E96" s="142" t="str">
        <f aca="false">IF(E69="","",E69-$D69)</f>
        <v/>
      </c>
      <c r="F96" s="142" t="str">
        <f aca="false">IF(F69="","",F69-$D69)</f>
        <v/>
      </c>
      <c r="G96" s="142" t="str">
        <f aca="false">IF(G69="","",G69-$D69)</f>
        <v/>
      </c>
      <c r="H96" s="142" t="str">
        <f aca="false">IF(H69="","",H69-$D69)</f>
        <v/>
      </c>
      <c r="I96" s="142" t="str">
        <f aca="false">IF(I69="","",I69-$D69)</f>
        <v/>
      </c>
      <c r="J96" s="142" t="str">
        <f aca="false">IF(J69="","",J69-$D69)</f>
        <v/>
      </c>
    </row>
    <row r="97" customFormat="false" ht="15" hidden="false" customHeight="false" outlineLevel="0" collapsed="false">
      <c r="B97" s="42" t="s">
        <v>122</v>
      </c>
      <c r="C97" s="46" t="s">
        <v>123</v>
      </c>
      <c r="D97" s="142" t="str">
        <f aca="false">IF(D70="","",D70-$D70)</f>
        <v/>
      </c>
      <c r="E97" s="142" t="str">
        <f aca="false">IF(E70="","",E70-$D70)</f>
        <v/>
      </c>
      <c r="F97" s="142" t="str">
        <f aca="false">IF(F70="","",F70-$D70)</f>
        <v/>
      </c>
      <c r="G97" s="142" t="str">
        <f aca="false">IF(G70="","",G70-$D70)</f>
        <v/>
      </c>
      <c r="H97" s="142" t="str">
        <f aca="false">IF(H70="","",H70-$D70)</f>
        <v/>
      </c>
      <c r="I97" s="142" t="str">
        <f aca="false">IF(I70="","",I70-$D70)</f>
        <v/>
      </c>
      <c r="J97" s="142" t="str">
        <f aca="false">IF(J70="","",J70-$D70)</f>
        <v/>
      </c>
    </row>
    <row r="98" customFormat="false" ht="15" hidden="false" customHeight="false" outlineLevel="0" collapsed="false">
      <c r="B98" s="42" t="s">
        <v>127</v>
      </c>
      <c r="C98" s="46" t="s">
        <v>128</v>
      </c>
      <c r="D98" s="142" t="str">
        <f aca="false">IF(D71="","",D71-$D71)</f>
        <v/>
      </c>
      <c r="E98" s="142" t="str">
        <f aca="false">IF(E71="","",E71-$D71)</f>
        <v/>
      </c>
      <c r="F98" s="142" t="str">
        <f aca="false">IF(F71="","",F71-$D71)</f>
        <v/>
      </c>
      <c r="G98" s="142" t="str">
        <f aca="false">IF(G71="","",G71-$D71)</f>
        <v/>
      </c>
      <c r="H98" s="142" t="str">
        <f aca="false">IF(H71="","",H71-$D71)</f>
        <v/>
      </c>
      <c r="I98" s="142" t="str">
        <f aca="false">IF(I71="","",I71-$D71)</f>
        <v/>
      </c>
      <c r="J98" s="142" t="str">
        <f aca="false">IF(J71="","",J71-$D71)</f>
        <v/>
      </c>
    </row>
  </sheetData>
  <conditionalFormatting sqref="K27:K39">
    <cfRule type="cellIs" priority="2" operator="equal" aboveAverage="0" equalAverage="0" bottom="0" percent="0" rank="0" text="" dxfId="1">
      <formula>"Pass"</formula>
    </cfRule>
    <cfRule type="cellIs" priority="3" operator="equal" aboveAverage="0" equalAverage="0" bottom="0" percent="0" rank="0" text="" dxfId="1">
      <formula>"Eligible"</formula>
    </cfRule>
    <cfRule type="cellIs" priority="4" operator="equal" aboveAverage="0" equalAverage="0" bottom="0" percent="0" rank="0" text="" dxfId="1">
      <formula>"Verified feasible"</formula>
    </cfRule>
    <cfRule type="cellIs" priority="5" operator="equal" aboveAverage="0" equalAverage="0" bottom="0" percent="0" rank="0" text="" dxfId="2">
      <formula>"Conditional"</formula>
    </cfRule>
    <cfRule type="cellIs" priority="6" operator="equal" aboveAverage="0" equalAverage="0" bottom="0" percent="0" rank="0" text="" dxfId="2">
      <formula>"Conditionally eligible"</formula>
    </cfRule>
    <cfRule type="cellIs" priority="7" operator="equal" aboveAverage="0" equalAverage="0" bottom="0" percent="0" rank="0" text="" dxfId="2">
      <formula>"Pending"</formula>
    </cfRule>
    <cfRule type="cellIs" priority="8" operator="equal" aboveAverage="0" equalAverage="0" bottom="0" percent="0" rank="0" text="" dxfId="2">
      <formula>"Pending verification"</formula>
    </cfRule>
    <cfRule type="cellIs" priority="9" operator="equal" aboveAverage="0" equalAverage="0" bottom="0" percent="0" rank="0" text="" dxfId="2">
      <formula>"Not verified"</formula>
    </cfRule>
    <cfRule type="cellIs" priority="10" operator="equal" aboveAverage="0" equalAverage="0" bottom="0" percent="0" rank="0" text="" dxfId="0">
      <formula>"Fail"</formula>
    </cfRule>
    <cfRule type="cellIs" priority="11" operator="equal" aboveAverage="0" equalAverage="0" bottom="0" percent="0" rank="0" text="" dxfId="0">
      <formula>"Ineligible"</formula>
    </cfRule>
    <cfRule type="cellIs" priority="12" operator="equal" aboveAverage="0" equalAverage="0" bottom="0" percent="0" rank="0" text="" dxfId="0">
      <formula>"Not feasible"</formula>
    </cfRule>
  </conditionalFormatting>
  <conditionalFormatting sqref="K43:K55">
    <cfRule type="cellIs" priority="13" operator="equal" aboveAverage="0" equalAverage="0" bottom="0" percent="0" rank="0" text="" dxfId="1">
      <formula>"Pass"</formula>
    </cfRule>
    <cfRule type="cellIs" priority="14" operator="equal" aboveAverage="0" equalAverage="0" bottom="0" percent="0" rank="0" text="" dxfId="1">
      <formula>"Eligible"</formula>
    </cfRule>
    <cfRule type="cellIs" priority="15" operator="equal" aboveAverage="0" equalAverage="0" bottom="0" percent="0" rank="0" text="" dxfId="1">
      <formula>"Verified feasible"</formula>
    </cfRule>
    <cfRule type="cellIs" priority="16" operator="equal" aboveAverage="0" equalAverage="0" bottom="0" percent="0" rank="0" text="" dxfId="2">
      <formula>"Conditional"</formula>
    </cfRule>
    <cfRule type="cellIs" priority="17" operator="equal" aboveAverage="0" equalAverage="0" bottom="0" percent="0" rank="0" text="" dxfId="2">
      <formula>"Conditionally eligible"</formula>
    </cfRule>
    <cfRule type="cellIs" priority="18" operator="equal" aboveAverage="0" equalAverage="0" bottom="0" percent="0" rank="0" text="" dxfId="2">
      <formula>"Pending"</formula>
    </cfRule>
    <cfRule type="cellIs" priority="19" operator="equal" aboveAverage="0" equalAverage="0" bottom="0" percent="0" rank="0" text="" dxfId="2">
      <formula>"Pending verification"</formula>
    </cfRule>
    <cfRule type="cellIs" priority="20" operator="equal" aboveAverage="0" equalAverage="0" bottom="0" percent="0" rank="0" text="" dxfId="2">
      <formula>"Not verified"</formula>
    </cfRule>
    <cfRule type="cellIs" priority="21" operator="equal" aboveAverage="0" equalAverage="0" bottom="0" percent="0" rank="0" text="" dxfId="0">
      <formula>"Fail"</formula>
    </cfRule>
    <cfRule type="cellIs" priority="22" operator="equal" aboveAverage="0" equalAverage="0" bottom="0" percent="0" rank="0" text="" dxfId="0">
      <formula>"Ineligible"</formula>
    </cfRule>
    <cfRule type="cellIs" priority="23" operator="equal" aboveAverage="0" equalAverage="0" bottom="0" percent="0" rank="0" text="" dxfId="0">
      <formula>"Not feasible"</formula>
    </cfRule>
  </conditionalFormatting>
  <conditionalFormatting sqref="K59:K71">
    <cfRule type="cellIs" priority="24" operator="equal" aboveAverage="0" equalAverage="0" bottom="0" percent="0" rank="0" text="" dxfId="1">
      <formula>"Pass"</formula>
    </cfRule>
    <cfRule type="cellIs" priority="25" operator="equal" aboveAverage="0" equalAverage="0" bottom="0" percent="0" rank="0" text="" dxfId="1">
      <formula>"Eligible"</formula>
    </cfRule>
    <cfRule type="cellIs" priority="26" operator="equal" aboveAverage="0" equalAverage="0" bottom="0" percent="0" rank="0" text="" dxfId="1">
      <formula>"Verified feasible"</formula>
    </cfRule>
    <cfRule type="cellIs" priority="27" operator="equal" aboveAverage="0" equalAverage="0" bottom="0" percent="0" rank="0" text="" dxfId="2">
      <formula>"Conditional"</formula>
    </cfRule>
    <cfRule type="cellIs" priority="28" operator="equal" aboveAverage="0" equalAverage="0" bottom="0" percent="0" rank="0" text="" dxfId="2">
      <formula>"Conditionally eligible"</formula>
    </cfRule>
    <cfRule type="cellIs" priority="29" operator="equal" aboveAverage="0" equalAverage="0" bottom="0" percent="0" rank="0" text="" dxfId="2">
      <formula>"Pending"</formula>
    </cfRule>
    <cfRule type="cellIs" priority="30" operator="equal" aboveAverage="0" equalAverage="0" bottom="0" percent="0" rank="0" text="" dxfId="2">
      <formula>"Pending verification"</formula>
    </cfRule>
    <cfRule type="cellIs" priority="31" operator="equal" aboveAverage="0" equalAverage="0" bottom="0" percent="0" rank="0" text="" dxfId="2">
      <formula>"Not verified"</formula>
    </cfRule>
    <cfRule type="cellIs" priority="32" operator="equal" aboveAverage="0" equalAverage="0" bottom="0" percent="0" rank="0" text="" dxfId="0">
      <formula>"Fail"</formula>
    </cfRule>
    <cfRule type="cellIs" priority="33" operator="equal" aboveAverage="0" equalAverage="0" bottom="0" percent="0" rank="0" text="" dxfId="0">
      <formula>"Ineligible"</formula>
    </cfRule>
    <cfRule type="cellIs" priority="34" operator="equal" aboveAverage="0" equalAverage="0" bottom="0" percent="0" rank="0" text="" dxfId="0">
      <formula>"Not feasible"</formula>
    </cfRule>
  </conditionalFormatting>
  <conditionalFormatting sqref="D59:J71">
    <cfRule type="cellIs" priority="35" operator="equal" aboveAverage="0" equalAverage="0" bottom="0" percent="0" rank="0" text="" dxfId="1">
      <formula>1</formula>
    </cfRule>
  </conditionalFormatting>
  <conditionalFormatting sqref="F75:F81">
    <cfRule type="cellIs" priority="36" operator="equal" aboveAverage="0" equalAverage="0" bottom="0" percent="0" rank="0" text="" dxfId="1">
      <formula>"Pass"</formula>
    </cfRule>
    <cfRule type="cellIs" priority="37" operator="equal" aboveAverage="0" equalAverage="0" bottom="0" percent="0" rank="0" text="" dxfId="1">
      <formula>"Eligible"</formula>
    </cfRule>
    <cfRule type="cellIs" priority="38" operator="equal" aboveAverage="0" equalAverage="0" bottom="0" percent="0" rank="0" text="" dxfId="1">
      <formula>"Verified feasible"</formula>
    </cfRule>
    <cfRule type="cellIs" priority="39" operator="equal" aboveAverage="0" equalAverage="0" bottom="0" percent="0" rank="0" text="" dxfId="2">
      <formula>"Conditional"</formula>
    </cfRule>
    <cfRule type="cellIs" priority="40" operator="equal" aboveAverage="0" equalAverage="0" bottom="0" percent="0" rank="0" text="" dxfId="2">
      <formula>"Conditionally eligible"</formula>
    </cfRule>
    <cfRule type="cellIs" priority="41" operator="equal" aboveAverage="0" equalAverage="0" bottom="0" percent="0" rank="0" text="" dxfId="2">
      <formula>"Pending"</formula>
    </cfRule>
    <cfRule type="cellIs" priority="42" operator="equal" aboveAverage="0" equalAverage="0" bottom="0" percent="0" rank="0" text="" dxfId="2">
      <formula>"Pending verification"</formula>
    </cfRule>
    <cfRule type="cellIs" priority="43" operator="equal" aboveAverage="0" equalAverage="0" bottom="0" percent="0" rank="0" text="" dxfId="2">
      <formula>"Not verified"</formula>
    </cfRule>
    <cfRule type="cellIs" priority="44" operator="equal" aboveAverage="0" equalAverage="0" bottom="0" percent="0" rank="0" text="" dxfId="0">
      <formula>"Fail"</formula>
    </cfRule>
    <cfRule type="cellIs" priority="45" operator="equal" aboveAverage="0" equalAverage="0" bottom="0" percent="0" rank="0" text="" dxfId="0">
      <formula>"Ineligible"</formula>
    </cfRule>
    <cfRule type="cellIs" priority="46" operator="equal" aboveAverage="0" equalAverage="0" bottom="0" percent="0" rank="0" text="" dxfId="0">
      <formula>"Not feasible"</formula>
    </cfRule>
  </conditionalFormatting>
  <conditionalFormatting sqref="J75:J81">
    <cfRule type="cellIs" priority="47" operator="equal" aboveAverage="0" equalAverage="0" bottom="0" percent="0" rank="0" text="" dxfId="2">
      <formula>"Yes"</formula>
    </cfRule>
  </conditionalFormatting>
  <conditionalFormatting sqref="E86:J98">
    <cfRule type="cellIs" priority="48" operator="lessThan" aboveAverage="0" equalAverage="0" bottom="0" percent="0" rank="0" text="" dxfId="1">
      <formula>0</formula>
    </cfRule>
    <cfRule type="cellIs" priority="49"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K6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15"/>
    <col collapsed="false" customWidth="true" hidden="false" outlineLevel="0" max="4" min="4" style="0" width="60"/>
    <col collapsed="false" customWidth="true" hidden="false" outlineLevel="0" max="5" min="5" style="0" width="38"/>
    <col collapsed="false" customWidth="true" hidden="false" outlineLevel="0" max="6" min="6" style="0" width="20"/>
    <col collapsed="false" customWidth="true" hidden="false" outlineLevel="0" max="7" min="7" style="0" width="22"/>
    <col collapsed="false" customWidth="true" hidden="false" outlineLevel="0" max="8" min="8" style="0" width="11"/>
    <col collapsed="false" customWidth="true" hidden="false" outlineLevel="0" max="9" min="9" style="0" width="8"/>
    <col collapsed="false" customWidth="true" hidden="false" outlineLevel="0" max="11" min="10" style="0" width="32"/>
  </cols>
  <sheetData>
    <row r="1" customFormat="false" ht="17.35" hidden="false" customHeight="false" outlineLevel="0" collapsed="false">
      <c r="A1" s="28" t="s">
        <v>1503</v>
      </c>
    </row>
    <row r="2" customFormat="false" ht="15" hidden="false" customHeight="false" outlineLevel="0" collapsed="false">
      <c r="A2" s="2" t="s">
        <v>1504</v>
      </c>
    </row>
    <row r="3" customFormat="false" ht="30" hidden="false" customHeight="true" outlineLevel="0" collapsed="false">
      <c r="A3" s="107" t="s">
        <v>1505</v>
      </c>
      <c r="B3" s="143" t="s">
        <v>1506</v>
      </c>
      <c r="C3" s="143"/>
      <c r="D3" s="143"/>
      <c r="E3" s="143"/>
      <c r="F3" s="143"/>
      <c r="G3" s="143"/>
      <c r="H3" s="143"/>
      <c r="I3" s="143"/>
      <c r="J3" s="143"/>
      <c r="K3" s="143"/>
    </row>
    <row r="4" customFormat="false" ht="15" hidden="false" customHeight="false" outlineLevel="0" collapsed="false">
      <c r="A4" s="69" t="s">
        <v>1061</v>
      </c>
      <c r="B4" s="111" t="s">
        <v>1507</v>
      </c>
    </row>
    <row r="5" customFormat="false" ht="15" hidden="false" customHeight="false" outlineLevel="0" collapsed="false">
      <c r="A5" s="69" t="s">
        <v>314</v>
      </c>
      <c r="B5" s="111" t="s">
        <v>1508</v>
      </c>
    </row>
    <row r="6" customFormat="false" ht="15" hidden="false" customHeight="false" outlineLevel="0" collapsed="false">
      <c r="A6" s="69" t="s">
        <v>347</v>
      </c>
      <c r="B6" s="111" t="s">
        <v>1509</v>
      </c>
    </row>
    <row r="7" customFormat="false" ht="15" hidden="false" customHeight="false" outlineLevel="0" collapsed="false">
      <c r="A7" s="69" t="s">
        <v>1263</v>
      </c>
      <c r="B7" s="111" t="s">
        <v>1510</v>
      </c>
    </row>
    <row r="8" customFormat="false" ht="15" hidden="false" customHeight="false" outlineLevel="0" collapsed="false">
      <c r="A8" s="69" t="s">
        <v>301</v>
      </c>
      <c r="B8" s="111" t="s">
        <v>1511</v>
      </c>
    </row>
    <row r="10" customFormat="false" ht="30" hidden="false" customHeight="true" outlineLevel="0" collapsed="false">
      <c r="A10" s="8" t="s">
        <v>1512</v>
      </c>
      <c r="B10" s="8" t="s">
        <v>37</v>
      </c>
      <c r="C10" s="8" t="s">
        <v>12</v>
      </c>
      <c r="D10" s="8" t="s">
        <v>1513</v>
      </c>
      <c r="E10" s="8" t="s">
        <v>1514</v>
      </c>
      <c r="F10" s="8" t="s">
        <v>1515</v>
      </c>
      <c r="G10" s="8" t="s">
        <v>1516</v>
      </c>
      <c r="H10" s="8" t="s">
        <v>1517</v>
      </c>
      <c r="I10" s="8" t="s">
        <v>867</v>
      </c>
      <c r="J10" s="8" t="s">
        <v>47</v>
      </c>
      <c r="K10" s="8" t="s">
        <v>1518</v>
      </c>
    </row>
    <row r="11" customFormat="false" ht="45.75" hidden="false" customHeight="true" outlineLevel="0" collapsed="false">
      <c r="A11" s="29" t="s">
        <v>418</v>
      </c>
      <c r="B11" s="30" t="s">
        <v>49</v>
      </c>
      <c r="C11" s="30" t="s">
        <v>50</v>
      </c>
      <c r="D11" s="30" t="s">
        <v>1519</v>
      </c>
      <c r="E11" s="32" t="s">
        <v>53</v>
      </c>
      <c r="F11" s="30" t="s">
        <v>1520</v>
      </c>
      <c r="G11" s="30" t="s">
        <v>1521</v>
      </c>
      <c r="H11" s="29" t="s">
        <v>1522</v>
      </c>
      <c r="I11" s="29" t="s">
        <v>314</v>
      </c>
      <c r="J11" s="30" t="s">
        <v>1523</v>
      </c>
      <c r="K11" s="30" t="s">
        <v>1524</v>
      </c>
    </row>
    <row r="12" customFormat="false" ht="45.75" hidden="false" customHeight="true" outlineLevel="0" collapsed="false">
      <c r="A12" s="29" t="s">
        <v>1525</v>
      </c>
      <c r="B12" s="30" t="s">
        <v>49</v>
      </c>
      <c r="C12" s="30" t="s">
        <v>1526</v>
      </c>
      <c r="D12" s="30" t="s">
        <v>1527</v>
      </c>
      <c r="E12" s="32" t="s">
        <v>62</v>
      </c>
      <c r="F12" s="30" t="s">
        <v>1520</v>
      </c>
      <c r="G12" s="30" t="s">
        <v>1521</v>
      </c>
      <c r="H12" s="29" t="s">
        <v>1522</v>
      </c>
      <c r="I12" s="29" t="s">
        <v>314</v>
      </c>
      <c r="J12" s="30" t="s">
        <v>1528</v>
      </c>
      <c r="K12" s="30" t="s">
        <v>1529</v>
      </c>
    </row>
    <row r="13" customFormat="false" ht="45.75" hidden="false" customHeight="true" outlineLevel="0" collapsed="false">
      <c r="A13" s="29" t="s">
        <v>458</v>
      </c>
      <c r="B13" s="30" t="s">
        <v>49</v>
      </c>
      <c r="C13" s="30" t="s">
        <v>66</v>
      </c>
      <c r="D13" s="30" t="s">
        <v>1530</v>
      </c>
      <c r="E13" s="32" t="s">
        <v>68</v>
      </c>
      <c r="F13" s="30" t="s">
        <v>1520</v>
      </c>
      <c r="G13" s="30" t="s">
        <v>1521</v>
      </c>
      <c r="H13" s="29" t="s">
        <v>1522</v>
      </c>
      <c r="I13" s="29" t="s">
        <v>314</v>
      </c>
      <c r="J13" s="30" t="s">
        <v>1531</v>
      </c>
      <c r="K13" s="30" t="s">
        <v>1532</v>
      </c>
    </row>
    <row r="14" customFormat="false" ht="45.75" hidden="false" customHeight="true" outlineLevel="0" collapsed="false">
      <c r="A14" s="29" t="s">
        <v>455</v>
      </c>
      <c r="B14" s="30" t="s">
        <v>49</v>
      </c>
      <c r="C14" s="30" t="s">
        <v>1533</v>
      </c>
      <c r="D14" s="30" t="s">
        <v>1534</v>
      </c>
      <c r="E14" s="32" t="s">
        <v>1535</v>
      </c>
      <c r="F14" s="30" t="s">
        <v>1536</v>
      </c>
      <c r="G14" s="30" t="s">
        <v>1521</v>
      </c>
      <c r="H14" s="29" t="s">
        <v>1522</v>
      </c>
      <c r="I14" s="29" t="s">
        <v>347</v>
      </c>
      <c r="J14" s="30" t="s">
        <v>1537</v>
      </c>
      <c r="K14" s="30"/>
    </row>
    <row r="15" customFormat="false" ht="45.75" hidden="false" customHeight="true" outlineLevel="0" collapsed="false">
      <c r="A15" s="29" t="s">
        <v>1538</v>
      </c>
      <c r="B15" s="30" t="s">
        <v>49</v>
      </c>
      <c r="C15" s="30" t="s">
        <v>1539</v>
      </c>
      <c r="D15" s="30" t="s">
        <v>1540</v>
      </c>
      <c r="E15" s="32" t="s">
        <v>1541</v>
      </c>
      <c r="F15" s="30" t="s">
        <v>1536</v>
      </c>
      <c r="G15" s="30" t="s">
        <v>1521</v>
      </c>
      <c r="H15" s="29" t="s">
        <v>1522</v>
      </c>
      <c r="I15" s="29" t="s">
        <v>347</v>
      </c>
      <c r="J15" s="30" t="s">
        <v>1542</v>
      </c>
      <c r="K15" s="30"/>
    </row>
    <row r="16" customFormat="false" ht="45.75" hidden="false" customHeight="true" outlineLevel="0" collapsed="false">
      <c r="A16" s="29" t="s">
        <v>530</v>
      </c>
      <c r="B16" s="30" t="s">
        <v>49</v>
      </c>
      <c r="C16" s="30" t="s">
        <v>128</v>
      </c>
      <c r="D16" s="30" t="s">
        <v>1543</v>
      </c>
      <c r="E16" s="32" t="s">
        <v>1544</v>
      </c>
      <c r="F16" s="30" t="s">
        <v>1520</v>
      </c>
      <c r="G16" s="30" t="s">
        <v>1521</v>
      </c>
      <c r="H16" s="29" t="s">
        <v>1522</v>
      </c>
      <c r="I16" s="29" t="s">
        <v>314</v>
      </c>
      <c r="J16" s="30" t="s">
        <v>1545</v>
      </c>
      <c r="K16" s="30" t="s">
        <v>1546</v>
      </c>
    </row>
    <row r="17" customFormat="false" ht="45.75" hidden="false" customHeight="true" outlineLevel="0" collapsed="false">
      <c r="A17" s="29" t="s">
        <v>537</v>
      </c>
      <c r="B17" s="30" t="s">
        <v>49</v>
      </c>
      <c r="C17" s="30" t="s">
        <v>128</v>
      </c>
      <c r="D17" s="30" t="s">
        <v>1547</v>
      </c>
      <c r="E17" s="32" t="s">
        <v>130</v>
      </c>
      <c r="F17" s="30" t="s">
        <v>1520</v>
      </c>
      <c r="G17" s="30" t="s">
        <v>1521</v>
      </c>
      <c r="H17" s="29" t="s">
        <v>1522</v>
      </c>
      <c r="I17" s="29" t="s">
        <v>314</v>
      </c>
      <c r="J17" s="30" t="s">
        <v>1548</v>
      </c>
      <c r="K17" s="30"/>
    </row>
    <row r="18" customFormat="false" ht="45.75" hidden="false" customHeight="true" outlineLevel="0" collapsed="false">
      <c r="A18" s="29" t="s">
        <v>525</v>
      </c>
      <c r="B18" s="30" t="s">
        <v>49</v>
      </c>
      <c r="C18" s="30" t="s">
        <v>123</v>
      </c>
      <c r="D18" s="30" t="s">
        <v>1549</v>
      </c>
      <c r="E18" s="32" t="s">
        <v>125</v>
      </c>
      <c r="F18" s="30" t="s">
        <v>1520</v>
      </c>
      <c r="G18" s="30" t="s">
        <v>1521</v>
      </c>
      <c r="H18" s="29" t="s">
        <v>1522</v>
      </c>
      <c r="I18" s="29" t="s">
        <v>314</v>
      </c>
      <c r="J18" s="30" t="s">
        <v>1550</v>
      </c>
      <c r="K18" s="30" t="s">
        <v>1551</v>
      </c>
    </row>
    <row r="19" customFormat="false" ht="45.75" hidden="false" customHeight="true" outlineLevel="0" collapsed="false">
      <c r="A19" s="29" t="s">
        <v>517</v>
      </c>
      <c r="B19" s="30" t="s">
        <v>49</v>
      </c>
      <c r="C19" s="30" t="s">
        <v>118</v>
      </c>
      <c r="D19" s="30" t="s">
        <v>1552</v>
      </c>
      <c r="E19" s="32" t="s">
        <v>120</v>
      </c>
      <c r="F19" s="30" t="s">
        <v>1520</v>
      </c>
      <c r="G19" s="30" t="s">
        <v>1521</v>
      </c>
      <c r="H19" s="29" t="s">
        <v>1522</v>
      </c>
      <c r="I19" s="29" t="s">
        <v>314</v>
      </c>
      <c r="J19" s="30"/>
      <c r="K19" s="30" t="s">
        <v>1553</v>
      </c>
    </row>
    <row r="20" customFormat="false" ht="45.75" hidden="false" customHeight="true" outlineLevel="0" collapsed="false">
      <c r="A20" s="29" t="s">
        <v>134</v>
      </c>
      <c r="B20" s="30" t="s">
        <v>49</v>
      </c>
      <c r="C20" s="30" t="s">
        <v>142</v>
      </c>
      <c r="D20" s="30" t="s">
        <v>1554</v>
      </c>
      <c r="E20" s="32" t="s">
        <v>1555</v>
      </c>
      <c r="F20" s="30" t="s">
        <v>1520</v>
      </c>
      <c r="G20" s="30" t="s">
        <v>1521</v>
      </c>
      <c r="H20" s="29" t="s">
        <v>1522</v>
      </c>
      <c r="I20" s="29" t="s">
        <v>314</v>
      </c>
      <c r="J20" s="30" t="s">
        <v>1556</v>
      </c>
      <c r="K20" s="30" t="s">
        <v>1557</v>
      </c>
    </row>
    <row r="21" customFormat="false" ht="45.75" hidden="false" customHeight="true" outlineLevel="0" collapsed="false">
      <c r="A21" s="29" t="s">
        <v>511</v>
      </c>
      <c r="B21" s="30" t="s">
        <v>49</v>
      </c>
      <c r="C21" s="30" t="s">
        <v>113</v>
      </c>
      <c r="D21" s="30" t="s">
        <v>1558</v>
      </c>
      <c r="E21" s="32" t="s">
        <v>115</v>
      </c>
      <c r="F21" s="30" t="s">
        <v>1520</v>
      </c>
      <c r="G21" s="30" t="s">
        <v>1521</v>
      </c>
      <c r="H21" s="29" t="s">
        <v>1522</v>
      </c>
      <c r="I21" s="29" t="s">
        <v>314</v>
      </c>
      <c r="J21" s="30" t="s">
        <v>1559</v>
      </c>
      <c r="K21" s="30"/>
    </row>
    <row r="22" customFormat="false" ht="45.75" hidden="false" customHeight="true" outlineLevel="0" collapsed="false">
      <c r="A22" s="29" t="s">
        <v>489</v>
      </c>
      <c r="B22" s="30" t="s">
        <v>49</v>
      </c>
      <c r="C22" s="30" t="s">
        <v>94</v>
      </c>
      <c r="D22" s="30" t="s">
        <v>1560</v>
      </c>
      <c r="E22" s="32" t="s">
        <v>96</v>
      </c>
      <c r="F22" s="30" t="s">
        <v>1520</v>
      </c>
      <c r="G22" s="30" t="s">
        <v>1521</v>
      </c>
      <c r="H22" s="29" t="s">
        <v>1522</v>
      </c>
      <c r="I22" s="29" t="s">
        <v>314</v>
      </c>
      <c r="J22" s="30" t="s">
        <v>1561</v>
      </c>
      <c r="K22" s="30"/>
    </row>
    <row r="23" customFormat="false" ht="45.75" hidden="false" customHeight="true" outlineLevel="0" collapsed="false">
      <c r="A23" s="29" t="s">
        <v>503</v>
      </c>
      <c r="B23" s="30" t="s">
        <v>49</v>
      </c>
      <c r="C23" s="30" t="s">
        <v>107</v>
      </c>
      <c r="D23" s="30" t="s">
        <v>1562</v>
      </c>
      <c r="E23" s="32" t="s">
        <v>109</v>
      </c>
      <c r="F23" s="30" t="s">
        <v>1520</v>
      </c>
      <c r="G23" s="30" t="s">
        <v>1521</v>
      </c>
      <c r="H23" s="29" t="s">
        <v>1522</v>
      </c>
      <c r="I23" s="29" t="s">
        <v>314</v>
      </c>
      <c r="J23" s="30"/>
      <c r="K23" s="30"/>
    </row>
    <row r="24" customFormat="false" ht="45.75" hidden="false" customHeight="true" outlineLevel="0" collapsed="false">
      <c r="A24" s="29" t="s">
        <v>464</v>
      </c>
      <c r="B24" s="30" t="s">
        <v>49</v>
      </c>
      <c r="C24" s="30" t="s">
        <v>72</v>
      </c>
      <c r="D24" s="30" t="s">
        <v>1563</v>
      </c>
      <c r="E24" s="32" t="s">
        <v>74</v>
      </c>
      <c r="F24" s="30" t="s">
        <v>1520</v>
      </c>
      <c r="G24" s="30" t="s">
        <v>1521</v>
      </c>
      <c r="H24" s="29" t="s">
        <v>1522</v>
      </c>
      <c r="I24" s="29" t="s">
        <v>314</v>
      </c>
      <c r="J24" s="30" t="s">
        <v>1564</v>
      </c>
      <c r="K24" s="30"/>
    </row>
    <row r="25" customFormat="false" ht="45.75" hidden="false" customHeight="true" outlineLevel="0" collapsed="false">
      <c r="A25" s="29" t="s">
        <v>474</v>
      </c>
      <c r="B25" s="30" t="s">
        <v>49</v>
      </c>
      <c r="C25" s="30" t="s">
        <v>81</v>
      </c>
      <c r="D25" s="30" t="s">
        <v>1565</v>
      </c>
      <c r="E25" s="32" t="s">
        <v>83</v>
      </c>
      <c r="F25" s="30" t="s">
        <v>1520</v>
      </c>
      <c r="G25" s="30" t="s">
        <v>1521</v>
      </c>
      <c r="H25" s="29" t="s">
        <v>1522</v>
      </c>
      <c r="I25" s="29" t="s">
        <v>314</v>
      </c>
      <c r="J25" s="30" t="s">
        <v>1566</v>
      </c>
      <c r="K25" s="30" t="s">
        <v>1567</v>
      </c>
    </row>
    <row r="26" customFormat="false" ht="45.75" hidden="false" customHeight="true" outlineLevel="0" collapsed="false">
      <c r="A26" s="29" t="s">
        <v>499</v>
      </c>
      <c r="B26" s="30" t="s">
        <v>49</v>
      </c>
      <c r="C26" s="30" t="s">
        <v>99</v>
      </c>
      <c r="D26" s="30" t="s">
        <v>1568</v>
      </c>
      <c r="E26" s="32" t="s">
        <v>101</v>
      </c>
      <c r="F26" s="30" t="s">
        <v>1520</v>
      </c>
      <c r="G26" s="30" t="s">
        <v>1521</v>
      </c>
      <c r="H26" s="29" t="s">
        <v>1522</v>
      </c>
      <c r="I26" s="29" t="s">
        <v>314</v>
      </c>
      <c r="J26" s="30" t="s">
        <v>1569</v>
      </c>
      <c r="K26" s="30"/>
    </row>
    <row r="27" customFormat="false" ht="45.75" hidden="false" customHeight="true" outlineLevel="0" collapsed="false">
      <c r="A27" s="29" t="s">
        <v>484</v>
      </c>
      <c r="B27" s="30" t="s">
        <v>49</v>
      </c>
      <c r="C27" s="30" t="s">
        <v>87</v>
      </c>
      <c r="D27" s="30" t="s">
        <v>1570</v>
      </c>
      <c r="E27" s="32" t="s">
        <v>90</v>
      </c>
      <c r="F27" s="30" t="s">
        <v>1571</v>
      </c>
      <c r="G27" s="30" t="s">
        <v>1521</v>
      </c>
      <c r="H27" s="29" t="s">
        <v>1522</v>
      </c>
      <c r="I27" s="29" t="s">
        <v>347</v>
      </c>
      <c r="J27" s="30" t="s">
        <v>1572</v>
      </c>
      <c r="K27" s="30" t="s">
        <v>1573</v>
      </c>
    </row>
    <row r="28" customFormat="false" ht="45.75" hidden="false" customHeight="true" outlineLevel="0" collapsed="false">
      <c r="A28" s="29" t="s">
        <v>1574</v>
      </c>
      <c r="B28" s="30" t="s">
        <v>49</v>
      </c>
      <c r="C28" s="30" t="s">
        <v>1575</v>
      </c>
      <c r="D28" s="30" t="s">
        <v>1576</v>
      </c>
      <c r="E28" s="32" t="s">
        <v>1577</v>
      </c>
      <c r="F28" s="30" t="s">
        <v>1578</v>
      </c>
      <c r="G28" s="30" t="s">
        <v>1521</v>
      </c>
      <c r="H28" s="29" t="s">
        <v>1522</v>
      </c>
      <c r="I28" s="29" t="s">
        <v>314</v>
      </c>
      <c r="J28" s="30" t="s">
        <v>1579</v>
      </c>
      <c r="K28" s="30"/>
    </row>
    <row r="29" customFormat="false" ht="45.75" hidden="false" customHeight="true" outlineLevel="0" collapsed="false">
      <c r="A29" s="29" t="s">
        <v>1580</v>
      </c>
      <c r="B29" s="30" t="s">
        <v>49</v>
      </c>
      <c r="C29" s="30" t="s">
        <v>1581</v>
      </c>
      <c r="D29" s="30" t="s">
        <v>1582</v>
      </c>
      <c r="E29" s="32" t="s">
        <v>1583</v>
      </c>
      <c r="F29" s="30" t="s">
        <v>1578</v>
      </c>
      <c r="G29" s="30" t="s">
        <v>1521</v>
      </c>
      <c r="H29" s="29" t="s">
        <v>1522</v>
      </c>
      <c r="I29" s="29" t="s">
        <v>347</v>
      </c>
      <c r="J29" s="30" t="s">
        <v>1584</v>
      </c>
      <c r="K29" s="30"/>
    </row>
    <row r="30" customFormat="false" ht="45.75" hidden="false" customHeight="true" outlineLevel="0" collapsed="false">
      <c r="A30" s="29" t="s">
        <v>1585</v>
      </c>
      <c r="B30" s="30" t="s">
        <v>49</v>
      </c>
      <c r="C30" s="30" t="s">
        <v>1586</v>
      </c>
      <c r="D30" s="30" t="s">
        <v>1587</v>
      </c>
      <c r="E30" s="32" t="s">
        <v>1588</v>
      </c>
      <c r="F30" s="30" t="s">
        <v>1536</v>
      </c>
      <c r="G30" s="30" t="s">
        <v>1521</v>
      </c>
      <c r="H30" s="29" t="s">
        <v>1522</v>
      </c>
      <c r="I30" s="29" t="s">
        <v>347</v>
      </c>
      <c r="J30" s="30" t="s">
        <v>1589</v>
      </c>
      <c r="K30" s="30"/>
    </row>
    <row r="31" customFormat="false" ht="45.75" hidden="false" customHeight="true" outlineLevel="0" collapsed="false">
      <c r="A31" s="29" t="s">
        <v>1590</v>
      </c>
      <c r="B31" s="30" t="s">
        <v>1591</v>
      </c>
      <c r="C31" s="30" t="s">
        <v>1592</v>
      </c>
      <c r="D31" s="30" t="s">
        <v>1593</v>
      </c>
      <c r="E31" s="32" t="s">
        <v>1594</v>
      </c>
      <c r="F31" s="30" t="s">
        <v>1595</v>
      </c>
      <c r="G31" s="30" t="s">
        <v>1521</v>
      </c>
      <c r="H31" s="29" t="s">
        <v>1522</v>
      </c>
      <c r="I31" s="29" t="s">
        <v>347</v>
      </c>
      <c r="J31" s="30" t="s">
        <v>1596</v>
      </c>
      <c r="K31" s="30"/>
    </row>
    <row r="32" customFormat="false" ht="45.75" hidden="false" customHeight="true" outlineLevel="0" collapsed="false">
      <c r="A32" s="29" t="s">
        <v>1597</v>
      </c>
      <c r="B32" s="30" t="s">
        <v>1591</v>
      </c>
      <c r="C32" s="30" t="s">
        <v>1592</v>
      </c>
      <c r="D32" s="30" t="s">
        <v>1598</v>
      </c>
      <c r="E32" s="32" t="s">
        <v>1599</v>
      </c>
      <c r="F32" s="30" t="s">
        <v>1600</v>
      </c>
      <c r="G32" s="30" t="s">
        <v>1521</v>
      </c>
      <c r="H32" s="29" t="s">
        <v>1522</v>
      </c>
      <c r="I32" s="29" t="s">
        <v>1263</v>
      </c>
      <c r="J32" s="30" t="s">
        <v>1601</v>
      </c>
      <c r="K32" s="30"/>
    </row>
    <row r="33" customFormat="false" ht="45.75" hidden="false" customHeight="true" outlineLevel="0" collapsed="false">
      <c r="A33" s="29" t="s">
        <v>1602</v>
      </c>
      <c r="B33" s="30" t="s">
        <v>1603</v>
      </c>
      <c r="C33" s="30" t="s">
        <v>1604</v>
      </c>
      <c r="D33" s="30" t="s">
        <v>1605</v>
      </c>
      <c r="E33" s="32" t="s">
        <v>1606</v>
      </c>
      <c r="F33" s="30" t="s">
        <v>1607</v>
      </c>
      <c r="G33" s="30" t="s">
        <v>1521</v>
      </c>
      <c r="H33" s="29" t="s">
        <v>1522</v>
      </c>
      <c r="I33" s="29" t="s">
        <v>347</v>
      </c>
      <c r="J33" s="30" t="s">
        <v>1608</v>
      </c>
      <c r="K33" s="30"/>
    </row>
    <row r="34" customFormat="false" ht="45.75" hidden="false" customHeight="true" outlineLevel="0" collapsed="false">
      <c r="A34" s="29" t="s">
        <v>1609</v>
      </c>
      <c r="B34" s="30" t="s">
        <v>1610</v>
      </c>
      <c r="C34" s="30" t="s">
        <v>1604</v>
      </c>
      <c r="D34" s="30" t="s">
        <v>1611</v>
      </c>
      <c r="E34" s="32" t="s">
        <v>1612</v>
      </c>
      <c r="F34" s="30" t="s">
        <v>1613</v>
      </c>
      <c r="G34" s="30" t="s">
        <v>1521</v>
      </c>
      <c r="H34" s="29" t="s">
        <v>1522</v>
      </c>
      <c r="I34" s="29" t="s">
        <v>1263</v>
      </c>
      <c r="J34" s="30" t="s">
        <v>1614</v>
      </c>
      <c r="K34" s="30"/>
    </row>
    <row r="35" customFormat="false" ht="45.75" hidden="false" customHeight="true" outlineLevel="0" collapsed="false">
      <c r="A35" s="29" t="s">
        <v>1615</v>
      </c>
      <c r="B35" s="30" t="s">
        <v>1616</v>
      </c>
      <c r="C35" s="30" t="s">
        <v>1617</v>
      </c>
      <c r="D35" s="30" t="s">
        <v>1618</v>
      </c>
      <c r="E35" s="32" t="s">
        <v>1619</v>
      </c>
      <c r="F35" s="30" t="s">
        <v>1620</v>
      </c>
      <c r="G35" s="30" t="s">
        <v>1521</v>
      </c>
      <c r="H35" s="29" t="s">
        <v>1522</v>
      </c>
      <c r="I35" s="29" t="s">
        <v>1263</v>
      </c>
      <c r="J35" s="30"/>
      <c r="K35" s="30"/>
    </row>
    <row r="36" customFormat="false" ht="45.75" hidden="false" customHeight="true" outlineLevel="0" collapsed="false">
      <c r="A36" s="29" t="s">
        <v>1621</v>
      </c>
      <c r="B36" s="30" t="s">
        <v>49</v>
      </c>
      <c r="C36" s="30" t="s">
        <v>1622</v>
      </c>
      <c r="D36" s="30" t="s">
        <v>1623</v>
      </c>
      <c r="E36" s="32" t="s">
        <v>1624</v>
      </c>
      <c r="F36" s="30" t="s">
        <v>1625</v>
      </c>
      <c r="G36" s="30" t="s">
        <v>1521</v>
      </c>
      <c r="H36" s="29" t="s">
        <v>1522</v>
      </c>
      <c r="I36" s="29" t="s">
        <v>347</v>
      </c>
      <c r="J36" s="30" t="s">
        <v>1626</v>
      </c>
      <c r="K36" s="30"/>
    </row>
    <row r="37" customFormat="false" ht="45.75" hidden="false" customHeight="true" outlineLevel="0" collapsed="false">
      <c r="A37" s="29" t="s">
        <v>1072</v>
      </c>
      <c r="B37" s="30" t="s">
        <v>49</v>
      </c>
      <c r="C37" s="30" t="s">
        <v>1627</v>
      </c>
      <c r="D37" s="30" t="s">
        <v>1628</v>
      </c>
      <c r="E37" s="32" t="s">
        <v>1629</v>
      </c>
      <c r="F37" s="30" t="s">
        <v>1630</v>
      </c>
      <c r="G37" s="30" t="s">
        <v>1521</v>
      </c>
      <c r="H37" s="29" t="s">
        <v>1522</v>
      </c>
      <c r="I37" s="29" t="s">
        <v>347</v>
      </c>
      <c r="J37" s="30" t="s">
        <v>1631</v>
      </c>
      <c r="K37" s="30"/>
    </row>
    <row r="38" customFormat="false" ht="45.75" hidden="false" customHeight="true" outlineLevel="0" collapsed="false">
      <c r="A38" s="29" t="s">
        <v>1632</v>
      </c>
      <c r="B38" s="30" t="s">
        <v>49</v>
      </c>
      <c r="C38" s="30" t="s">
        <v>1633</v>
      </c>
      <c r="D38" s="30" t="s">
        <v>1634</v>
      </c>
      <c r="E38" s="32" t="s">
        <v>1635</v>
      </c>
      <c r="F38" s="30" t="s">
        <v>1636</v>
      </c>
      <c r="G38" s="30" t="s">
        <v>1521</v>
      </c>
      <c r="H38" s="29" t="s">
        <v>1522</v>
      </c>
      <c r="I38" s="29" t="s">
        <v>347</v>
      </c>
      <c r="J38" s="30" t="s">
        <v>1637</v>
      </c>
      <c r="K38" s="30"/>
    </row>
    <row r="39" customFormat="false" ht="45.75" hidden="false" customHeight="true" outlineLevel="0" collapsed="false">
      <c r="A39" s="29" t="s">
        <v>1638</v>
      </c>
      <c r="B39" s="30" t="s">
        <v>49</v>
      </c>
      <c r="C39" s="30" t="s">
        <v>1639</v>
      </c>
      <c r="D39" s="30" t="s">
        <v>1640</v>
      </c>
      <c r="E39" s="32" t="s">
        <v>1641</v>
      </c>
      <c r="F39" s="30" t="s">
        <v>1642</v>
      </c>
      <c r="G39" s="30" t="s">
        <v>1521</v>
      </c>
      <c r="H39" s="29" t="s">
        <v>1522</v>
      </c>
      <c r="I39" s="29" t="s">
        <v>1263</v>
      </c>
      <c r="J39" s="30" t="s">
        <v>1643</v>
      </c>
      <c r="K39" s="30"/>
    </row>
    <row r="40" customFormat="false" ht="45.75" hidden="false" customHeight="true" outlineLevel="0" collapsed="false">
      <c r="A40" s="29" t="s">
        <v>509</v>
      </c>
      <c r="B40" s="30" t="s">
        <v>49</v>
      </c>
      <c r="C40" s="30" t="s">
        <v>107</v>
      </c>
      <c r="D40" s="30" t="s">
        <v>1644</v>
      </c>
      <c r="E40" s="32" t="s">
        <v>1645</v>
      </c>
      <c r="F40" s="30" t="s">
        <v>1646</v>
      </c>
      <c r="G40" s="30" t="s">
        <v>1521</v>
      </c>
      <c r="H40" s="29" t="s">
        <v>1522</v>
      </c>
      <c r="I40" s="29" t="s">
        <v>347</v>
      </c>
      <c r="J40" s="30"/>
      <c r="K40" s="30" t="s">
        <v>1647</v>
      </c>
    </row>
    <row r="41" customFormat="false" ht="45.75" hidden="false" customHeight="true" outlineLevel="0" collapsed="false">
      <c r="A41" s="29" t="s">
        <v>1648</v>
      </c>
      <c r="B41" s="30" t="s">
        <v>49</v>
      </c>
      <c r="C41" s="30" t="s">
        <v>81</v>
      </c>
      <c r="D41" s="30" t="s">
        <v>1649</v>
      </c>
      <c r="E41" s="32" t="s">
        <v>1650</v>
      </c>
      <c r="F41" s="30" t="s">
        <v>1646</v>
      </c>
      <c r="G41" s="30" t="s">
        <v>1521</v>
      </c>
      <c r="H41" s="29" t="s">
        <v>1522</v>
      </c>
      <c r="I41" s="29" t="s">
        <v>1263</v>
      </c>
      <c r="J41" s="30"/>
      <c r="K41" s="30" t="s">
        <v>1651</v>
      </c>
    </row>
    <row r="42" customFormat="false" ht="45.75" hidden="false" customHeight="true" outlineLevel="0" collapsed="false">
      <c r="A42" s="29" t="s">
        <v>1652</v>
      </c>
      <c r="B42" s="30" t="s">
        <v>49</v>
      </c>
      <c r="C42" s="30" t="s">
        <v>1653</v>
      </c>
      <c r="D42" s="30" t="s">
        <v>1654</v>
      </c>
      <c r="E42" s="32" t="s">
        <v>1655</v>
      </c>
      <c r="F42" s="30" t="s">
        <v>1646</v>
      </c>
      <c r="G42" s="30" t="s">
        <v>1521</v>
      </c>
      <c r="H42" s="29" t="s">
        <v>1522</v>
      </c>
      <c r="I42" s="29" t="s">
        <v>1263</v>
      </c>
      <c r="J42" s="30" t="s">
        <v>1656</v>
      </c>
      <c r="K42" s="30"/>
    </row>
    <row r="43" customFormat="false" ht="45.75" hidden="false" customHeight="true" outlineLevel="0" collapsed="false">
      <c r="A43" s="29" t="s">
        <v>1657</v>
      </c>
      <c r="B43" s="30" t="s">
        <v>171</v>
      </c>
      <c r="C43" s="30" t="s">
        <v>1658</v>
      </c>
      <c r="D43" s="30" t="s">
        <v>1659</v>
      </c>
      <c r="E43" s="32" t="s">
        <v>1660</v>
      </c>
      <c r="F43" s="30" t="s">
        <v>1661</v>
      </c>
      <c r="G43" s="30" t="s">
        <v>1521</v>
      </c>
      <c r="H43" s="29" t="s">
        <v>1522</v>
      </c>
      <c r="I43" s="29" t="s">
        <v>314</v>
      </c>
      <c r="J43" s="30"/>
      <c r="K43" s="30"/>
    </row>
    <row r="44" customFormat="false" ht="45.75" hidden="false" customHeight="true" outlineLevel="0" collapsed="false">
      <c r="A44" s="29" t="s">
        <v>1662</v>
      </c>
      <c r="B44" s="30" t="s">
        <v>171</v>
      </c>
      <c r="C44" s="30" t="s">
        <v>1663</v>
      </c>
      <c r="D44" s="30" t="s">
        <v>1664</v>
      </c>
      <c r="E44" s="32" t="s">
        <v>1665</v>
      </c>
      <c r="F44" s="30" t="s">
        <v>1661</v>
      </c>
      <c r="G44" s="30" t="s">
        <v>1521</v>
      </c>
      <c r="H44" s="29" t="s">
        <v>1522</v>
      </c>
      <c r="I44" s="29" t="s">
        <v>314</v>
      </c>
      <c r="J44" s="30" t="s">
        <v>1666</v>
      </c>
      <c r="K44" s="30"/>
    </row>
    <row r="45" customFormat="false" ht="45.75" hidden="false" customHeight="true" outlineLevel="0" collapsed="false">
      <c r="A45" s="29" t="s">
        <v>1667</v>
      </c>
      <c r="B45" s="30" t="s">
        <v>171</v>
      </c>
      <c r="C45" s="30" t="s">
        <v>1668</v>
      </c>
      <c r="D45" s="30" t="s">
        <v>1669</v>
      </c>
      <c r="E45" s="32" t="s">
        <v>1670</v>
      </c>
      <c r="F45" s="30" t="s">
        <v>1661</v>
      </c>
      <c r="G45" s="30" t="s">
        <v>1521</v>
      </c>
      <c r="H45" s="29" t="s">
        <v>1522</v>
      </c>
      <c r="I45" s="29" t="s">
        <v>314</v>
      </c>
      <c r="J45" s="30"/>
      <c r="K45" s="30"/>
    </row>
    <row r="46" customFormat="false" ht="45.75" hidden="false" customHeight="true" outlineLevel="0" collapsed="false">
      <c r="A46" s="29" t="s">
        <v>1671</v>
      </c>
      <c r="B46" s="30" t="s">
        <v>1672</v>
      </c>
      <c r="C46" s="30" t="s">
        <v>1673</v>
      </c>
      <c r="D46" s="30" t="s">
        <v>1674</v>
      </c>
      <c r="E46" s="32" t="s">
        <v>1675</v>
      </c>
      <c r="F46" s="30" t="s">
        <v>1676</v>
      </c>
      <c r="G46" s="30" t="s">
        <v>1521</v>
      </c>
      <c r="H46" s="29" t="s">
        <v>1522</v>
      </c>
      <c r="I46" s="29" t="s">
        <v>314</v>
      </c>
      <c r="J46" s="30" t="s">
        <v>1677</v>
      </c>
      <c r="K46" s="30"/>
    </row>
    <row r="47" customFormat="false" ht="45.75" hidden="false" customHeight="true" outlineLevel="0" collapsed="false">
      <c r="A47" s="29" t="s">
        <v>1678</v>
      </c>
      <c r="B47" s="30" t="s">
        <v>1672</v>
      </c>
      <c r="C47" s="30" t="s">
        <v>1679</v>
      </c>
      <c r="D47" s="30" t="s">
        <v>1680</v>
      </c>
      <c r="E47" s="32" t="s">
        <v>1681</v>
      </c>
      <c r="F47" s="30" t="s">
        <v>1676</v>
      </c>
      <c r="G47" s="30" t="s">
        <v>1521</v>
      </c>
      <c r="H47" s="29" t="s">
        <v>1522</v>
      </c>
      <c r="I47" s="29" t="s">
        <v>314</v>
      </c>
      <c r="J47" s="30" t="s">
        <v>1682</v>
      </c>
      <c r="K47" s="30"/>
    </row>
    <row r="48" customFormat="false" ht="45.75" hidden="false" customHeight="true" outlineLevel="0" collapsed="false">
      <c r="A48" s="29" t="s">
        <v>1076</v>
      </c>
      <c r="B48" s="30" t="s">
        <v>1683</v>
      </c>
      <c r="C48" s="30" t="s">
        <v>1684</v>
      </c>
      <c r="D48" s="30" t="s">
        <v>1685</v>
      </c>
      <c r="E48" s="30" t="s">
        <v>1686</v>
      </c>
      <c r="F48" s="30" t="s">
        <v>1687</v>
      </c>
      <c r="G48" s="30" t="s">
        <v>1688</v>
      </c>
      <c r="H48" s="29" t="s">
        <v>1689</v>
      </c>
      <c r="I48" s="29" t="s">
        <v>314</v>
      </c>
      <c r="J48" s="30" t="s">
        <v>1690</v>
      </c>
      <c r="K48" s="30"/>
    </row>
    <row r="49" customFormat="false" ht="45.75" hidden="false" customHeight="true" outlineLevel="0" collapsed="false">
      <c r="A49" s="29" t="s">
        <v>467</v>
      </c>
      <c r="B49" s="30" t="s">
        <v>1691</v>
      </c>
      <c r="C49" s="30" t="s">
        <v>1692</v>
      </c>
      <c r="D49" s="30" t="s">
        <v>1693</v>
      </c>
      <c r="E49" s="30" t="s">
        <v>1694</v>
      </c>
      <c r="F49" s="30" t="s">
        <v>1695</v>
      </c>
      <c r="G49" s="30" t="s">
        <v>1688</v>
      </c>
      <c r="H49" s="29" t="s">
        <v>1689</v>
      </c>
      <c r="I49" s="29" t="s">
        <v>314</v>
      </c>
      <c r="J49" s="30" t="s">
        <v>1696</v>
      </c>
      <c r="K49" s="30" t="s">
        <v>1697</v>
      </c>
    </row>
    <row r="50" customFormat="false" ht="45.75" hidden="false" customHeight="true" outlineLevel="0" collapsed="false">
      <c r="A50" s="29" t="s">
        <v>649</v>
      </c>
      <c r="B50" s="30" t="s">
        <v>1683</v>
      </c>
      <c r="C50" s="30" t="s">
        <v>1698</v>
      </c>
      <c r="D50" s="30" t="s">
        <v>1699</v>
      </c>
      <c r="E50" s="30" t="s">
        <v>642</v>
      </c>
      <c r="F50" s="30" t="s">
        <v>1700</v>
      </c>
      <c r="G50" s="30" t="s">
        <v>1688</v>
      </c>
      <c r="H50" s="29" t="s">
        <v>1689</v>
      </c>
      <c r="I50" s="29" t="s">
        <v>314</v>
      </c>
      <c r="J50" s="30" t="s">
        <v>1701</v>
      </c>
      <c r="K50" s="30"/>
    </row>
    <row r="51" customFormat="false" ht="45.75" hidden="false" customHeight="true" outlineLevel="0" collapsed="false">
      <c r="A51" s="29" t="s">
        <v>658</v>
      </c>
      <c r="B51" s="30" t="s">
        <v>1683</v>
      </c>
      <c r="C51" s="30" t="s">
        <v>1702</v>
      </c>
      <c r="D51" s="30" t="s">
        <v>1703</v>
      </c>
      <c r="E51" s="30" t="s">
        <v>651</v>
      </c>
      <c r="F51" s="30" t="s">
        <v>1700</v>
      </c>
      <c r="G51" s="30" t="s">
        <v>1688</v>
      </c>
      <c r="H51" s="29" t="s">
        <v>1689</v>
      </c>
      <c r="I51" s="29" t="s">
        <v>314</v>
      </c>
      <c r="J51" s="30" t="s">
        <v>1704</v>
      </c>
      <c r="K51" s="30" t="s">
        <v>1705</v>
      </c>
    </row>
    <row r="52" customFormat="false" ht="45.75" hidden="false" customHeight="true" outlineLevel="0" collapsed="false">
      <c r="A52" s="29" t="s">
        <v>667</v>
      </c>
      <c r="B52" s="30" t="s">
        <v>1683</v>
      </c>
      <c r="C52" s="30" t="s">
        <v>1706</v>
      </c>
      <c r="D52" s="30" t="s">
        <v>1707</v>
      </c>
      <c r="E52" s="30" t="s">
        <v>660</v>
      </c>
      <c r="F52" s="30" t="s">
        <v>1708</v>
      </c>
      <c r="G52" s="30" t="s">
        <v>1688</v>
      </c>
      <c r="H52" s="29" t="s">
        <v>1689</v>
      </c>
      <c r="I52" s="29" t="s">
        <v>314</v>
      </c>
      <c r="J52" s="30" t="s">
        <v>1709</v>
      </c>
      <c r="K52" s="30" t="s">
        <v>1710</v>
      </c>
    </row>
    <row r="53" customFormat="false" ht="45.75" hidden="false" customHeight="true" outlineLevel="0" collapsed="false">
      <c r="A53" s="29" t="s">
        <v>1711</v>
      </c>
      <c r="B53" s="30" t="s">
        <v>1683</v>
      </c>
      <c r="C53" s="30" t="s">
        <v>1712</v>
      </c>
      <c r="D53" s="30" t="s">
        <v>1713</v>
      </c>
      <c r="E53" s="30" t="s">
        <v>1714</v>
      </c>
      <c r="F53" s="30" t="s">
        <v>1715</v>
      </c>
      <c r="G53" s="30" t="s">
        <v>1688</v>
      </c>
      <c r="H53" s="29" t="s">
        <v>1689</v>
      </c>
      <c r="I53" s="29" t="s">
        <v>314</v>
      </c>
      <c r="J53" s="30" t="s">
        <v>1716</v>
      </c>
      <c r="K53" s="30"/>
    </row>
    <row r="54" customFormat="false" ht="45.75" hidden="false" customHeight="true" outlineLevel="0" collapsed="false">
      <c r="A54" s="29" t="s">
        <v>1234</v>
      </c>
      <c r="B54" s="30" t="s">
        <v>1717</v>
      </c>
      <c r="C54" s="30" t="s">
        <v>1718</v>
      </c>
      <c r="D54" s="30" t="s">
        <v>1719</v>
      </c>
      <c r="E54" s="32" t="s">
        <v>1720</v>
      </c>
      <c r="F54" s="30" t="s">
        <v>1721</v>
      </c>
      <c r="G54" s="30" t="s">
        <v>1722</v>
      </c>
      <c r="H54" s="29" t="s">
        <v>1522</v>
      </c>
      <c r="I54" s="29" t="s">
        <v>314</v>
      </c>
      <c r="J54" s="30"/>
      <c r="K54" s="30"/>
    </row>
    <row r="55" customFormat="false" ht="45.75" hidden="false" customHeight="true" outlineLevel="0" collapsed="false">
      <c r="A55" s="29" t="s">
        <v>1240</v>
      </c>
      <c r="B55" s="30" t="s">
        <v>1717</v>
      </c>
      <c r="C55" s="30" t="s">
        <v>1723</v>
      </c>
      <c r="D55" s="30" t="s">
        <v>1724</v>
      </c>
      <c r="E55" s="32" t="s">
        <v>1725</v>
      </c>
      <c r="F55" s="30" t="s">
        <v>1721</v>
      </c>
      <c r="G55" s="30" t="s">
        <v>1722</v>
      </c>
      <c r="H55" s="29" t="s">
        <v>1522</v>
      </c>
      <c r="I55" s="29" t="s">
        <v>314</v>
      </c>
      <c r="J55" s="30"/>
      <c r="K55" s="30"/>
    </row>
    <row r="56" customFormat="false" ht="45.75" hidden="false" customHeight="true" outlineLevel="0" collapsed="false">
      <c r="A56" s="29" t="s">
        <v>1246</v>
      </c>
      <c r="B56" s="30" t="s">
        <v>1717</v>
      </c>
      <c r="C56" s="30" t="s">
        <v>1726</v>
      </c>
      <c r="D56" s="30" t="s">
        <v>1727</v>
      </c>
      <c r="E56" s="32" t="s">
        <v>1728</v>
      </c>
      <c r="F56" s="30" t="s">
        <v>1721</v>
      </c>
      <c r="G56" s="30" t="s">
        <v>1722</v>
      </c>
      <c r="H56" s="29" t="s">
        <v>1522</v>
      </c>
      <c r="I56" s="29" t="s">
        <v>314</v>
      </c>
      <c r="J56" s="30"/>
      <c r="K56" s="30"/>
    </row>
    <row r="57" customFormat="false" ht="45.75" hidden="false" customHeight="true" outlineLevel="0" collapsed="false">
      <c r="A57" s="29" t="s">
        <v>1243</v>
      </c>
      <c r="B57" s="30" t="s">
        <v>1717</v>
      </c>
      <c r="C57" s="30" t="s">
        <v>1729</v>
      </c>
      <c r="D57" s="30" t="s">
        <v>1730</v>
      </c>
      <c r="E57" s="32" t="s">
        <v>1731</v>
      </c>
      <c r="F57" s="30" t="s">
        <v>1721</v>
      </c>
      <c r="G57" s="30" t="s">
        <v>1722</v>
      </c>
      <c r="H57" s="29" t="s">
        <v>1522</v>
      </c>
      <c r="I57" s="29" t="s">
        <v>314</v>
      </c>
      <c r="J57" s="30"/>
      <c r="K57" s="30"/>
    </row>
    <row r="58" customFormat="false" ht="45.75" hidden="false" customHeight="true" outlineLevel="0" collapsed="false">
      <c r="A58" s="29" t="s">
        <v>1249</v>
      </c>
      <c r="B58" s="30" t="s">
        <v>1717</v>
      </c>
      <c r="C58" s="30" t="s">
        <v>1732</v>
      </c>
      <c r="D58" s="30" t="s">
        <v>1733</v>
      </c>
      <c r="E58" s="32" t="s">
        <v>1734</v>
      </c>
      <c r="F58" s="30" t="s">
        <v>1721</v>
      </c>
      <c r="G58" s="30" t="s">
        <v>1722</v>
      </c>
      <c r="H58" s="29" t="s">
        <v>1522</v>
      </c>
      <c r="I58" s="29" t="s">
        <v>314</v>
      </c>
      <c r="J58" s="30"/>
      <c r="K58" s="30"/>
    </row>
    <row r="59" customFormat="false" ht="45.75" hidden="false" customHeight="true" outlineLevel="0" collapsed="false">
      <c r="A59" s="29" t="s">
        <v>1237</v>
      </c>
      <c r="B59" s="30" t="s">
        <v>1735</v>
      </c>
      <c r="C59" s="30" t="s">
        <v>1736</v>
      </c>
      <c r="D59" s="30" t="s">
        <v>1737</v>
      </c>
      <c r="E59" s="32" t="s">
        <v>1738</v>
      </c>
      <c r="F59" s="30" t="s">
        <v>1721</v>
      </c>
      <c r="G59" s="30" t="s">
        <v>1722</v>
      </c>
      <c r="H59" s="29" t="s">
        <v>1522</v>
      </c>
      <c r="I59" s="29" t="s">
        <v>314</v>
      </c>
      <c r="J59" s="30" t="s">
        <v>1739</v>
      </c>
      <c r="K59" s="30"/>
    </row>
    <row r="60" customFormat="false" ht="45.75" hidden="false" customHeight="true" outlineLevel="0" collapsed="false">
      <c r="A60" s="29" t="s">
        <v>1740</v>
      </c>
      <c r="B60" s="30" t="s">
        <v>1741</v>
      </c>
      <c r="C60" s="30" t="s">
        <v>1742</v>
      </c>
      <c r="D60" s="30" t="s">
        <v>1743</v>
      </c>
      <c r="E60" s="30" t="s">
        <v>1744</v>
      </c>
      <c r="F60" s="30" t="s">
        <v>1745</v>
      </c>
      <c r="G60" s="30" t="s">
        <v>1521</v>
      </c>
      <c r="H60" s="29" t="s">
        <v>1522</v>
      </c>
      <c r="I60" s="29" t="s">
        <v>1263</v>
      </c>
      <c r="J60" s="30" t="s">
        <v>1746</v>
      </c>
      <c r="K60" s="30"/>
    </row>
    <row r="61" customFormat="false" ht="45.75" hidden="false" customHeight="true" outlineLevel="0" collapsed="false">
      <c r="A61" s="29" t="s">
        <v>1747</v>
      </c>
      <c r="B61" s="30" t="s">
        <v>49</v>
      </c>
      <c r="C61" s="30" t="s">
        <v>1748</v>
      </c>
      <c r="D61" s="30" t="s">
        <v>1749</v>
      </c>
      <c r="E61" s="32" t="s">
        <v>1750</v>
      </c>
      <c r="F61" s="30" t="s">
        <v>1536</v>
      </c>
      <c r="G61" s="30" t="s">
        <v>1521</v>
      </c>
      <c r="H61" s="29" t="s">
        <v>1522</v>
      </c>
      <c r="I61" s="29" t="s">
        <v>347</v>
      </c>
      <c r="J61" s="30"/>
      <c r="K61" s="30"/>
    </row>
    <row r="62" customFormat="false" ht="45.75" hidden="false" customHeight="true" outlineLevel="0" collapsed="false">
      <c r="A62" s="29" t="s">
        <v>1062</v>
      </c>
      <c r="B62" s="30" t="s">
        <v>49</v>
      </c>
      <c r="C62" s="30" t="s">
        <v>1751</v>
      </c>
      <c r="D62" s="30" t="s">
        <v>1752</v>
      </c>
      <c r="E62" s="30" t="s">
        <v>1753</v>
      </c>
      <c r="F62" s="30" t="s">
        <v>1754</v>
      </c>
      <c r="G62" s="30" t="s">
        <v>1755</v>
      </c>
      <c r="H62" s="29" t="s">
        <v>1522</v>
      </c>
      <c r="I62" s="29" t="s">
        <v>1061</v>
      </c>
      <c r="J62" s="30" t="s">
        <v>1756</v>
      </c>
      <c r="K62" s="30"/>
    </row>
  </sheetData>
  <autoFilter ref="A10:K62"/>
  <mergeCells count="1">
    <mergeCell ref="B3:K3"/>
  </mergeCells>
  <conditionalFormatting sqref="I11:I62">
    <cfRule type="cellIs" priority="2" operator="equal" aboveAverage="0" equalAverage="0" bottom="0" percent="0" rank="0" text="" dxfId="1">
      <formula>"Pass"</formula>
    </cfRule>
    <cfRule type="cellIs" priority="3" operator="equal" aboveAverage="0" equalAverage="0" bottom="0" percent="0" rank="0" text="" dxfId="1">
      <formula>"Eligible"</formula>
    </cfRule>
    <cfRule type="cellIs" priority="4" operator="equal" aboveAverage="0" equalAverage="0" bottom="0" percent="0" rank="0" text="" dxfId="1">
      <formula>"Verified feasible"</formula>
    </cfRule>
    <cfRule type="cellIs" priority="5" operator="equal" aboveAverage="0" equalAverage="0" bottom="0" percent="0" rank="0" text="" dxfId="2">
      <formula>"Conditional"</formula>
    </cfRule>
    <cfRule type="cellIs" priority="6" operator="equal" aboveAverage="0" equalAverage="0" bottom="0" percent="0" rank="0" text="" dxfId="2">
      <formula>"Conditionally eligible"</formula>
    </cfRule>
    <cfRule type="cellIs" priority="7" operator="equal" aboveAverage="0" equalAverage="0" bottom="0" percent="0" rank="0" text="" dxfId="2">
      <formula>"Pending"</formula>
    </cfRule>
    <cfRule type="cellIs" priority="8" operator="equal" aboveAverage="0" equalAverage="0" bottom="0" percent="0" rank="0" text="" dxfId="2">
      <formula>"Pending verification"</formula>
    </cfRule>
    <cfRule type="cellIs" priority="9" operator="equal" aboveAverage="0" equalAverage="0" bottom="0" percent="0" rank="0" text="" dxfId="2">
      <formula>"Not verified"</formula>
    </cfRule>
    <cfRule type="cellIs" priority="10" operator="equal" aboveAverage="0" equalAverage="0" bottom="0" percent="0" rank="0" text="" dxfId="0">
      <formula>"Fail"</formula>
    </cfRule>
    <cfRule type="cellIs" priority="11" operator="equal" aboveAverage="0" equalAverage="0" bottom="0" percent="0" rank="0" text="" dxfId="0">
      <formula>"Ineligible"</formula>
    </cfRule>
    <cfRule type="cellIs" priority="12" operator="equal" aboveAverage="0" equalAverage="0" bottom="0" percent="0" rank="0" text="" dxfId="0">
      <formula>"Not feasible"</formula>
    </cfRule>
    <cfRule type="cellIs" priority="13" operator="equal" aboveAverage="0" equalAverage="0" bottom="0" percent="0" rank="0" text="" dxfId="1">
      <formula>"A"</formula>
    </cfRule>
    <cfRule type="cellIs" priority="14" operator="equal" aboveAverage="0" equalAverage="0" bottom="0" percent="0" rank="0" text="" dxfId="1">
      <formula>"B"</formula>
    </cfRule>
    <cfRule type="cellIs" priority="15" operator="equal" aboveAverage="0" equalAverage="0" bottom="0" percent="0" rank="0" text="" dxfId="2">
      <formula>"C"</formula>
    </cfRule>
    <cfRule type="cellIs" priority="16" operator="equal" aboveAverage="0" equalAverage="0" bottom="0" percent="0" rank="0" text="" dxfId="2">
      <formula>"D"</formula>
    </cfRule>
    <cfRule type="cellIs" priority="17" operator="equal" aboveAverage="0" equalAverage="0" bottom="0" percent="0" rank="0" text="" dxfId="0">
      <formula>"X"</formula>
    </cfRule>
  </conditionalFormatting>
  <hyperlinks>
    <hyperlink ref="E11" r:id="rId1" display="https://www.iwonlex.net/products/vb10-medical-grade-screenless-health-band-with-ecg-and-hrv-monitoring/"/>
    <hyperlink ref="E12" r:id="rId2" display="https://www.iwonlex.net/products/wonlex-4g-cheap-gps-wifi-calling-cat1-kids-smart-watch-s10/"/>
    <hyperlink ref="E13" r:id="rId3" display="https://www.iwonlex.net/products/wonlex-ct34-4g-gps-screenless-sos-smart-band-for-seniors/"/>
    <hyperlink ref="E14" r:id="rId4" display="https://www.iwonlex.net/whole-products/senior-gps-watch/"/>
    <hyperlink ref="E15" r:id="rId5" display="https://www.iwonlex.net/whole-products/senior-gps-watch/4g-gps-senior-watch/"/>
    <hyperlink ref="E16" r:id="rId6" display="https://www.iwonlex.net/products/ct31-4g-senior-smart-band-with-one-touch-health-check-sos/"/>
    <hyperlink ref="E17" r:id="rId7" display="https://www.iwonlex.net/products/4g-ct31-screenless-senior-band-with-dual-big-button-and-big-battery/"/>
    <hyperlink ref="E18" r:id="rId8" display="https://www.iwonlex.net/products/wonlex-4g-cat1-hr-br-monitoring-gps-kids-watch-s8-with-wifi-sos/"/>
    <hyperlink ref="E19" r:id="rId9" display="https://www.iwonlex.net/products/wonlex-ct20s-4g-smart-watch-for-elderly-with-large-screen-and-fall-detection/"/>
    <hyperlink ref="E20" r:id="rId10" display="https://www.iwonlex.net/products/wonlex-4g-senior-smartwatch-ct10t-changable-strap-gps-sos-heart-rate-blood-pressure/"/>
    <hyperlink ref="E21" r:id="rId11" display="https://www.iwonlex.net/products/hw19-4g-senior-health-smartwatch-with-sos-and-gps/"/>
    <hyperlink ref="E22" r:id="rId12" display="https://www.iwonlex.net/products/wonlex-hw20-4g-gps-senior-health-smartwatch-with-air-pump-blood-pressure-monitor/"/>
    <hyperlink ref="E23" r:id="rId13" display="https://www.iwonlex.net/products/wonlex-4g-ble-medical-air-pump-smartwatch-hw20pro--precision-bp---senior-health-monitoring/"/>
    <hyperlink ref="E24" r:id="rId14" display="https://www.iwonlex.net/products/mf90-bluetooth-screenless-ecg---health-monitoring-band/"/>
    <hyperlink ref="E25" r:id="rId15" display="https://www.iwonlex.net/products/mf91-screenless-health-fitness-bracelet-for-gym-and-sports-monitoring-band/"/>
    <hyperlink ref="E26" r:id="rId16" display="https://www.iwonlex.net/products/mf91pro-medical-grade-screenless-health-band-with-ecg-and-hrv-monitoring/"/>
    <hyperlink ref="E27" r:id="rId17" display="https://www.iwonlex.net/top-5-smart-health-watches-for-seniors-aging-in-place/"/>
    <hyperlink ref="E28" r:id="rId18" display="https://www.iwonlex.net/smart-bracelet-solution/ksctracker/"/>
    <hyperlink ref="E29" r:id="rId19" display="https://www.iwonlex.net/smart-bracelet-solution/h-band/"/>
    <hyperlink ref="E30" r:id="rId20" display="https://www.iwonlex.net/whole-products/smart-watches/ecg-watch/"/>
    <hyperlink ref="E31" r:id="rId21" display="https://github.com/HBandSDK/Android_Ble_SDK"/>
    <hyperlink ref="E32" r:id="rId22" display="https://deepwiki.com/HBandSDK/Android_Ble_SDK/8.2-nordic-and-goodix-implementation"/>
    <hyperlink ref="E33" r:id="rId23" display="https://flespi.com/protocols/wonlex"/>
    <hyperlink ref="E34" r:id="rId24" display="https://www.traccar.org/forums/topic/watch-gps-device-from-wonlex/"/>
    <hyperlink ref="E35" r:id="rId25" display="https://github.com/faraganiev/yaqin-watch-protocol"/>
    <hyperlink ref="E36" r:id="rId26" display="https://www.iwonlex.net/images/PDF/company/Wonlex%20Company%20Profile.pdf"/>
    <hyperlink ref="E37" r:id="rId27" display="https://wonlex.en.alibaba.com/productlist-2.html?filterSimilar=true&amp;isGallery=Y&amp;filter=null"/>
    <hyperlink ref="E38" r:id="rId28" display="https://wonlexsmart.en.alibaba.com/company_profile.html"/>
    <hyperlink ref="E39" r:id="rId29" display="https://manuals.plus/m/6c48f2c3158afb461e9265c54391d5ab5d2693a2eb3fb79dc4dd815ad72d85f8"/>
    <hyperlink ref="E40" r:id="rId30" display="https://www.alibaba.com/product-detail/WONLEX-Newest-Design-HW20Pro-4G-Android_1601585492019.html"/>
    <hyperlink ref="E41" r:id="rId31" display="https://www.alibaba.com/product-detail/WONLEX-Hot-Selling-Smart-Bracket-MF91_1601735145301.html"/>
    <hyperlink ref="E42" r:id="rId32" display="https://wonlexgps.en.made-in-china.com/product/qOraQHJvAjVF/China-Wonlex-4G-Smart-Watch-S10-for-Elderly-Sos-Watch-GPS-Smartwatch-SIM-Card-WiFi-Elderly-Sos-Bracelet-Disabled-People-Health-Care.html"/>
    <hyperlink ref="E43" r:id="rId33" display="https://www.2mel.nl/wearable-sensor-product-development/"/>
    <hyperlink ref="E44" r:id="rId34" display="https://www.2mel.nl/wearable-health-patch/"/>
    <hyperlink ref="E45" r:id="rId35" display="https://www.2mel.nl/projects/activ8-physical-activity-monitor/"/>
    <hyperlink ref="E46" r:id="rId36" display="https://pmc.ncbi.nlm.nih.gov/articles/PMC7079304"/>
    <hyperlink ref="E47" r:id="rId37" display="https://pmc.ncbi.nlm.nih.gov/articles/PMC8981002"/>
    <hyperlink ref="E54" r:id="rId38" display="https://eur-lex.europa.eu/eli/reg/2016/679/oj"/>
    <hyperlink ref="E55" r:id="rId39" display="https://eur-lex.europa.eu/eli/reg/2017/745/oj"/>
    <hyperlink ref="E56" r:id="rId40" display="https://eur-lex.europa.eu/eli/reg_del/2022/30/oj"/>
    <hyperlink ref="E57" r:id="rId41" display="https://eur-lex.europa.eu/eli/reg/2024/1689/oj"/>
    <hyperlink ref="E58" r:id="rId42" display="https://eur-lex.europa.eu/eli/reg/2024/2847/oj"/>
    <hyperlink ref="E59" r:id="rId43" display="https://www.cnpd.pt/"/>
    <hyperlink ref="E61" r:id="rId44" display="https://www.iwonlex.net/whole-products/ai-wearables-lifestyle/smart-health-wearabl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30"/>
    <col collapsed="false" customWidth="true" hidden="false" outlineLevel="0" max="4" min="4" style="0" width="34"/>
    <col collapsed="false" customWidth="true" hidden="false" outlineLevel="0" max="5" min="5" style="0" width="9"/>
    <col collapsed="false" customWidth="true" hidden="false" outlineLevel="0" max="6" min="6" style="0" width="8"/>
    <col collapsed="false" customWidth="true" hidden="false" outlineLevel="0" max="7" min="7" style="0" width="60"/>
    <col collapsed="false" customWidth="true" hidden="false" outlineLevel="0" max="10" min="8" style="0" width="12"/>
  </cols>
  <sheetData>
    <row r="1" customFormat="false" ht="17.35" hidden="false" customHeight="false" outlineLevel="0" collapsed="false">
      <c r="A1" s="28" t="s">
        <v>1757</v>
      </c>
    </row>
    <row r="2" customFormat="false" ht="15" hidden="false" customHeight="false" outlineLevel="0" collapsed="false">
      <c r="A2" s="2" t="s">
        <v>1758</v>
      </c>
    </row>
    <row r="4" customFormat="false" ht="27.75" hidden="false" customHeight="true" outlineLevel="0" collapsed="false">
      <c r="A4" s="8" t="s">
        <v>11</v>
      </c>
      <c r="B4" s="8" t="s">
        <v>1759</v>
      </c>
      <c r="C4" s="8" t="s">
        <v>1760</v>
      </c>
      <c r="D4" s="8" t="s">
        <v>1761</v>
      </c>
      <c r="E4" s="8" t="s">
        <v>1762</v>
      </c>
      <c r="F4" s="8" t="s">
        <v>1763</v>
      </c>
      <c r="G4" s="8" t="s">
        <v>1764</v>
      </c>
      <c r="H4" s="8" t="s">
        <v>1765</v>
      </c>
      <c r="I4" s="8" t="s">
        <v>1766</v>
      </c>
      <c r="J4" s="8" t="s">
        <v>1767</v>
      </c>
    </row>
    <row r="5" customFormat="false" ht="39.75" hidden="false" customHeight="true" outlineLevel="0" collapsed="false">
      <c r="A5" s="29" t="n">
        <v>1</v>
      </c>
      <c r="B5" s="31" t="s">
        <v>60</v>
      </c>
      <c r="C5" s="30" t="s">
        <v>1768</v>
      </c>
      <c r="D5" s="30" t="s">
        <v>1769</v>
      </c>
      <c r="E5" s="29" t="s">
        <v>573</v>
      </c>
      <c r="F5" s="29" t="s">
        <v>1770</v>
      </c>
      <c r="G5" s="30" t="s">
        <v>1771</v>
      </c>
      <c r="H5" s="56" t="s">
        <v>1772</v>
      </c>
      <c r="I5" s="86"/>
      <c r="J5" s="86"/>
    </row>
    <row r="6" customFormat="false" ht="39.75" hidden="false" customHeight="true" outlineLevel="0" collapsed="false">
      <c r="A6" s="29" t="n">
        <v>2</v>
      </c>
      <c r="B6" s="31" t="s">
        <v>66</v>
      </c>
      <c r="C6" s="30" t="s">
        <v>1773</v>
      </c>
      <c r="D6" s="30" t="s">
        <v>1774</v>
      </c>
      <c r="E6" s="29" t="s">
        <v>573</v>
      </c>
      <c r="F6" s="29" t="s">
        <v>1770</v>
      </c>
      <c r="G6" s="30" t="s">
        <v>1775</v>
      </c>
      <c r="H6" s="56" t="s">
        <v>1772</v>
      </c>
      <c r="I6" s="86"/>
      <c r="J6" s="86"/>
    </row>
    <row r="7" customFormat="false" ht="39.75" hidden="false" customHeight="true" outlineLevel="0" collapsed="false">
      <c r="A7" s="29" t="n">
        <v>3</v>
      </c>
      <c r="B7" s="31" t="s">
        <v>66</v>
      </c>
      <c r="C7" s="30" t="s">
        <v>1776</v>
      </c>
      <c r="D7" s="30" t="s">
        <v>1777</v>
      </c>
      <c r="E7" s="29" t="s">
        <v>573</v>
      </c>
      <c r="F7" s="29" t="s">
        <v>1770</v>
      </c>
      <c r="G7" s="30" t="s">
        <v>1778</v>
      </c>
      <c r="H7" s="56" t="s">
        <v>1772</v>
      </c>
      <c r="I7" s="86"/>
      <c r="J7" s="86"/>
    </row>
    <row r="8" customFormat="false" ht="39.75" hidden="false" customHeight="true" outlineLevel="0" collapsed="false">
      <c r="A8" s="29" t="n">
        <v>4</v>
      </c>
      <c r="B8" s="31" t="s">
        <v>66</v>
      </c>
      <c r="C8" s="30" t="s">
        <v>1779</v>
      </c>
      <c r="D8" s="30" t="s">
        <v>1780</v>
      </c>
      <c r="E8" s="29" t="s">
        <v>1218</v>
      </c>
      <c r="F8" s="29" t="s">
        <v>1770</v>
      </c>
      <c r="G8" s="30" t="s">
        <v>1781</v>
      </c>
      <c r="H8" s="56" t="s">
        <v>1772</v>
      </c>
      <c r="I8" s="86"/>
      <c r="J8" s="86"/>
    </row>
    <row r="9" customFormat="false" ht="39.75" hidden="false" customHeight="true" outlineLevel="0" collapsed="false">
      <c r="A9" s="29" t="n">
        <v>5</v>
      </c>
      <c r="B9" s="31" t="s">
        <v>50</v>
      </c>
      <c r="C9" s="30" t="s">
        <v>1782</v>
      </c>
      <c r="D9" s="30" t="s">
        <v>1783</v>
      </c>
      <c r="E9" s="29" t="s">
        <v>573</v>
      </c>
      <c r="F9" s="29" t="s">
        <v>1770</v>
      </c>
      <c r="G9" s="30" t="s">
        <v>1784</v>
      </c>
      <c r="H9" s="56" t="s">
        <v>1772</v>
      </c>
      <c r="I9" s="86"/>
      <c r="J9" s="86"/>
    </row>
    <row r="10" customFormat="false" ht="39.75" hidden="false" customHeight="true" outlineLevel="0" collapsed="false">
      <c r="A10" s="29" t="n">
        <v>6</v>
      </c>
      <c r="B10" s="31" t="s">
        <v>50</v>
      </c>
      <c r="C10" s="30" t="s">
        <v>1785</v>
      </c>
      <c r="D10" s="30" t="s">
        <v>1786</v>
      </c>
      <c r="E10" s="29" t="s">
        <v>573</v>
      </c>
      <c r="F10" s="29" t="s">
        <v>1770</v>
      </c>
      <c r="G10" s="30" t="s">
        <v>1787</v>
      </c>
      <c r="H10" s="56" t="s">
        <v>1772</v>
      </c>
      <c r="I10" s="86"/>
      <c r="J10" s="86"/>
    </row>
    <row r="11" customFormat="false" ht="39.75" hidden="false" customHeight="true" outlineLevel="0" collapsed="false">
      <c r="A11" s="29" t="n">
        <v>7</v>
      </c>
      <c r="B11" s="31" t="s">
        <v>50</v>
      </c>
      <c r="C11" s="30" t="s">
        <v>1788</v>
      </c>
      <c r="D11" s="30" t="s">
        <v>1789</v>
      </c>
      <c r="E11" s="29" t="s">
        <v>573</v>
      </c>
      <c r="F11" s="29" t="s">
        <v>1770</v>
      </c>
      <c r="G11" s="30" t="s">
        <v>1790</v>
      </c>
      <c r="H11" s="56" t="s">
        <v>1772</v>
      </c>
      <c r="I11" s="86"/>
      <c r="J11" s="86"/>
    </row>
    <row r="12" customFormat="false" ht="39.75" hidden="false" customHeight="true" outlineLevel="0" collapsed="false">
      <c r="A12" s="29" t="n">
        <v>8</v>
      </c>
      <c r="B12" s="31" t="s">
        <v>113</v>
      </c>
      <c r="C12" s="30" t="s">
        <v>1791</v>
      </c>
      <c r="D12" s="30" t="s">
        <v>1792</v>
      </c>
      <c r="E12" s="29" t="s">
        <v>573</v>
      </c>
      <c r="F12" s="29" t="s">
        <v>1770</v>
      </c>
      <c r="G12" s="30" t="s">
        <v>1793</v>
      </c>
      <c r="H12" s="56" t="s">
        <v>1772</v>
      </c>
      <c r="I12" s="86"/>
      <c r="J12" s="86"/>
    </row>
    <row r="13" customFormat="false" ht="39.75" hidden="false" customHeight="true" outlineLevel="0" collapsed="false">
      <c r="A13" s="29" t="n">
        <v>9</v>
      </c>
      <c r="B13" s="31" t="s">
        <v>1794</v>
      </c>
      <c r="C13" s="30" t="s">
        <v>1795</v>
      </c>
      <c r="D13" s="30" t="s">
        <v>1796</v>
      </c>
      <c r="E13" s="29" t="s">
        <v>573</v>
      </c>
      <c r="F13" s="29" t="s">
        <v>1770</v>
      </c>
      <c r="G13" s="30" t="s">
        <v>1797</v>
      </c>
      <c r="H13" s="56" t="s">
        <v>1772</v>
      </c>
      <c r="I13" s="86"/>
      <c r="J13" s="86"/>
    </row>
    <row r="14" customFormat="false" ht="39.75" hidden="false" customHeight="true" outlineLevel="0" collapsed="false">
      <c r="A14" s="29" t="n">
        <v>10</v>
      </c>
      <c r="B14" s="31" t="s">
        <v>1798</v>
      </c>
      <c r="C14" s="30" t="s">
        <v>1799</v>
      </c>
      <c r="D14" s="30" t="s">
        <v>1800</v>
      </c>
      <c r="E14" s="29" t="s">
        <v>573</v>
      </c>
      <c r="F14" s="29" t="s">
        <v>1770</v>
      </c>
      <c r="G14" s="30" t="s">
        <v>1801</v>
      </c>
      <c r="H14" s="56" t="s">
        <v>1772</v>
      </c>
      <c r="I14" s="86"/>
      <c r="J14" s="86"/>
    </row>
    <row r="15" customFormat="false" ht="39.75" hidden="false" customHeight="true" outlineLevel="0" collapsed="false">
      <c r="A15" s="29" t="n">
        <v>11</v>
      </c>
      <c r="B15" s="31" t="s">
        <v>128</v>
      </c>
      <c r="C15" s="30" t="s">
        <v>1802</v>
      </c>
      <c r="D15" s="30" t="s">
        <v>1803</v>
      </c>
      <c r="E15" s="29" t="s">
        <v>573</v>
      </c>
      <c r="F15" s="29" t="s">
        <v>1770</v>
      </c>
      <c r="G15" s="30" t="s">
        <v>1804</v>
      </c>
      <c r="H15" s="56" t="s">
        <v>1772</v>
      </c>
      <c r="I15" s="86"/>
      <c r="J15" s="86"/>
    </row>
    <row r="16" customFormat="false" ht="39.75" hidden="false" customHeight="true" outlineLevel="0" collapsed="false">
      <c r="A16" s="29" t="n">
        <v>12</v>
      </c>
      <c r="B16" s="31" t="s">
        <v>1798</v>
      </c>
      <c r="C16" s="30" t="s">
        <v>1805</v>
      </c>
      <c r="D16" s="30" t="s">
        <v>1806</v>
      </c>
      <c r="E16" s="29" t="s">
        <v>573</v>
      </c>
      <c r="F16" s="29" t="s">
        <v>1770</v>
      </c>
      <c r="G16" s="30" t="s">
        <v>1807</v>
      </c>
      <c r="H16" s="56" t="s">
        <v>1772</v>
      </c>
      <c r="I16" s="86"/>
      <c r="J16" s="86"/>
    </row>
    <row r="17" customFormat="false" ht="39.75" hidden="false" customHeight="true" outlineLevel="0" collapsed="false">
      <c r="A17" s="29" t="n">
        <v>13</v>
      </c>
      <c r="B17" s="31" t="s">
        <v>1808</v>
      </c>
      <c r="C17" s="30" t="s">
        <v>1809</v>
      </c>
      <c r="D17" s="30" t="s">
        <v>1810</v>
      </c>
      <c r="E17" s="29" t="s">
        <v>573</v>
      </c>
      <c r="F17" s="29" t="s">
        <v>1770</v>
      </c>
      <c r="G17" s="30" t="s">
        <v>1811</v>
      </c>
      <c r="H17" s="56" t="s">
        <v>1772</v>
      </c>
      <c r="I17" s="86"/>
      <c r="J17" s="86"/>
    </row>
    <row r="18" customFormat="false" ht="39.75" hidden="false" customHeight="true" outlineLevel="0" collapsed="false">
      <c r="A18" s="29" t="n">
        <v>14</v>
      </c>
      <c r="B18" s="31" t="s">
        <v>50</v>
      </c>
      <c r="C18" s="30" t="s">
        <v>1812</v>
      </c>
      <c r="D18" s="30" t="s">
        <v>1813</v>
      </c>
      <c r="E18" s="29" t="s">
        <v>1218</v>
      </c>
      <c r="F18" s="29" t="s">
        <v>1814</v>
      </c>
      <c r="G18" s="30" t="s">
        <v>1815</v>
      </c>
      <c r="H18" s="56" t="s">
        <v>1772</v>
      </c>
      <c r="I18" s="86"/>
      <c r="J18" s="86"/>
    </row>
    <row r="19" customFormat="false" ht="39.75" hidden="false" customHeight="true" outlineLevel="0" collapsed="false">
      <c r="A19" s="29" t="n">
        <v>15</v>
      </c>
      <c r="B19" s="31" t="s">
        <v>113</v>
      </c>
      <c r="C19" s="30" t="s">
        <v>1816</v>
      </c>
      <c r="D19" s="30" t="s">
        <v>1817</v>
      </c>
      <c r="E19" s="29" t="s">
        <v>1218</v>
      </c>
      <c r="F19" s="29" t="s">
        <v>1814</v>
      </c>
      <c r="G19" s="30" t="s">
        <v>1818</v>
      </c>
      <c r="H19" s="56" t="s">
        <v>1772</v>
      </c>
      <c r="I19" s="86"/>
      <c r="J19" s="86"/>
    </row>
    <row r="20" customFormat="false" ht="39.75" hidden="false" customHeight="true" outlineLevel="0" collapsed="false">
      <c r="A20" s="29" t="n">
        <v>16</v>
      </c>
      <c r="B20" s="31" t="s">
        <v>1798</v>
      </c>
      <c r="C20" s="30" t="s">
        <v>1819</v>
      </c>
      <c r="D20" s="30" t="s">
        <v>1820</v>
      </c>
      <c r="E20" s="29" t="s">
        <v>573</v>
      </c>
      <c r="F20" s="29" t="s">
        <v>1814</v>
      </c>
      <c r="G20" s="30" t="s">
        <v>1821</v>
      </c>
      <c r="H20" s="56" t="s">
        <v>1772</v>
      </c>
      <c r="I20" s="86"/>
      <c r="J20" s="86"/>
    </row>
    <row r="21" customFormat="false" ht="39.75" hidden="false" customHeight="true" outlineLevel="0" collapsed="false">
      <c r="A21" s="29" t="n">
        <v>17</v>
      </c>
      <c r="B21" s="31" t="s">
        <v>1798</v>
      </c>
      <c r="C21" s="30" t="s">
        <v>1822</v>
      </c>
      <c r="D21" s="30" t="s">
        <v>1823</v>
      </c>
      <c r="E21" s="29" t="s">
        <v>1218</v>
      </c>
      <c r="F21" s="29" t="s">
        <v>1814</v>
      </c>
      <c r="G21" s="30" t="s">
        <v>1824</v>
      </c>
      <c r="H21" s="56" t="s">
        <v>1772</v>
      </c>
      <c r="I21" s="86"/>
      <c r="J21" s="86"/>
    </row>
    <row r="22" customFormat="false" ht="39.75" hidden="false" customHeight="true" outlineLevel="0" collapsed="false">
      <c r="A22" s="29" t="n">
        <v>18</v>
      </c>
      <c r="B22" s="31" t="s">
        <v>1798</v>
      </c>
      <c r="C22" s="30" t="s">
        <v>1825</v>
      </c>
      <c r="D22" s="30" t="s">
        <v>1826</v>
      </c>
      <c r="E22" s="29" t="s">
        <v>1218</v>
      </c>
      <c r="F22" s="29" t="s">
        <v>1814</v>
      </c>
      <c r="G22" s="30" t="s">
        <v>1827</v>
      </c>
      <c r="H22" s="56" t="s">
        <v>1772</v>
      </c>
      <c r="I22" s="86"/>
      <c r="J22" s="86"/>
    </row>
    <row r="23" customFormat="false" ht="39.75" hidden="false" customHeight="true" outlineLevel="0" collapsed="false">
      <c r="A23" s="29" t="n">
        <v>19</v>
      </c>
      <c r="B23" s="31" t="s">
        <v>1798</v>
      </c>
      <c r="C23" s="30" t="s">
        <v>1828</v>
      </c>
      <c r="D23" s="30" t="s">
        <v>1829</v>
      </c>
      <c r="E23" s="29" t="s">
        <v>1218</v>
      </c>
      <c r="F23" s="29" t="s">
        <v>1814</v>
      </c>
      <c r="G23" s="30" t="s">
        <v>1830</v>
      </c>
      <c r="H23" s="56" t="s">
        <v>1772</v>
      </c>
      <c r="I23" s="86"/>
      <c r="J23" s="86"/>
    </row>
    <row r="24" customFormat="false" ht="39.75" hidden="false" customHeight="true" outlineLevel="0" collapsed="false">
      <c r="A24" s="29" t="n">
        <v>20</v>
      </c>
      <c r="B24" s="31" t="s">
        <v>1798</v>
      </c>
      <c r="C24" s="30" t="s">
        <v>1831</v>
      </c>
      <c r="D24" s="30" t="s">
        <v>1832</v>
      </c>
      <c r="E24" s="29" t="s">
        <v>1218</v>
      </c>
      <c r="F24" s="29" t="s">
        <v>1814</v>
      </c>
      <c r="G24" s="30" t="s">
        <v>1833</v>
      </c>
      <c r="H24" s="56" t="s">
        <v>1772</v>
      </c>
      <c r="I24" s="86"/>
      <c r="J24" s="86"/>
    </row>
    <row r="25" customFormat="false" ht="39.75" hidden="false" customHeight="true" outlineLevel="0" collapsed="false">
      <c r="A25" s="29" t="n">
        <v>21</v>
      </c>
      <c r="B25" s="31" t="s">
        <v>99</v>
      </c>
      <c r="C25" s="30" t="s">
        <v>1834</v>
      </c>
      <c r="D25" s="30" t="s">
        <v>1835</v>
      </c>
      <c r="E25" s="29" t="s">
        <v>1218</v>
      </c>
      <c r="F25" s="29" t="s">
        <v>1814</v>
      </c>
      <c r="G25" s="30" t="s">
        <v>1836</v>
      </c>
      <c r="H25" s="56" t="s">
        <v>1772</v>
      </c>
      <c r="I25" s="86"/>
      <c r="J25" s="86"/>
    </row>
    <row r="26" customFormat="false" ht="39.75" hidden="false" customHeight="true" outlineLevel="0" collapsed="false">
      <c r="A26" s="29" t="n">
        <v>22</v>
      </c>
      <c r="B26" s="31" t="s">
        <v>81</v>
      </c>
      <c r="C26" s="30" t="s">
        <v>1837</v>
      </c>
      <c r="D26" s="30" t="s">
        <v>1838</v>
      </c>
      <c r="E26" s="29" t="s">
        <v>1198</v>
      </c>
      <c r="F26" s="29" t="s">
        <v>1839</v>
      </c>
      <c r="G26" s="30" t="s">
        <v>1840</v>
      </c>
      <c r="H26" s="56" t="s">
        <v>1772</v>
      </c>
      <c r="I26" s="86"/>
      <c r="J26" s="86"/>
    </row>
    <row r="27" customFormat="false" ht="39.75" hidden="false" customHeight="true" outlineLevel="0" collapsed="false">
      <c r="A27" s="29" t="n">
        <v>23</v>
      </c>
      <c r="B27" s="31" t="s">
        <v>87</v>
      </c>
      <c r="C27" s="30" t="s">
        <v>1841</v>
      </c>
      <c r="D27" s="30" t="s">
        <v>1842</v>
      </c>
      <c r="E27" s="29" t="s">
        <v>1218</v>
      </c>
      <c r="F27" s="29" t="s">
        <v>1839</v>
      </c>
      <c r="G27" s="30" t="s">
        <v>1843</v>
      </c>
      <c r="H27" s="56" t="s">
        <v>1772</v>
      </c>
      <c r="I27" s="86"/>
      <c r="J27" s="86"/>
    </row>
    <row r="28" customFormat="false" ht="39.75" hidden="false" customHeight="true" outlineLevel="0" collapsed="false">
      <c r="A28" s="29" t="n">
        <v>24</v>
      </c>
      <c r="B28" s="31" t="s">
        <v>1844</v>
      </c>
      <c r="C28" s="30" t="s">
        <v>1845</v>
      </c>
      <c r="D28" s="30" t="s">
        <v>1846</v>
      </c>
      <c r="E28" s="29" t="s">
        <v>1218</v>
      </c>
      <c r="F28" s="29" t="s">
        <v>1839</v>
      </c>
      <c r="G28" s="30" t="s">
        <v>1847</v>
      </c>
      <c r="H28" s="56" t="s">
        <v>1772</v>
      </c>
      <c r="I28" s="86"/>
      <c r="J28" s="86"/>
    </row>
    <row r="29" customFormat="false" ht="39.75" hidden="false" customHeight="true" outlineLevel="0" collapsed="false">
      <c r="A29" s="29" t="n">
        <v>25</v>
      </c>
      <c r="B29" s="31" t="s">
        <v>118</v>
      </c>
      <c r="C29" s="30" t="s">
        <v>1848</v>
      </c>
      <c r="D29" s="30" t="s">
        <v>1849</v>
      </c>
      <c r="E29" s="29" t="s">
        <v>1198</v>
      </c>
      <c r="F29" s="29" t="s">
        <v>1839</v>
      </c>
      <c r="G29" s="30" t="s">
        <v>1850</v>
      </c>
      <c r="H29" s="56" t="s">
        <v>1772</v>
      </c>
      <c r="I29" s="86"/>
      <c r="J29" s="86"/>
    </row>
    <row r="30" customFormat="false" ht="39.75" hidden="false" customHeight="true" outlineLevel="0" collapsed="false">
      <c r="A30" s="29" t="n">
        <v>26</v>
      </c>
      <c r="B30" s="31" t="s">
        <v>1851</v>
      </c>
      <c r="C30" s="30" t="s">
        <v>1852</v>
      </c>
      <c r="D30" s="30" t="s">
        <v>1853</v>
      </c>
      <c r="E30" s="29" t="s">
        <v>1198</v>
      </c>
      <c r="F30" s="29" t="s">
        <v>1839</v>
      </c>
      <c r="G30" s="30" t="s">
        <v>1854</v>
      </c>
      <c r="H30" s="56" t="s">
        <v>1772</v>
      </c>
      <c r="I30" s="86"/>
      <c r="J30" s="86"/>
    </row>
    <row r="31" customFormat="false" ht="39.75" hidden="false" customHeight="true" outlineLevel="0" collapsed="false">
      <c r="A31" s="29" t="n">
        <v>27</v>
      </c>
      <c r="B31" s="31" t="s">
        <v>171</v>
      </c>
      <c r="C31" s="30" t="s">
        <v>1855</v>
      </c>
      <c r="D31" s="30" t="s">
        <v>1856</v>
      </c>
      <c r="E31" s="29" t="s">
        <v>1198</v>
      </c>
      <c r="F31" s="29" t="s">
        <v>1839</v>
      </c>
      <c r="G31" s="30" t="s">
        <v>1857</v>
      </c>
      <c r="H31" s="56" t="s">
        <v>1772</v>
      </c>
      <c r="I31" s="86"/>
      <c r="J31" s="86"/>
    </row>
  </sheetData>
  <autoFilter ref="A4:J31"/>
  <conditionalFormatting sqref="F5:F31">
    <cfRule type="cellIs" priority="2" operator="equal" aboveAverage="0" equalAverage="0" bottom="0" percent="0" rank="0" text="" dxfId="0">
      <formula>"P1"</formula>
    </cfRule>
    <cfRule type="cellIs" priority="3" operator="equal" aboveAverage="0" equalAverage="0" bottom="0" percent="0" rank="0" text="" dxfId="2">
      <formula>"P2"</formula>
    </cfRule>
    <cfRule type="cellIs" priority="4" operator="equal" aboveAverage="0" equalAverage="0" bottom="0" percent="0" rank="0" text="" dxfId="14">
      <formula>"P3"</formula>
    </cfRule>
  </conditionalFormatting>
  <conditionalFormatting sqref="E5:E31">
    <cfRule type="cellIs" priority="5" operator="equal" aboveAverage="0" equalAverage="0" bottom="0" percent="0" rank="0" text="" dxfId="0">
      <formula>"High"</formula>
    </cfRule>
    <cfRule type="cellIs" priority="6" operator="equal" aboveAverage="0" equalAverage="0" bottom="0" percent="0" rank="0" text="" dxfId="2">
      <formula>"Medium"</formula>
    </cfRule>
    <cfRule type="cellIs" priority="7" operator="equal" aboveAverage="0" equalAverage="0" bottom="0" percent="0" rank="0" text="" dxfId="14">
      <formula>"Low"</formula>
    </cfRule>
  </conditionalFormatting>
  <conditionalFormatting sqref="H5:H31">
    <cfRule type="cellIs" priority="8" operator="equal" aboveAverage="0" equalAverage="0" bottom="0" percent="0" rank="0" text="" dxfId="1">
      <formula>"Verified"</formula>
    </cfRule>
  </conditionalFormatting>
  <dataValidations count="1">
    <dataValidation allowBlank="true" errorStyle="stop" operator="between" showDropDown="false" showErrorMessage="false" showInputMessage="false" sqref="H5:H31" type="list">
      <formula1>"Open,Requested,Answered,Verified,Not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8" min="3" style="0" width="20"/>
  </cols>
  <sheetData>
    <row r="1" customFormat="false" ht="17.35" hidden="false" customHeight="false" outlineLevel="0" collapsed="false">
      <c r="A1" s="28" t="s">
        <v>1858</v>
      </c>
    </row>
    <row r="2" customFormat="false" ht="15" hidden="false" customHeight="false" outlineLevel="0" collapsed="false">
      <c r="A2" s="2" t="s">
        <v>1859</v>
      </c>
    </row>
    <row r="4" customFormat="false" ht="15" hidden="false" customHeight="false" outlineLevel="0" collapsed="false">
      <c r="B4" s="7" t="s">
        <v>1860</v>
      </c>
      <c r="C4" s="7"/>
      <c r="D4" s="7"/>
      <c r="E4" s="7"/>
      <c r="F4" s="7"/>
      <c r="G4" s="7"/>
      <c r="H4" s="7"/>
    </row>
    <row r="5" customFormat="false" ht="19.5" hidden="false" customHeight="true" outlineLevel="0" collapsed="false">
      <c r="B5" s="144" t="s">
        <v>1861</v>
      </c>
      <c r="C5" s="145" t="str">
        <f aca="false">IF(COUNTIF('10 Scoring &amp; Weights'!$S$87:$S$99,"Eligible")=0,"None — no model passes all three mandatory gates (no supplier-verified data access yet)",'11 Ranking &amp; Shortlist'!C24)</f>
        <v>None — no model passes all three mandatory gates (no supplier-verified data access yet)</v>
      </c>
      <c r="D5" s="145"/>
      <c r="E5" s="145"/>
      <c r="F5" s="145"/>
      <c r="G5" s="145"/>
      <c r="H5" s="145"/>
    </row>
    <row r="6" customFormat="false" ht="19.5" hidden="false" customHeight="true" outlineLevel="0" collapsed="false">
      <c r="B6" s="144" t="s">
        <v>1862</v>
      </c>
      <c r="C6" s="145" t="str">
        <f aca="false">IF('11 Ranking &amp; Shortlist'!C41="","None — no model is conditionally eligible",'11 Ranking &amp; Shortlist'!C41&amp;"  ·  overall "&amp;TEXT('11 Ranking &amp; Shortlist'!D41,"0.0")&amp;"  ·  "&amp;'11 Ranking &amp; Shortlist'!I41&amp;"  ·  confidence "&amp;'11 Ranking &amp; Shortlist'!J41)</f>
        <v>HW19  ·  overall 55.8  ·  Conditionally eligible  ·  confidence Medium</v>
      </c>
      <c r="D6" s="145"/>
      <c r="E6" s="145"/>
      <c r="F6" s="145"/>
      <c r="G6" s="145"/>
      <c r="H6" s="145"/>
    </row>
    <row r="7" customFormat="false" ht="19.5" hidden="false" customHeight="true" outlineLevel="0" collapsed="false">
      <c r="B7" s="144" t="s">
        <v>1863</v>
      </c>
      <c r="C7" s="146" t="str">
        <f aca="false">IF('11 Ranking &amp; Shortlist'!C42="","—",'11 Ranking &amp; Shortlist'!C42&amp;"  ·  overall "&amp;TEXT('11 Ranking &amp; Shortlist'!D42,"0.0"))</f>
        <v>CT34  ·  overall 55.0</v>
      </c>
      <c r="D7" s="146"/>
      <c r="E7" s="146"/>
      <c r="F7" s="146"/>
      <c r="G7" s="146"/>
      <c r="H7" s="146"/>
    </row>
    <row r="8" customFormat="false" ht="19.5" hidden="false" customHeight="true" outlineLevel="0" collapsed="false">
      <c r="B8" s="144" t="s">
        <v>1864</v>
      </c>
      <c r="C8" s="146" t="str">
        <f aca="false">IF('11 Ranking &amp; Shortlist'!C43="","—",'11 Ranking &amp; Shortlist'!C43&amp;"  ·  overall "&amp;TEXT('11 Ranking &amp; Shortlist'!D43,"0.0"))</f>
        <v>VB10  ·  overall 53.2</v>
      </c>
      <c r="D8" s="146"/>
      <c r="E8" s="146"/>
      <c r="F8" s="146"/>
      <c r="G8" s="146"/>
      <c r="H8" s="146"/>
    </row>
    <row r="9" customFormat="false" ht="19.5" hidden="false" customHeight="true" outlineLevel="0" collapsed="false">
      <c r="B9" s="144" t="s">
        <v>1865</v>
      </c>
      <c r="C9" s="146" t="str">
        <f aca="false">IF('11 Ranking &amp; Shortlist'!C58="","—",'11 Ranking &amp; Shortlist'!C58&amp;"  ·  overall "&amp;TEXT('11 Ranking &amp; Shortlist'!D58,"0.0")&amp;"  ·  integration not yet evidenced")</f>
        <v>HW20  ·  overall 55.9  ·  integration not yet evidenced</v>
      </c>
      <c r="D9" s="146"/>
      <c r="E9" s="146"/>
      <c r="F9" s="146"/>
      <c r="G9" s="146"/>
      <c r="H9" s="146"/>
    </row>
    <row r="10" customFormat="false" ht="19.5" hidden="false" customHeight="true" outlineLevel="0" collapsed="false">
      <c r="B10" s="144" t="s">
        <v>1866</v>
      </c>
      <c r="C10" s="146" t="str">
        <f aca="false">'13 Sensitivity &amp; Scenarios'!D76</f>
        <v>HW19</v>
      </c>
      <c r="D10" s="146"/>
      <c r="E10" s="146"/>
      <c r="F10" s="146"/>
      <c r="G10" s="146"/>
      <c r="H10" s="146"/>
    </row>
    <row r="11" customFormat="false" ht="19.5" hidden="false" customHeight="true" outlineLevel="0" collapsed="false">
      <c r="B11" s="144" t="s">
        <v>1867</v>
      </c>
      <c r="C11" s="146" t="str">
        <f aca="false">'13 Sensitivity &amp; Scenarios'!D77</f>
        <v>VB10</v>
      </c>
      <c r="D11" s="146"/>
      <c r="E11" s="146"/>
      <c r="F11" s="146"/>
      <c r="G11" s="146"/>
      <c r="H11" s="146"/>
    </row>
    <row r="12" customFormat="false" ht="19.5" hidden="false" customHeight="true" outlineLevel="0" collapsed="false">
      <c r="B12" s="144" t="s">
        <v>1868</v>
      </c>
      <c r="C12" s="146" t="str">
        <f aca="false">'13 Sensitivity &amp; Scenarios'!D78</f>
        <v>CT34</v>
      </c>
      <c r="D12" s="146"/>
      <c r="E12" s="146"/>
      <c r="F12" s="146"/>
      <c r="G12" s="146"/>
      <c r="H12" s="146"/>
    </row>
    <row r="13" customFormat="false" ht="19.5" hidden="false" customHeight="true" outlineLevel="0" collapsed="false">
      <c r="B13" s="144" t="s">
        <v>1869</v>
      </c>
      <c r="C13" s="146" t="str">
        <f aca="false">INDEX('06 Needs-Feature Map'!$C$113:$C$125,MATCH(MAX('06 Needs-Feature Map'!$G$113:$G$125),'06 Needs-Feature Map'!$G$113:$G$125,0))</f>
        <v>MF91</v>
      </c>
      <c r="D13" s="146"/>
      <c r="E13" s="146"/>
      <c r="F13" s="146"/>
      <c r="G13" s="146"/>
      <c r="H13" s="146"/>
    </row>
    <row r="14" customFormat="false" ht="19.5" hidden="false" customHeight="true" outlineLevel="0" collapsed="false">
      <c r="B14" s="144" t="s">
        <v>1870</v>
      </c>
      <c r="C14" s="146" t="str">
        <f aca="false">'13 Sensitivity &amp; Scenarios'!D80</f>
        <v>VB10</v>
      </c>
      <c r="D14" s="146"/>
      <c r="E14" s="146"/>
      <c r="F14" s="146"/>
      <c r="G14" s="146"/>
      <c r="H14" s="146"/>
    </row>
    <row r="15" customFormat="false" ht="19.5" hidden="false" customHeight="true" outlineLevel="0" collapsed="false">
      <c r="B15" s="144" t="s">
        <v>1871</v>
      </c>
      <c r="C15" s="146" t="str">
        <f aca="false">'13 Sensitivity &amp; Scenarios'!D81</f>
        <v>HW19</v>
      </c>
      <c r="D15" s="146"/>
      <c r="E15" s="146"/>
      <c r="F15" s="146"/>
      <c r="G15" s="146"/>
      <c r="H15" s="146"/>
    </row>
    <row r="16" customFormat="false" ht="19.5" hidden="false" customHeight="true" outlineLevel="0" collapsed="false">
      <c r="B16" s="144" t="s">
        <v>1872</v>
      </c>
      <c r="C16" s="146" t="str">
        <f aca="false">IFERROR(INDEX('11 Ranking &amp; Shortlist'!$C$7:$C$19,MATCH(MAX('11 Ranking &amp; Shortlist'!$T$7:$T$19),'11 Ranking &amp; Shortlist'!$T$7:$T$19,0)),"")</f>
        <v>VB10</v>
      </c>
      <c r="D16" s="146"/>
      <c r="E16" s="146"/>
      <c r="F16" s="146"/>
      <c r="G16" s="146"/>
      <c r="H16" s="146"/>
    </row>
    <row r="17" customFormat="false" ht="19.5" hidden="false" customHeight="true" outlineLevel="0" collapsed="false">
      <c r="B17" s="144" t="s">
        <v>1873</v>
      </c>
      <c r="C17" s="146" t="str">
        <f aca="false">INDEX('10 Scoring &amp; Weights'!$C$87:$C$99,MATCH(MAX('10 Scoring &amp; Weights'!$F$87:$F$99),'10 Scoring &amp; Weights'!$F$87:$F$99,0))</f>
        <v>HW19</v>
      </c>
      <c r="D17" s="146"/>
      <c r="E17" s="146"/>
      <c r="F17" s="146"/>
      <c r="G17" s="146"/>
      <c r="H17" s="146"/>
    </row>
    <row r="18" customFormat="false" ht="19.5" hidden="false" customHeight="true" outlineLevel="0" collapsed="false">
      <c r="B18" s="144" t="s">
        <v>1874</v>
      </c>
      <c r="C18" s="146" t="str">
        <f aca="false">IF(COUNTIF('13 Sensitivity &amp; Scenarios'!$J$76:$J$81,"Yes")=0,"No — the leader is robust to every scenario","Yes — in "&amp;COUNTIF('13 Sensitivity &amp; Scenarios'!$J$76:$J$81,"Yes")&amp;" of "&amp;(7-1)&amp;" alternative scenarios (see 13)")</f>
        <v>Yes — in 4 of 6 alternative scenarios (see 13)</v>
      </c>
      <c r="D18" s="146"/>
      <c r="E18" s="146"/>
      <c r="F18" s="146"/>
      <c r="G18" s="146"/>
      <c r="H18" s="146"/>
    </row>
    <row r="19" customFormat="false" ht="19.5" hidden="false" customHeight="true" outlineLevel="0" collapsed="false">
      <c r="B19" s="144" t="s">
        <v>1875</v>
      </c>
      <c r="C19" s="146" t="str">
        <f aca="false">'11 Ranking &amp; Shortlist'!J41</f>
        <v>Medium</v>
      </c>
      <c r="D19" s="146"/>
      <c r="E19" s="146"/>
      <c r="F19" s="146"/>
      <c r="G19" s="146"/>
      <c r="H19" s="146"/>
    </row>
    <row r="22" customFormat="false" ht="15" hidden="false" customHeight="false" outlineLevel="0" collapsed="false">
      <c r="B22" s="7" t="s">
        <v>1876</v>
      </c>
      <c r="C22" s="7"/>
      <c r="D22" s="7"/>
      <c r="E22" s="7"/>
      <c r="F22" s="7"/>
      <c r="G22" s="7"/>
      <c r="H22" s="7"/>
    </row>
    <row r="23" customFormat="false" ht="75" hidden="false" customHeight="true" outlineLevel="0" collapsed="false">
      <c r="B23" s="147" t="s">
        <v>1877</v>
      </c>
      <c r="C23" s="148" t="s">
        <v>1878</v>
      </c>
      <c r="D23" s="148"/>
      <c r="E23" s="148"/>
      <c r="F23" s="148"/>
      <c r="G23" s="148"/>
      <c r="H23" s="148"/>
    </row>
    <row r="24" customFormat="false" ht="75" hidden="false" customHeight="true" outlineLevel="0" collapsed="false">
      <c r="B24" s="147" t="s">
        <v>1879</v>
      </c>
      <c r="C24" s="148" t="s">
        <v>1880</v>
      </c>
      <c r="D24" s="148"/>
      <c r="E24" s="148"/>
      <c r="F24" s="148"/>
      <c r="G24" s="148"/>
      <c r="H24" s="148"/>
    </row>
    <row r="25" customFormat="false" ht="90" hidden="false" customHeight="true" outlineLevel="0" collapsed="false">
      <c r="B25" s="147" t="s">
        <v>1881</v>
      </c>
      <c r="C25" s="148" t="s">
        <v>1882</v>
      </c>
      <c r="D25" s="148"/>
      <c r="E25" s="148"/>
      <c r="F25" s="148"/>
      <c r="G25" s="148"/>
      <c r="H25" s="148"/>
    </row>
    <row r="26" customFormat="false" ht="75" hidden="false" customHeight="true" outlineLevel="0" collapsed="false">
      <c r="B26" s="147" t="s">
        <v>1883</v>
      </c>
      <c r="C26" s="148" t="s">
        <v>1884</v>
      </c>
      <c r="D26" s="148"/>
      <c r="E26" s="148"/>
      <c r="F26" s="148"/>
      <c r="G26" s="148"/>
      <c r="H26" s="148"/>
    </row>
    <row r="27" customFormat="false" ht="75" hidden="false" customHeight="true" outlineLevel="0" collapsed="false">
      <c r="B27" s="147" t="s">
        <v>1885</v>
      </c>
      <c r="C27" s="148" t="s">
        <v>1886</v>
      </c>
      <c r="D27" s="148"/>
      <c r="E27" s="148"/>
      <c r="F27" s="148"/>
      <c r="G27" s="148"/>
      <c r="H27" s="148"/>
    </row>
    <row r="28" customFormat="false" ht="105" hidden="false" customHeight="true" outlineLevel="0" collapsed="false">
      <c r="B28" s="147" t="s">
        <v>1887</v>
      </c>
      <c r="C28" s="148" t="s">
        <v>1888</v>
      </c>
      <c r="D28" s="148"/>
      <c r="E28" s="148"/>
      <c r="F28" s="148"/>
      <c r="G28" s="148"/>
      <c r="H28" s="148"/>
    </row>
    <row r="29" customFormat="false" ht="60" hidden="false" customHeight="true" outlineLevel="0" collapsed="false">
      <c r="B29" s="147" t="s">
        <v>1889</v>
      </c>
      <c r="C29" s="148" t="s">
        <v>1890</v>
      </c>
      <c r="D29" s="148"/>
      <c r="E29" s="148"/>
      <c r="F29" s="148"/>
      <c r="G29" s="148"/>
      <c r="H29" s="148"/>
    </row>
    <row r="30" customFormat="false" ht="60" hidden="false" customHeight="true" outlineLevel="0" collapsed="false">
      <c r="B30" s="147" t="s">
        <v>1891</v>
      </c>
      <c r="C30" s="148" t="s">
        <v>1892</v>
      </c>
      <c r="D30" s="148"/>
      <c r="E30" s="148"/>
      <c r="F30" s="148"/>
      <c r="G30" s="148"/>
      <c r="H30" s="148"/>
    </row>
    <row r="31" customFormat="false" ht="75" hidden="false" customHeight="true" outlineLevel="0" collapsed="false">
      <c r="B31" s="147" t="s">
        <v>1893</v>
      </c>
      <c r="C31" s="148" t="s">
        <v>1894</v>
      </c>
      <c r="D31" s="148"/>
      <c r="E31" s="148"/>
      <c r="F31" s="148"/>
      <c r="G31" s="148"/>
      <c r="H31" s="148"/>
    </row>
    <row r="32" customFormat="false" ht="120" hidden="false" customHeight="true" outlineLevel="0" collapsed="false">
      <c r="B32" s="147" t="s">
        <v>1895</v>
      </c>
      <c r="C32" s="148" t="s">
        <v>1896</v>
      </c>
      <c r="D32" s="148"/>
      <c r="E32" s="148"/>
      <c r="F32" s="148"/>
      <c r="G32" s="148"/>
      <c r="H32" s="148"/>
    </row>
    <row r="33" customFormat="false" ht="105" hidden="false" customHeight="true" outlineLevel="0" collapsed="false">
      <c r="B33" s="147" t="s">
        <v>20</v>
      </c>
      <c r="C33" s="148" t="s">
        <v>1897</v>
      </c>
      <c r="D33" s="148"/>
      <c r="E33" s="148"/>
      <c r="F33" s="148"/>
      <c r="G33" s="148"/>
      <c r="H33" s="148"/>
    </row>
  </sheetData>
  <mergeCells count="26">
    <mergeCell ref="C5:H5"/>
    <mergeCell ref="C6:H6"/>
    <mergeCell ref="C7:H7"/>
    <mergeCell ref="C8:H8"/>
    <mergeCell ref="C9:H9"/>
    <mergeCell ref="C10:H10"/>
    <mergeCell ref="C11:H11"/>
    <mergeCell ref="C12:H12"/>
    <mergeCell ref="C13:H13"/>
    <mergeCell ref="C14:H14"/>
    <mergeCell ref="C15:H15"/>
    <mergeCell ref="C16:H16"/>
    <mergeCell ref="C17:H17"/>
    <mergeCell ref="C18:H18"/>
    <mergeCell ref="C19:H19"/>
    <mergeCell ref="C23:H23"/>
    <mergeCell ref="C24:H24"/>
    <mergeCell ref="C25:H25"/>
    <mergeCell ref="C26:H26"/>
    <mergeCell ref="C27:H27"/>
    <mergeCell ref="C28:H28"/>
    <mergeCell ref="C29:H29"/>
    <mergeCell ref="C30:H30"/>
    <mergeCell ref="C31:H31"/>
    <mergeCell ref="C32:H32"/>
    <mergeCell ref="C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2026-10-27T11:56:09Z</dcterms:created>
  <dc:creator>openpyxl</dc:creator>
  <dc:description/>
  <dc:language>en-US</dc:language>
  <cp:lastModifiedBy/>
  <dcterms:modified xsi:type="dcterms:W3CDTF">2026-10-27T11:56:13Z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